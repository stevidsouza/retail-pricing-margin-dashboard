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Transactions" sheetId="1" state="visible" r:id="rId3"/>
    <sheet name="Product Master" sheetId="2" state="visible" r:id="rId4"/>
    <sheet name="Store Master" sheetId="3" state="visible" r:id="rId5"/>
    <sheet name="Budget" sheetId="4" state="visible" r:id="rId6"/>
    <sheet name="Price Changes" sheetId="5" state="visible" r:id="rId7"/>
  </sheets>
  <definedNames>
    <definedName function="false" hidden="true" localSheetId="3" name="_xlnm._FilterDatabase" vbProcedure="false">Budget!$A$1:$G$193</definedName>
    <definedName function="false" hidden="true" localSheetId="4" name="_xlnm._FilterDatabase" vbProcedure="false">'Price Changes'!$A$1:$J$11</definedName>
    <definedName function="false" hidden="true" localSheetId="1" name="_xlnm._FilterDatabase" vbProcedure="false">'Product Master'!$A$1:$F$31</definedName>
    <definedName function="false" hidden="true" localSheetId="0" name="_xlnm._FilterDatabase" vbProcedure="false">'Sales Transactions'!$A$1:$P$2001</definedName>
    <definedName function="false" hidden="true" localSheetId="2" name="_xlnm._FilterDatabase" vbProcedure="false">'Store Master'!$A$1:$F$9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<sst xmlns="http://schemas.openxmlformats.org/spreadsheetml/2006/main" count="12793" uniqueCount="139">
  <si>
    <t xml:space="preserve">Date</t>
  </si>
  <si>
    <t xml:space="preserve">Store</t>
  </si>
  <si>
    <t xml:space="preserve">Region</t>
  </si>
  <si>
    <t xml:space="preserve">Product ID</t>
  </si>
  <si>
    <t xml:space="preserve">Product Name</t>
  </si>
  <si>
    <t xml:space="preserve">Category</t>
  </si>
  <si>
    <t xml:space="preserve">Units Sold</t>
  </si>
  <si>
    <t xml:space="preserve">Selling Price (£)</t>
  </si>
  <si>
    <t xml:space="preserve">Cost Price (£)</t>
  </si>
  <si>
    <t xml:space="preserve">Discount %</t>
  </si>
  <si>
    <t xml:space="preserve">Actual Revenue (£)</t>
  </si>
  <si>
    <t xml:space="preserve">Total Cost (£)</t>
  </si>
  <si>
    <t xml:space="preserve">Gross Profit (£)</t>
  </si>
  <si>
    <t xml:space="preserve">Gross Margin %</t>
  </si>
  <si>
    <t xml:space="preserve">Markdown Cost (£)</t>
  </si>
  <si>
    <t xml:space="preserve">Flag</t>
  </si>
  <si>
    <t xml:space="preserve">Leeds</t>
  </si>
  <si>
    <t xml:space="preserve">Yorkshire</t>
  </si>
  <si>
    <t xml:space="preserve">P001</t>
  </si>
  <si>
    <t xml:space="preserve">Cotton Shirt</t>
  </si>
  <si>
    <t xml:space="preserve">Clothing</t>
  </si>
  <si>
    <t xml:space="preserve">NORMAL</t>
  </si>
  <si>
    <t xml:space="preserve">Liverpool</t>
  </si>
  <si>
    <t xml:space="preserve">North West</t>
  </si>
  <si>
    <t xml:space="preserve">P007</t>
  </si>
  <si>
    <t xml:space="preserve">Running Shoes</t>
  </si>
  <si>
    <t xml:space="preserve">Footwear</t>
  </si>
  <si>
    <t xml:space="preserve">Birmingham</t>
  </si>
  <si>
    <t xml:space="preserve">Midlands</t>
  </si>
  <si>
    <t xml:space="preserve">P006</t>
  </si>
  <si>
    <t xml:space="preserve">Leather Jacket</t>
  </si>
  <si>
    <t xml:space="preserve">Manchester</t>
  </si>
  <si>
    <t xml:space="preserve">P021</t>
  </si>
  <si>
    <t xml:space="preserve">Moisturiser SPF30</t>
  </si>
  <si>
    <t xml:space="preserve">Beauty</t>
  </si>
  <si>
    <t xml:space="preserve">P009</t>
  </si>
  <si>
    <t xml:space="preserve">Ankle Boots</t>
  </si>
  <si>
    <t xml:space="preserve">Sheffield</t>
  </si>
  <si>
    <t xml:space="preserve">P030</t>
  </si>
  <si>
    <t xml:space="preserve">Resistance Bands</t>
  </si>
  <si>
    <t xml:space="preserve">Sportswear</t>
  </si>
  <si>
    <t xml:space="preserve">Nottingham</t>
  </si>
  <si>
    <t xml:space="preserve">P025</t>
  </si>
  <si>
    <t xml:space="preserve">Hair Mask</t>
  </si>
  <si>
    <t xml:space="preserve">P027</t>
  </si>
  <si>
    <t xml:space="preserve">Sports Leggings</t>
  </si>
  <si>
    <t xml:space="preserve">P004</t>
  </si>
  <si>
    <t xml:space="preserve">Linen Trousers</t>
  </si>
  <si>
    <t xml:space="preserve">P011</t>
  </si>
  <si>
    <t xml:space="preserve">Leather Handbag</t>
  </si>
  <si>
    <t xml:space="preserve">Accessories</t>
  </si>
  <si>
    <t xml:space="preserve">P012</t>
  </si>
  <si>
    <t xml:space="preserve">Canvas Tote</t>
  </si>
  <si>
    <t xml:space="preserve">P015</t>
  </si>
  <si>
    <t xml:space="preserve">Leather Belt</t>
  </si>
  <si>
    <t xml:space="preserve">P017</t>
  </si>
  <si>
    <t xml:space="preserve">Throw Blanket</t>
  </si>
  <si>
    <t xml:space="preserve">Homeware</t>
  </si>
  <si>
    <t xml:space="preserve">London</t>
  </si>
  <si>
    <t xml:space="preserve">P013</t>
  </si>
  <si>
    <t xml:space="preserve">Silk Scarf</t>
  </si>
  <si>
    <t xml:space="preserve">P023</t>
  </si>
  <si>
    <t xml:space="preserve">Lip Palette</t>
  </si>
  <si>
    <t xml:space="preserve">PRICE_MISMATCH</t>
  </si>
  <si>
    <t xml:space="preserve">Bristol</t>
  </si>
  <si>
    <t xml:space="preserve">South West</t>
  </si>
  <si>
    <t xml:space="preserve">P016</t>
  </si>
  <si>
    <t xml:space="preserve">Cushion Cover</t>
  </si>
  <si>
    <t xml:space="preserve">P028</t>
  </si>
  <si>
    <t xml:space="preserve">Performance Top</t>
  </si>
  <si>
    <t xml:space="preserve">P005</t>
  </si>
  <si>
    <t xml:space="preserve">Floral Dress</t>
  </si>
  <si>
    <t xml:space="preserve">P018</t>
  </si>
  <si>
    <t xml:space="preserve">Ceramic Mug Set</t>
  </si>
  <si>
    <t xml:space="preserve">P026</t>
  </si>
  <si>
    <t xml:space="preserve">Yoga Mat</t>
  </si>
  <si>
    <t xml:space="preserve">P022</t>
  </si>
  <si>
    <t xml:space="preserve">Perfume 50ml</t>
  </si>
  <si>
    <t xml:space="preserve">P002</t>
  </si>
  <si>
    <t xml:space="preserve">Slim Fit Jeans</t>
  </si>
  <si>
    <t xml:space="preserve">P020</t>
  </si>
  <si>
    <t xml:space="preserve">Picture Frame</t>
  </si>
  <si>
    <t xml:space="preserve">P008</t>
  </si>
  <si>
    <t xml:space="preserve">Casual Trainers</t>
  </si>
  <si>
    <t xml:space="preserve">P003</t>
  </si>
  <si>
    <t xml:space="preserve">Knit Jumper</t>
  </si>
  <si>
    <t xml:space="preserve">P029</t>
  </si>
  <si>
    <t xml:space="preserve">Water Bottle 1L</t>
  </si>
  <si>
    <t xml:space="preserve">P019</t>
  </si>
  <si>
    <t xml:space="preserve">Scented Candle</t>
  </si>
  <si>
    <t xml:space="preserve">P010</t>
  </si>
  <si>
    <t xml:space="preserve">Sandals</t>
  </si>
  <si>
    <t xml:space="preserve">VARIANCE_OUTLIER</t>
  </si>
  <si>
    <t xml:space="preserve">P024</t>
  </si>
  <si>
    <t xml:space="preserve">Face Serum</t>
  </si>
  <si>
    <t xml:space="preserve">P014</t>
  </si>
  <si>
    <t xml:space="preserve">Sunglasses</t>
  </si>
  <si>
    <t xml:space="preserve">HIGH_DISCOUNT</t>
  </si>
  <si>
    <t xml:space="preserve">BELOW_COST</t>
  </si>
  <si>
    <t xml:space="preserve">Standard Price (£)</t>
  </si>
  <si>
    <t xml:space="preserve">Standard Cost (£)</t>
  </si>
  <si>
    <t xml:space="preserve">Target Margin %</t>
  </si>
  <si>
    <t xml:space="preserve">Store Type</t>
  </si>
  <si>
    <t xml:space="preserve">Manager</t>
  </si>
  <si>
    <t xml:space="preserve">Open Since</t>
  </si>
  <si>
    <t xml:space="preserve">Target Revenue (£)</t>
  </si>
  <si>
    <t xml:space="preserve">City Centre</t>
  </si>
  <si>
    <t xml:space="preserve">J. Ahmed</t>
  </si>
  <si>
    <t xml:space="preserve">Retail Park</t>
  </si>
  <si>
    <t xml:space="preserve">S. Patel</t>
  </si>
  <si>
    <t xml:space="preserve">R. Williams</t>
  </si>
  <si>
    <t xml:space="preserve">T. Chen</t>
  </si>
  <si>
    <t xml:space="preserve">A. Robinson</t>
  </si>
  <si>
    <t xml:space="preserve">D. O'Brien</t>
  </si>
  <si>
    <t xml:space="preserve">L. Kowalski</t>
  </si>
  <si>
    <t xml:space="preserve">M. Okafor</t>
  </si>
  <si>
    <t xml:space="preserve">Month</t>
  </si>
  <si>
    <t xml:space="preserve">Budget Revenue (£)</t>
  </si>
  <si>
    <t xml:space="preserve">Budget Gross Profit (£)</t>
  </si>
  <si>
    <t xml:space="preserve">Budget Margin %</t>
  </si>
  <si>
    <t xml:space="preserve">Old Price (£)</t>
  </si>
  <si>
    <t xml:space="preserve">New Price (£)</t>
  </si>
  <si>
    <t xml:space="preserve">Change (£)</t>
  </si>
  <si>
    <t xml:space="preserve">Change %</t>
  </si>
  <si>
    <t xml:space="preserve">Change Date</t>
  </si>
  <si>
    <t xml:space="preserve">Reason</t>
  </si>
  <si>
    <t xml:space="preserve">Approved By</t>
  </si>
  <si>
    <t xml:space="preserve">Supplier cost increase</t>
  </si>
  <si>
    <t xml:space="preserve">Head of Buying</t>
  </si>
  <si>
    <t xml:space="preserve">Competitor price match</t>
  </si>
  <si>
    <t xml:space="preserve">Commercial Director</t>
  </si>
  <si>
    <t xml:space="preserve">End-of-season markdown</t>
  </si>
  <si>
    <t xml:space="preserve">Store Manager</t>
  </si>
  <si>
    <t xml:space="preserve">Repositioning premium</t>
  </si>
  <si>
    <t xml:space="preserve">Overstock clearance</t>
  </si>
  <si>
    <t xml:space="preserve">New supplier premium</t>
  </si>
  <si>
    <t xml:space="preserve">Pre-season promotion</t>
  </si>
  <si>
    <t xml:space="preserve">Fabric cost increase</t>
  </si>
  <si>
    <t xml:space="preserve">Promotional markdown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</si>
</sst>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\£#,##0.00"/>
    <numFmt numFmtId="167" formatCode="0%"/>
    <numFmt numFmtId="168" formatCode="0.0%"/>
    <numFmt numFmtId="169" formatCode="\£#,##0"/>
    <numFmt numFmtId="170" formatCode="mmm\-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P2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1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46035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n">
        <v>18</v>
      </c>
      <c r="H2" s="4" t="n">
        <v>24.99</v>
      </c>
      <c r="I2" s="4" t="n">
        <v>10.5</v>
      </c>
      <c r="J2" s="5" t="n">
        <v>0</v>
      </c>
      <c r="K2" s="4" t="n">
        <f aca="false">G2*H2*(1-J2)</f>
        <v>449.82</v>
      </c>
      <c r="L2" s="4" t="n">
        <f aca="false">G2*I2</f>
        <v>189</v>
      </c>
      <c r="M2" s="4" t="n">
        <f aca="false">K2-L2</f>
        <v>260.82</v>
      </c>
      <c r="N2" s="6" t="n">
        <f aca="false">IF(K2=0,0,M2/K2)</f>
        <v>0.579831932773109</v>
      </c>
      <c r="O2" s="4" t="n">
        <f aca="false">(G2*H2)-K2</f>
        <v>0</v>
      </c>
      <c r="P2" s="3" t="s">
        <v>21</v>
      </c>
    </row>
    <row r="3" customFormat="false" ht="15" hidden="false" customHeight="false" outlineLevel="0" collapsed="false">
      <c r="A3" s="7" t="n">
        <v>46129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n">
        <v>18</v>
      </c>
      <c r="H3" s="9" t="n">
        <v>54.99</v>
      </c>
      <c r="I3" s="9" t="n">
        <v>24</v>
      </c>
      <c r="J3" s="10" t="n">
        <v>0.1</v>
      </c>
      <c r="K3" s="9" t="n">
        <f aca="false">G3*H3*(1-J3)</f>
        <v>890.838</v>
      </c>
      <c r="L3" s="9" t="n">
        <f aca="false">G3*I3</f>
        <v>432</v>
      </c>
      <c r="M3" s="9" t="n">
        <f aca="false">K3-L3</f>
        <v>458.838</v>
      </c>
      <c r="N3" s="11" t="n">
        <f aca="false">IF(K3=0,0,M3/K3)</f>
        <v>0.515063344850579</v>
      </c>
      <c r="O3" s="9" t="n">
        <f aca="false">(G3*H3)-K3</f>
        <v>98.982</v>
      </c>
      <c r="P3" s="8" t="s">
        <v>21</v>
      </c>
    </row>
    <row r="4" customFormat="false" ht="15" hidden="false" customHeight="false" outlineLevel="0" collapsed="false">
      <c r="A4" s="2" t="n">
        <v>46082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20</v>
      </c>
      <c r="G4" s="3" t="n">
        <v>13</v>
      </c>
      <c r="H4" s="4" t="n">
        <v>79.99</v>
      </c>
      <c r="I4" s="4" t="n">
        <v>42</v>
      </c>
      <c r="J4" s="5" t="n">
        <v>0.3</v>
      </c>
      <c r="K4" s="4" t="n">
        <f aca="false">G4*H4*(1-J4)</f>
        <v>727.909</v>
      </c>
      <c r="L4" s="4" t="n">
        <f aca="false">G4*I4</f>
        <v>546</v>
      </c>
      <c r="M4" s="4" t="n">
        <f aca="false">K4-L4</f>
        <v>181.909</v>
      </c>
      <c r="N4" s="6" t="n">
        <f aca="false">IF(K4=0,0,M4/K4)</f>
        <v>0.249906238279785</v>
      </c>
      <c r="O4" s="4" t="n">
        <f aca="false">(G4*H4)-K4</f>
        <v>311.961</v>
      </c>
      <c r="P4" s="3" t="s">
        <v>21</v>
      </c>
    </row>
    <row r="5" customFormat="false" ht="15" hidden="false" customHeight="false" outlineLevel="0" collapsed="false">
      <c r="A5" s="7" t="n">
        <v>46044</v>
      </c>
      <c r="B5" s="8" t="s">
        <v>31</v>
      </c>
      <c r="C5" s="8" t="s">
        <v>23</v>
      </c>
      <c r="D5" s="8" t="s">
        <v>32</v>
      </c>
      <c r="E5" s="8" t="s">
        <v>33</v>
      </c>
      <c r="F5" s="8" t="s">
        <v>34</v>
      </c>
      <c r="G5" s="8" t="n">
        <v>3</v>
      </c>
      <c r="H5" s="9" t="n">
        <v>18.99</v>
      </c>
      <c r="I5" s="9" t="n">
        <v>6</v>
      </c>
      <c r="J5" s="10" t="n">
        <v>0</v>
      </c>
      <c r="K5" s="9" t="n">
        <f aca="false">G5*H5*(1-J5)</f>
        <v>56.97</v>
      </c>
      <c r="L5" s="9" t="n">
        <f aca="false">G5*I5</f>
        <v>18</v>
      </c>
      <c r="M5" s="9" t="n">
        <f aca="false">K5-L5</f>
        <v>38.97</v>
      </c>
      <c r="N5" s="11" t="n">
        <f aca="false">IF(K5=0,0,M5/K5)</f>
        <v>0.684044233807267</v>
      </c>
      <c r="O5" s="9" t="n">
        <f aca="false">(G5*H5)-K5</f>
        <v>0</v>
      </c>
      <c r="P5" s="8" t="s">
        <v>21</v>
      </c>
    </row>
    <row r="6" customFormat="false" ht="15" hidden="false" customHeight="false" outlineLevel="0" collapsed="false">
      <c r="A6" s="2" t="n">
        <v>46046</v>
      </c>
      <c r="B6" s="3" t="s">
        <v>27</v>
      </c>
      <c r="C6" s="3" t="s">
        <v>28</v>
      </c>
      <c r="D6" s="3" t="s">
        <v>35</v>
      </c>
      <c r="E6" s="3" t="s">
        <v>36</v>
      </c>
      <c r="F6" s="3" t="s">
        <v>26</v>
      </c>
      <c r="G6" s="3" t="n">
        <v>15</v>
      </c>
      <c r="H6" s="4" t="n">
        <v>69.99</v>
      </c>
      <c r="I6" s="4" t="n">
        <v>30</v>
      </c>
      <c r="J6" s="5" t="n">
        <v>0</v>
      </c>
      <c r="K6" s="4" t="n">
        <f aca="false">G6*H6*(1-J6)</f>
        <v>1049.85</v>
      </c>
      <c r="L6" s="4" t="n">
        <f aca="false">G6*I6</f>
        <v>450</v>
      </c>
      <c r="M6" s="4" t="n">
        <f aca="false">K6-L6</f>
        <v>599.85</v>
      </c>
      <c r="N6" s="6" t="n">
        <f aca="false">IF(K6=0,0,M6/K6)</f>
        <v>0.57136733819117</v>
      </c>
      <c r="O6" s="4" t="n">
        <f aca="false">(G6*H6)-K6</f>
        <v>0</v>
      </c>
      <c r="P6" s="3" t="s">
        <v>21</v>
      </c>
    </row>
    <row r="7" customFormat="false" ht="15" hidden="false" customHeight="false" outlineLevel="0" collapsed="false">
      <c r="A7" s="7" t="n">
        <v>46129</v>
      </c>
      <c r="B7" s="8" t="s">
        <v>37</v>
      </c>
      <c r="C7" s="8" t="s">
        <v>17</v>
      </c>
      <c r="D7" s="8" t="s">
        <v>38</v>
      </c>
      <c r="E7" s="8" t="s">
        <v>39</v>
      </c>
      <c r="F7" s="8" t="s">
        <v>40</v>
      </c>
      <c r="G7" s="8" t="n">
        <v>21</v>
      </c>
      <c r="H7" s="9" t="n">
        <v>12.99</v>
      </c>
      <c r="I7" s="9" t="n">
        <v>4</v>
      </c>
      <c r="J7" s="10" t="n">
        <v>0.3</v>
      </c>
      <c r="K7" s="9" t="n">
        <f aca="false">G7*H7*(1-J7)</f>
        <v>190.953</v>
      </c>
      <c r="L7" s="9" t="n">
        <f aca="false">G7*I7</f>
        <v>84</v>
      </c>
      <c r="M7" s="9" t="n">
        <f aca="false">K7-L7</f>
        <v>106.953</v>
      </c>
      <c r="N7" s="11" t="n">
        <f aca="false">IF(K7=0,0,M7/K7)</f>
        <v>0.560101176729352</v>
      </c>
      <c r="O7" s="9" t="n">
        <f aca="false">(G7*H7)-K7</f>
        <v>81.837</v>
      </c>
      <c r="P7" s="8" t="s">
        <v>21</v>
      </c>
    </row>
    <row r="8" customFormat="false" ht="15" hidden="false" customHeight="false" outlineLevel="0" collapsed="false">
      <c r="A8" s="2" t="n">
        <v>46057</v>
      </c>
      <c r="B8" s="3" t="s">
        <v>41</v>
      </c>
      <c r="C8" s="3" t="s">
        <v>28</v>
      </c>
      <c r="D8" s="3" t="s">
        <v>18</v>
      </c>
      <c r="E8" s="3" t="s">
        <v>19</v>
      </c>
      <c r="F8" s="3" t="s">
        <v>20</v>
      </c>
      <c r="G8" s="3" t="n">
        <v>11</v>
      </c>
      <c r="H8" s="4" t="n">
        <v>24.99</v>
      </c>
      <c r="I8" s="4" t="n">
        <v>10.5</v>
      </c>
      <c r="J8" s="5" t="n">
        <v>0.05</v>
      </c>
      <c r="K8" s="4" t="n">
        <f aca="false">G8*H8*(1-J8)</f>
        <v>261.1455</v>
      </c>
      <c r="L8" s="4" t="n">
        <f aca="false">G8*I8</f>
        <v>115.5</v>
      </c>
      <c r="M8" s="4" t="n">
        <f aca="false">K8-L8</f>
        <v>145.6455</v>
      </c>
      <c r="N8" s="6" t="n">
        <f aca="false">IF(K8=0,0,M8/K8)</f>
        <v>0.557717823971694</v>
      </c>
      <c r="O8" s="4" t="n">
        <f aca="false">(G8*H8)-K8</f>
        <v>13.7445</v>
      </c>
      <c r="P8" s="3" t="s">
        <v>21</v>
      </c>
    </row>
    <row r="9" customFormat="false" ht="15" hidden="false" customHeight="false" outlineLevel="0" collapsed="false">
      <c r="A9" s="7" t="n">
        <v>46107</v>
      </c>
      <c r="B9" s="8" t="s">
        <v>41</v>
      </c>
      <c r="C9" s="8" t="s">
        <v>28</v>
      </c>
      <c r="D9" s="8" t="s">
        <v>29</v>
      </c>
      <c r="E9" s="8" t="s">
        <v>30</v>
      </c>
      <c r="F9" s="8" t="s">
        <v>20</v>
      </c>
      <c r="G9" s="8" t="n">
        <v>21</v>
      </c>
      <c r="H9" s="9" t="n">
        <v>79.99</v>
      </c>
      <c r="I9" s="9" t="n">
        <v>42</v>
      </c>
      <c r="J9" s="10" t="n">
        <v>0.25</v>
      </c>
      <c r="K9" s="9" t="n">
        <f aca="false">G9*H9*(1-J9)</f>
        <v>1259.8425</v>
      </c>
      <c r="L9" s="9" t="n">
        <f aca="false">G9*I9</f>
        <v>882</v>
      </c>
      <c r="M9" s="9" t="n">
        <f aca="false">K9-L9</f>
        <v>377.8425</v>
      </c>
      <c r="N9" s="11" t="n">
        <f aca="false">IF(K9=0,0,M9/K9)</f>
        <v>0.299912489061133</v>
      </c>
      <c r="O9" s="9" t="n">
        <f aca="false">(G9*H9)-K9</f>
        <v>419.9475</v>
      </c>
      <c r="P9" s="8" t="s">
        <v>21</v>
      </c>
    </row>
    <row r="10" customFormat="false" ht="15" hidden="false" customHeight="false" outlineLevel="0" collapsed="false">
      <c r="A10" s="2" t="n">
        <v>46059</v>
      </c>
      <c r="B10" s="3" t="s">
        <v>16</v>
      </c>
      <c r="C10" s="3" t="s">
        <v>17</v>
      </c>
      <c r="D10" s="3" t="s">
        <v>42</v>
      </c>
      <c r="E10" s="3" t="s">
        <v>43</v>
      </c>
      <c r="F10" s="3" t="s">
        <v>34</v>
      </c>
      <c r="G10" s="3" t="n">
        <v>15</v>
      </c>
      <c r="H10" s="4" t="n">
        <v>11.99</v>
      </c>
      <c r="I10" s="4" t="n">
        <v>3.5</v>
      </c>
      <c r="J10" s="5" t="n">
        <v>0.25</v>
      </c>
      <c r="K10" s="4" t="n">
        <f aca="false">G10*H10*(1-J10)</f>
        <v>134.8875</v>
      </c>
      <c r="L10" s="4" t="n">
        <f aca="false">G10*I10</f>
        <v>52.5</v>
      </c>
      <c r="M10" s="4" t="n">
        <f aca="false">K10-L10</f>
        <v>82.3875</v>
      </c>
      <c r="N10" s="6" t="n">
        <f aca="false">IF(K10=0,0,M10/K10)</f>
        <v>0.61078676675007</v>
      </c>
      <c r="O10" s="4" t="n">
        <f aca="false">(G10*H10)-K10</f>
        <v>44.9625</v>
      </c>
      <c r="P10" s="3" t="s">
        <v>21</v>
      </c>
    </row>
    <row r="11" customFormat="false" ht="15" hidden="false" customHeight="false" outlineLevel="0" collapsed="false">
      <c r="A11" s="7" t="n">
        <v>46037</v>
      </c>
      <c r="B11" s="8" t="s">
        <v>31</v>
      </c>
      <c r="C11" s="8" t="s">
        <v>23</v>
      </c>
      <c r="D11" s="8" t="s">
        <v>44</v>
      </c>
      <c r="E11" s="8" t="s">
        <v>45</v>
      </c>
      <c r="F11" s="8" t="s">
        <v>40</v>
      </c>
      <c r="G11" s="8" t="n">
        <v>18</v>
      </c>
      <c r="H11" s="9" t="n">
        <v>29.99</v>
      </c>
      <c r="I11" s="9" t="n">
        <v>11</v>
      </c>
      <c r="J11" s="10" t="n">
        <v>0.2</v>
      </c>
      <c r="K11" s="9" t="n">
        <f aca="false">G11*H11*(1-J11)</f>
        <v>431.856</v>
      </c>
      <c r="L11" s="9" t="n">
        <f aca="false">G11*I11</f>
        <v>198</v>
      </c>
      <c r="M11" s="9" t="n">
        <f aca="false">K11-L11</f>
        <v>233.856</v>
      </c>
      <c r="N11" s="11" t="n">
        <f aca="false">IF(K11=0,0,M11/K11)</f>
        <v>0.541513837945982</v>
      </c>
      <c r="O11" s="9" t="n">
        <f aca="false">(G11*H11)-K11</f>
        <v>107.964</v>
      </c>
      <c r="P11" s="8" t="s">
        <v>21</v>
      </c>
    </row>
    <row r="12" customFormat="false" ht="15" hidden="false" customHeight="false" outlineLevel="0" collapsed="false">
      <c r="A12" s="2" t="n">
        <v>46117</v>
      </c>
      <c r="B12" s="3" t="s">
        <v>16</v>
      </c>
      <c r="C12" s="3" t="s">
        <v>17</v>
      </c>
      <c r="D12" s="3" t="s">
        <v>46</v>
      </c>
      <c r="E12" s="3" t="s">
        <v>47</v>
      </c>
      <c r="F12" s="3" t="s">
        <v>20</v>
      </c>
      <c r="G12" s="3" t="n">
        <v>1</v>
      </c>
      <c r="H12" s="4" t="n">
        <v>44.99</v>
      </c>
      <c r="I12" s="4" t="n">
        <v>18</v>
      </c>
      <c r="J12" s="5" t="n">
        <v>0</v>
      </c>
      <c r="K12" s="4" t="n">
        <f aca="false">G12*H12*(1-J12)</f>
        <v>44.99</v>
      </c>
      <c r="L12" s="4" t="n">
        <f aca="false">G12*I12</f>
        <v>18</v>
      </c>
      <c r="M12" s="4" t="n">
        <f aca="false">K12-L12</f>
        <v>26.99</v>
      </c>
      <c r="N12" s="6" t="n">
        <f aca="false">IF(K12=0,0,M12/K12)</f>
        <v>0.599911091353634</v>
      </c>
      <c r="O12" s="4" t="n">
        <f aca="false">(G12*H12)-K12</f>
        <v>0</v>
      </c>
      <c r="P12" s="3" t="s">
        <v>21</v>
      </c>
    </row>
    <row r="13" customFormat="false" ht="15" hidden="false" customHeight="false" outlineLevel="0" collapsed="false">
      <c r="A13" s="7" t="n">
        <v>46042</v>
      </c>
      <c r="B13" s="8" t="s">
        <v>37</v>
      </c>
      <c r="C13" s="8" t="s">
        <v>17</v>
      </c>
      <c r="D13" s="8" t="s">
        <v>48</v>
      </c>
      <c r="E13" s="8" t="s">
        <v>49</v>
      </c>
      <c r="F13" s="8" t="s">
        <v>50</v>
      </c>
      <c r="G13" s="8" t="n">
        <v>30</v>
      </c>
      <c r="H13" s="9" t="n">
        <v>54.99</v>
      </c>
      <c r="I13" s="9" t="n">
        <v>20</v>
      </c>
      <c r="J13" s="10" t="n">
        <v>0.15</v>
      </c>
      <c r="K13" s="9" t="n">
        <f aca="false">G13*H13*(1-J13)</f>
        <v>1402.245</v>
      </c>
      <c r="L13" s="9" t="n">
        <f aca="false">G13*I13</f>
        <v>600</v>
      </c>
      <c r="M13" s="9" t="n">
        <f aca="false">K13-L13</f>
        <v>802.245</v>
      </c>
      <c r="N13" s="11" t="n">
        <f aca="false">IF(K13=0,0,M13/K13)</f>
        <v>0.572114716044628</v>
      </c>
      <c r="O13" s="9" t="n">
        <f aca="false">(G13*H13)-K13</f>
        <v>247.455</v>
      </c>
      <c r="P13" s="8" t="s">
        <v>21</v>
      </c>
    </row>
    <row r="14" customFormat="false" ht="15" hidden="false" customHeight="false" outlineLevel="0" collapsed="false">
      <c r="A14" s="2" t="n">
        <v>46053</v>
      </c>
      <c r="B14" s="3" t="s">
        <v>41</v>
      </c>
      <c r="C14" s="3" t="s">
        <v>28</v>
      </c>
      <c r="D14" s="3" t="s">
        <v>51</v>
      </c>
      <c r="E14" s="3" t="s">
        <v>52</v>
      </c>
      <c r="F14" s="3" t="s">
        <v>50</v>
      </c>
      <c r="G14" s="3" t="n">
        <v>13</v>
      </c>
      <c r="H14" s="4" t="n">
        <v>19.99</v>
      </c>
      <c r="I14" s="4" t="n">
        <v>7</v>
      </c>
      <c r="J14" s="5" t="n">
        <v>0.25</v>
      </c>
      <c r="K14" s="4" t="n">
        <f aca="false">G14*H14*(1-J14)</f>
        <v>194.9025</v>
      </c>
      <c r="L14" s="4" t="n">
        <f aca="false">G14*I14</f>
        <v>91</v>
      </c>
      <c r="M14" s="4" t="n">
        <f aca="false">K14-L14</f>
        <v>103.9025</v>
      </c>
      <c r="N14" s="6" t="n">
        <f aca="false">IF(K14=0,0,M14/K14)</f>
        <v>0.533099883274971</v>
      </c>
      <c r="O14" s="4" t="n">
        <f aca="false">(G14*H14)-K14</f>
        <v>64.9675</v>
      </c>
      <c r="P14" s="3" t="s">
        <v>21</v>
      </c>
    </row>
    <row r="15" customFormat="false" ht="15" hidden="false" customHeight="false" outlineLevel="0" collapsed="false">
      <c r="A15" s="7" t="n">
        <v>46100</v>
      </c>
      <c r="B15" s="8" t="s">
        <v>41</v>
      </c>
      <c r="C15" s="8" t="s">
        <v>28</v>
      </c>
      <c r="D15" s="8" t="s">
        <v>53</v>
      </c>
      <c r="E15" s="8" t="s">
        <v>54</v>
      </c>
      <c r="F15" s="8" t="s">
        <v>50</v>
      </c>
      <c r="G15" s="8" t="n">
        <v>15</v>
      </c>
      <c r="H15" s="9" t="n">
        <v>22.99</v>
      </c>
      <c r="I15" s="9" t="n">
        <v>8</v>
      </c>
      <c r="J15" s="10" t="n">
        <v>0.15</v>
      </c>
      <c r="K15" s="9" t="n">
        <f aca="false">G15*H15*(1-J15)</f>
        <v>293.1225</v>
      </c>
      <c r="L15" s="9" t="n">
        <f aca="false">G15*I15</f>
        <v>120</v>
      </c>
      <c r="M15" s="9" t="n">
        <f aca="false">K15-L15</f>
        <v>173.1225</v>
      </c>
      <c r="N15" s="11" t="n">
        <f aca="false">IF(K15=0,0,M15/K15)</f>
        <v>0.590614845329171</v>
      </c>
      <c r="O15" s="9" t="n">
        <f aca="false">(G15*H15)-K15</f>
        <v>51.7275</v>
      </c>
      <c r="P15" s="8" t="s">
        <v>21</v>
      </c>
    </row>
    <row r="16" customFormat="false" ht="15" hidden="false" customHeight="false" outlineLevel="0" collapsed="false">
      <c r="A16" s="2" t="n">
        <v>46096</v>
      </c>
      <c r="B16" s="3" t="s">
        <v>16</v>
      </c>
      <c r="C16" s="3" t="s">
        <v>17</v>
      </c>
      <c r="D16" s="3" t="s">
        <v>53</v>
      </c>
      <c r="E16" s="3" t="s">
        <v>54</v>
      </c>
      <c r="F16" s="3" t="s">
        <v>50</v>
      </c>
      <c r="G16" s="3" t="n">
        <v>24</v>
      </c>
      <c r="H16" s="4" t="n">
        <v>22.99</v>
      </c>
      <c r="I16" s="4" t="n">
        <v>8</v>
      </c>
      <c r="J16" s="5" t="n">
        <v>0.25</v>
      </c>
      <c r="K16" s="4" t="n">
        <f aca="false">G16*H16*(1-J16)</f>
        <v>413.82</v>
      </c>
      <c r="L16" s="4" t="n">
        <f aca="false">G16*I16</f>
        <v>192</v>
      </c>
      <c r="M16" s="4" t="n">
        <f aca="false">K16-L16</f>
        <v>221.82</v>
      </c>
      <c r="N16" s="6" t="n">
        <f aca="false">IF(K16=0,0,M16/K16)</f>
        <v>0.536030158039727</v>
      </c>
      <c r="O16" s="4" t="n">
        <f aca="false">(G16*H16)-K16</f>
        <v>137.94</v>
      </c>
      <c r="P16" s="3" t="s">
        <v>21</v>
      </c>
    </row>
    <row r="17" customFormat="false" ht="15" hidden="false" customHeight="false" outlineLevel="0" collapsed="false">
      <c r="A17" s="7" t="n">
        <v>46030</v>
      </c>
      <c r="B17" s="8" t="s">
        <v>41</v>
      </c>
      <c r="C17" s="8" t="s">
        <v>28</v>
      </c>
      <c r="D17" s="8" t="s">
        <v>55</v>
      </c>
      <c r="E17" s="8" t="s">
        <v>56</v>
      </c>
      <c r="F17" s="8" t="s">
        <v>57</v>
      </c>
      <c r="G17" s="8" t="n">
        <v>3</v>
      </c>
      <c r="H17" s="9" t="n">
        <v>29.99</v>
      </c>
      <c r="I17" s="9" t="n">
        <v>11</v>
      </c>
      <c r="J17" s="10" t="n">
        <v>0.05</v>
      </c>
      <c r="K17" s="9" t="n">
        <f aca="false">G17*H17*(1-J17)</f>
        <v>85.4715</v>
      </c>
      <c r="L17" s="9" t="n">
        <f aca="false">G17*I17</f>
        <v>33</v>
      </c>
      <c r="M17" s="9" t="n">
        <f aca="false">K17-L17</f>
        <v>52.4715</v>
      </c>
      <c r="N17" s="11" t="n">
        <f aca="false">IF(K17=0,0,M17/K17)</f>
        <v>0.613906389849248</v>
      </c>
      <c r="O17" s="9" t="n">
        <f aca="false">(G17*H17)-K17</f>
        <v>4.49850000000001</v>
      </c>
      <c r="P17" s="8" t="s">
        <v>21</v>
      </c>
    </row>
    <row r="18" customFormat="false" ht="15" hidden="false" customHeight="false" outlineLevel="0" collapsed="false">
      <c r="A18" s="2" t="n">
        <v>46061</v>
      </c>
      <c r="B18" s="3" t="s">
        <v>31</v>
      </c>
      <c r="C18" s="3" t="s">
        <v>23</v>
      </c>
      <c r="D18" s="3" t="s">
        <v>18</v>
      </c>
      <c r="E18" s="3" t="s">
        <v>19</v>
      </c>
      <c r="F18" s="3" t="s">
        <v>20</v>
      </c>
      <c r="G18" s="3" t="n">
        <v>17</v>
      </c>
      <c r="H18" s="4" t="n">
        <v>24.99</v>
      </c>
      <c r="I18" s="4" t="n">
        <v>10.5</v>
      </c>
      <c r="J18" s="5" t="n">
        <v>0</v>
      </c>
      <c r="K18" s="4" t="n">
        <f aca="false">G18*H18*(1-J18)</f>
        <v>424.83</v>
      </c>
      <c r="L18" s="4" t="n">
        <f aca="false">G18*I18</f>
        <v>178.5</v>
      </c>
      <c r="M18" s="4" t="n">
        <f aca="false">K18-L18</f>
        <v>246.33</v>
      </c>
      <c r="N18" s="6" t="n">
        <f aca="false">IF(K18=0,0,M18/K18)</f>
        <v>0.579831932773109</v>
      </c>
      <c r="O18" s="4" t="n">
        <f aca="false">(G18*H18)-K18</f>
        <v>0</v>
      </c>
      <c r="P18" s="3" t="s">
        <v>21</v>
      </c>
    </row>
    <row r="19" customFormat="false" ht="15" hidden="false" customHeight="false" outlineLevel="0" collapsed="false">
      <c r="A19" s="7" t="n">
        <v>46086</v>
      </c>
      <c r="B19" s="8" t="s">
        <v>58</v>
      </c>
      <c r="C19" s="8" t="s">
        <v>58</v>
      </c>
      <c r="D19" s="8" t="s">
        <v>42</v>
      </c>
      <c r="E19" s="8" t="s">
        <v>43</v>
      </c>
      <c r="F19" s="8" t="s">
        <v>34</v>
      </c>
      <c r="G19" s="8" t="n">
        <v>19</v>
      </c>
      <c r="H19" s="9" t="n">
        <v>11.99</v>
      </c>
      <c r="I19" s="9" t="n">
        <v>3.5</v>
      </c>
      <c r="J19" s="10" t="n">
        <v>0.25</v>
      </c>
      <c r="K19" s="9" t="n">
        <f aca="false">G19*H19*(1-J19)</f>
        <v>170.8575</v>
      </c>
      <c r="L19" s="9" t="n">
        <f aca="false">G19*I19</f>
        <v>66.5</v>
      </c>
      <c r="M19" s="9" t="n">
        <f aca="false">K19-L19</f>
        <v>104.3575</v>
      </c>
      <c r="N19" s="11" t="n">
        <f aca="false">IF(K19=0,0,M19/K19)</f>
        <v>0.61078676675007</v>
      </c>
      <c r="O19" s="9" t="n">
        <f aca="false">(G19*H19)-K19</f>
        <v>56.9525</v>
      </c>
      <c r="P19" s="8" t="s">
        <v>21</v>
      </c>
    </row>
    <row r="20" customFormat="false" ht="15" hidden="false" customHeight="false" outlineLevel="0" collapsed="false">
      <c r="A20" s="2" t="n">
        <v>46093</v>
      </c>
      <c r="B20" s="3" t="s">
        <v>58</v>
      </c>
      <c r="C20" s="3" t="s">
        <v>58</v>
      </c>
      <c r="D20" s="3" t="s">
        <v>59</v>
      </c>
      <c r="E20" s="3" t="s">
        <v>60</v>
      </c>
      <c r="F20" s="3" t="s">
        <v>50</v>
      </c>
      <c r="G20" s="3" t="n">
        <v>12</v>
      </c>
      <c r="H20" s="4" t="n">
        <v>24.99</v>
      </c>
      <c r="I20" s="4" t="n">
        <v>8.5</v>
      </c>
      <c r="J20" s="5" t="n">
        <v>0</v>
      </c>
      <c r="K20" s="4" t="n">
        <f aca="false">G20*H20*(1-J20)</f>
        <v>299.88</v>
      </c>
      <c r="L20" s="4" t="n">
        <f aca="false">G20*I20</f>
        <v>102</v>
      </c>
      <c r="M20" s="4" t="n">
        <f aca="false">K20-L20</f>
        <v>197.88</v>
      </c>
      <c r="N20" s="6" t="n">
        <f aca="false">IF(K20=0,0,M20/K20)</f>
        <v>0.659863945578231</v>
      </c>
      <c r="O20" s="4" t="n">
        <f aca="false">(G20*H20)-K20</f>
        <v>0</v>
      </c>
      <c r="P20" s="3" t="s">
        <v>21</v>
      </c>
    </row>
    <row r="21" customFormat="false" ht="15" hidden="false" customHeight="false" outlineLevel="0" collapsed="false">
      <c r="A21" s="7" t="n">
        <v>46049</v>
      </c>
      <c r="B21" s="8" t="s">
        <v>37</v>
      </c>
      <c r="C21" s="8" t="s">
        <v>17</v>
      </c>
      <c r="D21" s="8" t="s">
        <v>61</v>
      </c>
      <c r="E21" s="8" t="s">
        <v>62</v>
      </c>
      <c r="F21" s="8" t="s">
        <v>34</v>
      </c>
      <c r="G21" s="8" t="n">
        <v>3</v>
      </c>
      <c r="H21" s="9" t="n">
        <v>14.99</v>
      </c>
      <c r="I21" s="9" t="n">
        <v>4.5</v>
      </c>
      <c r="J21" s="10" t="n">
        <v>0.1</v>
      </c>
      <c r="K21" s="9" t="n">
        <f aca="false">G21*H21*(1-J21)</f>
        <v>40.473</v>
      </c>
      <c r="L21" s="9" t="n">
        <f aca="false">G21*I21</f>
        <v>13.5</v>
      </c>
      <c r="M21" s="9" t="n">
        <f aca="false">K21-L21</f>
        <v>26.973</v>
      </c>
      <c r="N21" s="11" t="n">
        <f aca="false">IF(K21=0,0,M21/K21)</f>
        <v>0.666444296197465</v>
      </c>
      <c r="O21" s="9" t="n">
        <f aca="false">(G21*H21)-K21</f>
        <v>4.497</v>
      </c>
      <c r="P21" s="8" t="s">
        <v>21</v>
      </c>
    </row>
    <row r="22" customFormat="false" ht="15" hidden="false" customHeight="false" outlineLevel="0" collapsed="false">
      <c r="A22" s="2" t="n">
        <v>46110</v>
      </c>
      <c r="B22" s="3" t="s">
        <v>27</v>
      </c>
      <c r="C22" s="3" t="s">
        <v>28</v>
      </c>
      <c r="D22" s="3" t="s">
        <v>44</v>
      </c>
      <c r="E22" s="3" t="s">
        <v>45</v>
      </c>
      <c r="F22" s="3" t="s">
        <v>40</v>
      </c>
      <c r="G22" s="3" t="n">
        <v>7</v>
      </c>
      <c r="H22" s="4" t="n">
        <v>34.93</v>
      </c>
      <c r="I22" s="4" t="n">
        <v>11</v>
      </c>
      <c r="J22" s="5" t="n">
        <v>0</v>
      </c>
      <c r="K22" s="4" t="n">
        <f aca="false">G22*H22*(1-J22)</f>
        <v>244.51</v>
      </c>
      <c r="L22" s="4" t="n">
        <f aca="false">G22*I22</f>
        <v>77</v>
      </c>
      <c r="M22" s="4" t="n">
        <f aca="false">K22-L22</f>
        <v>167.51</v>
      </c>
      <c r="N22" s="6" t="n">
        <f aca="false">IF(K22=0,0,M22/K22)</f>
        <v>0.685084454623533</v>
      </c>
      <c r="O22" s="4" t="n">
        <f aca="false">(G22*H22)-K22</f>
        <v>0</v>
      </c>
      <c r="P22" s="12" t="s">
        <v>63</v>
      </c>
    </row>
    <row r="23" customFormat="false" ht="15" hidden="false" customHeight="false" outlineLevel="0" collapsed="false">
      <c r="A23" s="7" t="n">
        <v>46129</v>
      </c>
      <c r="B23" s="8" t="s">
        <v>41</v>
      </c>
      <c r="C23" s="8" t="s">
        <v>28</v>
      </c>
      <c r="D23" s="8" t="s">
        <v>59</v>
      </c>
      <c r="E23" s="8" t="s">
        <v>60</v>
      </c>
      <c r="F23" s="8" t="s">
        <v>50</v>
      </c>
      <c r="G23" s="8" t="n">
        <v>14</v>
      </c>
      <c r="H23" s="9" t="n">
        <v>24.99</v>
      </c>
      <c r="I23" s="9" t="n">
        <v>8.5</v>
      </c>
      <c r="J23" s="10" t="n">
        <v>0</v>
      </c>
      <c r="K23" s="9" t="n">
        <f aca="false">G23*H23*(1-J23)</f>
        <v>349.86</v>
      </c>
      <c r="L23" s="9" t="n">
        <f aca="false">G23*I23</f>
        <v>119</v>
      </c>
      <c r="M23" s="9" t="n">
        <f aca="false">K23-L23</f>
        <v>230.86</v>
      </c>
      <c r="N23" s="11" t="n">
        <f aca="false">IF(K23=0,0,M23/K23)</f>
        <v>0.659863945578231</v>
      </c>
      <c r="O23" s="9" t="n">
        <f aca="false">(G23*H23)-K23</f>
        <v>0</v>
      </c>
      <c r="P23" s="8" t="s">
        <v>21</v>
      </c>
    </row>
    <row r="24" customFormat="false" ht="15" hidden="false" customHeight="false" outlineLevel="0" collapsed="false">
      <c r="A24" s="2" t="n">
        <v>46116</v>
      </c>
      <c r="B24" s="3" t="s">
        <v>16</v>
      </c>
      <c r="C24" s="3" t="s">
        <v>17</v>
      </c>
      <c r="D24" s="3" t="s">
        <v>61</v>
      </c>
      <c r="E24" s="3" t="s">
        <v>62</v>
      </c>
      <c r="F24" s="3" t="s">
        <v>34</v>
      </c>
      <c r="G24" s="3" t="n">
        <v>23</v>
      </c>
      <c r="H24" s="4" t="n">
        <v>12.99</v>
      </c>
      <c r="I24" s="4" t="n">
        <v>4.5</v>
      </c>
      <c r="J24" s="5" t="n">
        <v>0.3</v>
      </c>
      <c r="K24" s="4" t="n">
        <f aca="false">G24*H24*(1-J24)</f>
        <v>209.139</v>
      </c>
      <c r="L24" s="4" t="n">
        <f aca="false">G24*I24</f>
        <v>103.5</v>
      </c>
      <c r="M24" s="4" t="n">
        <f aca="false">K24-L24</f>
        <v>105.639</v>
      </c>
      <c r="N24" s="6" t="n">
        <f aca="false">IF(K24=0,0,M24/K24)</f>
        <v>0.505113823820521</v>
      </c>
      <c r="O24" s="4" t="n">
        <f aca="false">(G24*H24)-K24</f>
        <v>89.631</v>
      </c>
      <c r="P24" s="3" t="s">
        <v>21</v>
      </c>
    </row>
    <row r="25" customFormat="false" ht="15" hidden="false" customHeight="false" outlineLevel="0" collapsed="false">
      <c r="A25" s="7" t="n">
        <v>46045</v>
      </c>
      <c r="B25" s="8" t="s">
        <v>64</v>
      </c>
      <c r="C25" s="8" t="s">
        <v>65</v>
      </c>
      <c r="D25" s="8" t="s">
        <v>66</v>
      </c>
      <c r="E25" s="8" t="s">
        <v>67</v>
      </c>
      <c r="F25" s="8" t="s">
        <v>57</v>
      </c>
      <c r="G25" s="8" t="n">
        <v>5</v>
      </c>
      <c r="H25" s="9" t="n">
        <v>14.99</v>
      </c>
      <c r="I25" s="9" t="n">
        <v>5.5</v>
      </c>
      <c r="J25" s="10" t="n">
        <v>0.3</v>
      </c>
      <c r="K25" s="9" t="n">
        <f aca="false">G25*H25*(1-J25)</f>
        <v>52.465</v>
      </c>
      <c r="L25" s="9" t="n">
        <f aca="false">G25*I25</f>
        <v>27.5</v>
      </c>
      <c r="M25" s="9" t="n">
        <f aca="false">K25-L25</f>
        <v>24.965</v>
      </c>
      <c r="N25" s="11" t="n">
        <f aca="false">IF(K25=0,0,M25/K25)</f>
        <v>0.475841036881731</v>
      </c>
      <c r="O25" s="9" t="n">
        <f aca="false">(G25*H25)-K25</f>
        <v>22.485</v>
      </c>
      <c r="P25" s="8" t="s">
        <v>21</v>
      </c>
    </row>
    <row r="26" customFormat="false" ht="15" hidden="false" customHeight="false" outlineLevel="0" collapsed="false">
      <c r="A26" s="2" t="n">
        <v>46057</v>
      </c>
      <c r="B26" s="3" t="s">
        <v>16</v>
      </c>
      <c r="C26" s="3" t="s">
        <v>17</v>
      </c>
      <c r="D26" s="3" t="s">
        <v>59</v>
      </c>
      <c r="E26" s="3" t="s">
        <v>60</v>
      </c>
      <c r="F26" s="3" t="s">
        <v>50</v>
      </c>
      <c r="G26" s="3" t="n">
        <v>23</v>
      </c>
      <c r="H26" s="4" t="n">
        <v>24.99</v>
      </c>
      <c r="I26" s="4" t="n">
        <v>8.5</v>
      </c>
      <c r="J26" s="5" t="n">
        <v>0.3</v>
      </c>
      <c r="K26" s="4" t="n">
        <f aca="false">G26*H26*(1-J26)</f>
        <v>402.339</v>
      </c>
      <c r="L26" s="4" t="n">
        <f aca="false">G26*I26</f>
        <v>195.5</v>
      </c>
      <c r="M26" s="4" t="n">
        <f aca="false">K26-L26</f>
        <v>206.839</v>
      </c>
      <c r="N26" s="6" t="n">
        <f aca="false">IF(K26=0,0,M26/K26)</f>
        <v>0.514091350826045</v>
      </c>
      <c r="O26" s="4" t="n">
        <f aca="false">(G26*H26)-K26</f>
        <v>172.431</v>
      </c>
      <c r="P26" s="3" t="s">
        <v>21</v>
      </c>
    </row>
    <row r="27" customFormat="false" ht="15" hidden="false" customHeight="false" outlineLevel="0" collapsed="false">
      <c r="A27" s="7" t="n">
        <v>46131</v>
      </c>
      <c r="B27" s="8" t="s">
        <v>64</v>
      </c>
      <c r="C27" s="8" t="s">
        <v>65</v>
      </c>
      <c r="D27" s="8" t="s">
        <v>61</v>
      </c>
      <c r="E27" s="8" t="s">
        <v>62</v>
      </c>
      <c r="F27" s="8" t="s">
        <v>34</v>
      </c>
      <c r="G27" s="8" t="n">
        <v>29</v>
      </c>
      <c r="H27" s="9" t="n">
        <v>12.99</v>
      </c>
      <c r="I27" s="9" t="n">
        <v>4.5</v>
      </c>
      <c r="J27" s="10" t="n">
        <v>0.1</v>
      </c>
      <c r="K27" s="9" t="n">
        <f aca="false">G27*H27*(1-J27)</f>
        <v>339.039</v>
      </c>
      <c r="L27" s="9" t="n">
        <f aca="false">G27*I27</f>
        <v>130.5</v>
      </c>
      <c r="M27" s="9" t="n">
        <f aca="false">K27-L27</f>
        <v>208.539</v>
      </c>
      <c r="N27" s="11" t="n">
        <f aca="false">IF(K27=0,0,M27/K27)</f>
        <v>0.615088529638183</v>
      </c>
      <c r="O27" s="9" t="n">
        <f aca="false">(G27*H27)-K27</f>
        <v>37.671</v>
      </c>
      <c r="P27" s="8" t="s">
        <v>21</v>
      </c>
    </row>
    <row r="28" customFormat="false" ht="15" hidden="false" customHeight="false" outlineLevel="0" collapsed="false">
      <c r="A28" s="2" t="n">
        <v>46033</v>
      </c>
      <c r="B28" s="3" t="s">
        <v>16</v>
      </c>
      <c r="C28" s="3" t="s">
        <v>17</v>
      </c>
      <c r="D28" s="3" t="s">
        <v>48</v>
      </c>
      <c r="E28" s="3" t="s">
        <v>49</v>
      </c>
      <c r="F28" s="3" t="s">
        <v>50</v>
      </c>
      <c r="G28" s="3" t="n">
        <v>8</v>
      </c>
      <c r="H28" s="4" t="n">
        <v>54.99</v>
      </c>
      <c r="I28" s="4" t="n">
        <v>20</v>
      </c>
      <c r="J28" s="5" t="n">
        <v>0.1</v>
      </c>
      <c r="K28" s="4" t="n">
        <f aca="false">G28*H28*(1-J28)</f>
        <v>395.928</v>
      </c>
      <c r="L28" s="4" t="n">
        <f aca="false">G28*I28</f>
        <v>160</v>
      </c>
      <c r="M28" s="4" t="n">
        <f aca="false">K28-L28</f>
        <v>235.928</v>
      </c>
      <c r="N28" s="6" t="n">
        <f aca="false">IF(K28=0,0,M28/K28)</f>
        <v>0.595886120708816</v>
      </c>
      <c r="O28" s="4" t="n">
        <f aca="false">(G28*H28)-K28</f>
        <v>43.992</v>
      </c>
      <c r="P28" s="3" t="s">
        <v>21</v>
      </c>
    </row>
    <row r="29" customFormat="false" ht="15" hidden="false" customHeight="false" outlineLevel="0" collapsed="false">
      <c r="A29" s="7" t="n">
        <v>46038</v>
      </c>
      <c r="B29" s="8" t="s">
        <v>41</v>
      </c>
      <c r="C29" s="8" t="s">
        <v>28</v>
      </c>
      <c r="D29" s="8" t="s">
        <v>68</v>
      </c>
      <c r="E29" s="8" t="s">
        <v>69</v>
      </c>
      <c r="F29" s="8" t="s">
        <v>40</v>
      </c>
      <c r="G29" s="8" t="n">
        <v>22</v>
      </c>
      <c r="H29" s="9" t="n">
        <v>24.99</v>
      </c>
      <c r="I29" s="9" t="n">
        <v>9</v>
      </c>
      <c r="J29" s="10" t="n">
        <v>0.25</v>
      </c>
      <c r="K29" s="9" t="n">
        <f aca="false">G29*H29*(1-J29)</f>
        <v>412.335</v>
      </c>
      <c r="L29" s="9" t="n">
        <f aca="false">G29*I29</f>
        <v>198</v>
      </c>
      <c r="M29" s="9" t="n">
        <f aca="false">K29-L29</f>
        <v>214.335</v>
      </c>
      <c r="N29" s="11" t="n">
        <f aca="false">IF(K29=0,0,M29/K29)</f>
        <v>0.519807923169268</v>
      </c>
      <c r="O29" s="9" t="n">
        <f aca="false">(G29*H29)-K29</f>
        <v>137.445</v>
      </c>
      <c r="P29" s="8" t="s">
        <v>21</v>
      </c>
    </row>
    <row r="30" customFormat="false" ht="15" hidden="false" customHeight="false" outlineLevel="0" collapsed="false">
      <c r="A30" s="2" t="n">
        <v>46068</v>
      </c>
      <c r="B30" s="3" t="s">
        <v>16</v>
      </c>
      <c r="C30" s="3" t="s">
        <v>17</v>
      </c>
      <c r="D30" s="3" t="s">
        <v>70</v>
      </c>
      <c r="E30" s="3" t="s">
        <v>71</v>
      </c>
      <c r="F30" s="3" t="s">
        <v>20</v>
      </c>
      <c r="G30" s="3" t="n">
        <v>9</v>
      </c>
      <c r="H30" s="4" t="n">
        <v>49.99</v>
      </c>
      <c r="I30" s="4" t="n">
        <v>19</v>
      </c>
      <c r="J30" s="5" t="n">
        <v>0.1</v>
      </c>
      <c r="K30" s="4" t="n">
        <f aca="false">G30*H30*(1-J30)</f>
        <v>404.919</v>
      </c>
      <c r="L30" s="4" t="n">
        <f aca="false">G30*I30</f>
        <v>171</v>
      </c>
      <c r="M30" s="4" t="n">
        <f aca="false">K30-L30</f>
        <v>233.919</v>
      </c>
      <c r="N30" s="6" t="n">
        <f aca="false">IF(K30=0,0,M30/K30)</f>
        <v>0.577693316441066</v>
      </c>
      <c r="O30" s="4" t="n">
        <f aca="false">(G30*H30)-K30</f>
        <v>44.991</v>
      </c>
      <c r="P30" s="3" t="s">
        <v>21</v>
      </c>
    </row>
    <row r="31" customFormat="false" ht="15" hidden="false" customHeight="false" outlineLevel="0" collapsed="false">
      <c r="A31" s="7" t="n">
        <v>46098</v>
      </c>
      <c r="B31" s="8" t="s">
        <v>27</v>
      </c>
      <c r="C31" s="8" t="s">
        <v>28</v>
      </c>
      <c r="D31" s="8" t="s">
        <v>29</v>
      </c>
      <c r="E31" s="8" t="s">
        <v>30</v>
      </c>
      <c r="F31" s="8" t="s">
        <v>20</v>
      </c>
      <c r="G31" s="8" t="n">
        <v>3</v>
      </c>
      <c r="H31" s="9" t="n">
        <v>79.99</v>
      </c>
      <c r="I31" s="9" t="n">
        <v>42</v>
      </c>
      <c r="J31" s="10" t="n">
        <v>0</v>
      </c>
      <c r="K31" s="9" t="n">
        <f aca="false">G31*H31*(1-J31)</f>
        <v>239.97</v>
      </c>
      <c r="L31" s="9" t="n">
        <f aca="false">G31*I31</f>
        <v>126</v>
      </c>
      <c r="M31" s="9" t="n">
        <f aca="false">K31-L31</f>
        <v>113.97</v>
      </c>
      <c r="N31" s="11" t="n">
        <f aca="false">IF(K31=0,0,M31/K31)</f>
        <v>0.474934366795849</v>
      </c>
      <c r="O31" s="9" t="n">
        <f aca="false">(G31*H31)-K31</f>
        <v>0</v>
      </c>
      <c r="P31" s="8" t="s">
        <v>21</v>
      </c>
    </row>
    <row r="32" customFormat="false" ht="15" hidden="false" customHeight="false" outlineLevel="0" collapsed="false">
      <c r="A32" s="2" t="n">
        <v>46103</v>
      </c>
      <c r="B32" s="3" t="s">
        <v>22</v>
      </c>
      <c r="C32" s="3" t="s">
        <v>23</v>
      </c>
      <c r="D32" s="3" t="s">
        <v>66</v>
      </c>
      <c r="E32" s="3" t="s">
        <v>67</v>
      </c>
      <c r="F32" s="3" t="s">
        <v>57</v>
      </c>
      <c r="G32" s="3" t="n">
        <v>15</v>
      </c>
      <c r="H32" s="4" t="n">
        <v>14.99</v>
      </c>
      <c r="I32" s="4" t="n">
        <v>5.5</v>
      </c>
      <c r="J32" s="5" t="n">
        <v>0.2</v>
      </c>
      <c r="K32" s="4" t="n">
        <f aca="false">G32*H32*(1-J32)</f>
        <v>179.88</v>
      </c>
      <c r="L32" s="4" t="n">
        <f aca="false">G32*I32</f>
        <v>82.5</v>
      </c>
      <c r="M32" s="4" t="n">
        <f aca="false">K32-L32</f>
        <v>97.38</v>
      </c>
      <c r="N32" s="6" t="n">
        <f aca="false">IF(K32=0,0,M32/K32)</f>
        <v>0.541360907271514</v>
      </c>
      <c r="O32" s="4" t="n">
        <f aca="false">(G32*H32)-K32</f>
        <v>44.97</v>
      </c>
      <c r="P32" s="3" t="s">
        <v>21</v>
      </c>
    </row>
    <row r="33" customFormat="false" ht="15" hidden="false" customHeight="false" outlineLevel="0" collapsed="false">
      <c r="A33" s="7" t="n">
        <v>46111</v>
      </c>
      <c r="B33" s="8" t="s">
        <v>22</v>
      </c>
      <c r="C33" s="8" t="s">
        <v>23</v>
      </c>
      <c r="D33" s="8" t="s">
        <v>70</v>
      </c>
      <c r="E33" s="8" t="s">
        <v>71</v>
      </c>
      <c r="F33" s="8" t="s">
        <v>20</v>
      </c>
      <c r="G33" s="8" t="n">
        <v>24</v>
      </c>
      <c r="H33" s="9" t="n">
        <v>49.99</v>
      </c>
      <c r="I33" s="9" t="n">
        <v>19</v>
      </c>
      <c r="J33" s="10" t="n">
        <v>0.2</v>
      </c>
      <c r="K33" s="9" t="n">
        <f aca="false">G33*H33*(1-J33)</f>
        <v>959.808</v>
      </c>
      <c r="L33" s="9" t="n">
        <f aca="false">G33*I33</f>
        <v>456</v>
      </c>
      <c r="M33" s="9" t="n">
        <f aca="false">K33-L33</f>
        <v>503.808</v>
      </c>
      <c r="N33" s="11" t="n">
        <f aca="false">IF(K33=0,0,M33/K33)</f>
        <v>0.524904980996199</v>
      </c>
      <c r="O33" s="9" t="n">
        <f aca="false">(G33*H33)-K33</f>
        <v>239.952</v>
      </c>
      <c r="P33" s="8" t="s">
        <v>21</v>
      </c>
    </row>
    <row r="34" customFormat="false" ht="15" hidden="false" customHeight="false" outlineLevel="0" collapsed="false">
      <c r="A34" s="2" t="n">
        <v>46086</v>
      </c>
      <c r="B34" s="3" t="s">
        <v>64</v>
      </c>
      <c r="C34" s="3" t="s">
        <v>65</v>
      </c>
      <c r="D34" s="3" t="s">
        <v>46</v>
      </c>
      <c r="E34" s="3" t="s">
        <v>47</v>
      </c>
      <c r="F34" s="3" t="s">
        <v>20</v>
      </c>
      <c r="G34" s="3" t="n">
        <v>8</v>
      </c>
      <c r="H34" s="4" t="n">
        <v>44.99</v>
      </c>
      <c r="I34" s="4" t="n">
        <v>18</v>
      </c>
      <c r="J34" s="5" t="n">
        <v>0.15</v>
      </c>
      <c r="K34" s="4" t="n">
        <f aca="false">G34*H34*(1-J34)</f>
        <v>305.932</v>
      </c>
      <c r="L34" s="4" t="n">
        <f aca="false">G34*I34</f>
        <v>144</v>
      </c>
      <c r="M34" s="4" t="n">
        <f aca="false">K34-L34</f>
        <v>161.932</v>
      </c>
      <c r="N34" s="6" t="n">
        <f aca="false">IF(K34=0,0,M34/K34)</f>
        <v>0.529307166298393</v>
      </c>
      <c r="O34" s="4" t="n">
        <f aca="false">(G34*H34)-K34</f>
        <v>53.988</v>
      </c>
      <c r="P34" s="3" t="s">
        <v>21</v>
      </c>
    </row>
    <row r="35" customFormat="false" ht="15" hidden="false" customHeight="false" outlineLevel="0" collapsed="false">
      <c r="A35" s="7" t="n">
        <v>46118</v>
      </c>
      <c r="B35" s="8" t="s">
        <v>31</v>
      </c>
      <c r="C35" s="8" t="s">
        <v>23</v>
      </c>
      <c r="D35" s="8" t="s">
        <v>44</v>
      </c>
      <c r="E35" s="8" t="s">
        <v>45</v>
      </c>
      <c r="F35" s="8" t="s">
        <v>40</v>
      </c>
      <c r="G35" s="8" t="n">
        <v>17</v>
      </c>
      <c r="H35" s="9" t="n">
        <v>29.99</v>
      </c>
      <c r="I35" s="9" t="n">
        <v>11</v>
      </c>
      <c r="J35" s="10" t="n">
        <v>0.05</v>
      </c>
      <c r="K35" s="9" t="n">
        <f aca="false">G35*H35*(1-J35)</f>
        <v>484.3385</v>
      </c>
      <c r="L35" s="9" t="n">
        <f aca="false">G35*I35</f>
        <v>187</v>
      </c>
      <c r="M35" s="9" t="n">
        <f aca="false">K35-L35</f>
        <v>297.3385</v>
      </c>
      <c r="N35" s="11" t="n">
        <f aca="false">IF(K35=0,0,M35/K35)</f>
        <v>0.613906389849248</v>
      </c>
      <c r="O35" s="9" t="n">
        <f aca="false">(G35*H35)-K35</f>
        <v>25.4915</v>
      </c>
      <c r="P35" s="8" t="s">
        <v>21</v>
      </c>
    </row>
    <row r="36" customFormat="false" ht="15" hidden="false" customHeight="false" outlineLevel="0" collapsed="false">
      <c r="A36" s="2" t="n">
        <v>46102</v>
      </c>
      <c r="B36" s="3" t="s">
        <v>37</v>
      </c>
      <c r="C36" s="3" t="s">
        <v>17</v>
      </c>
      <c r="D36" s="3" t="s">
        <v>72</v>
      </c>
      <c r="E36" s="3" t="s">
        <v>73</v>
      </c>
      <c r="F36" s="3" t="s">
        <v>57</v>
      </c>
      <c r="G36" s="3" t="n">
        <v>6</v>
      </c>
      <c r="H36" s="4" t="n">
        <v>19.99</v>
      </c>
      <c r="I36" s="4" t="n">
        <v>7</v>
      </c>
      <c r="J36" s="5" t="n">
        <v>0.15</v>
      </c>
      <c r="K36" s="4" t="n">
        <f aca="false">G36*H36*(1-J36)</f>
        <v>101.949</v>
      </c>
      <c r="L36" s="4" t="n">
        <f aca="false">G36*I36</f>
        <v>42</v>
      </c>
      <c r="M36" s="4" t="n">
        <f aca="false">K36-L36</f>
        <v>59.949</v>
      </c>
      <c r="N36" s="6" t="n">
        <f aca="false">IF(K36=0,0,M36/K36)</f>
        <v>0.588029308772033</v>
      </c>
      <c r="O36" s="4" t="n">
        <f aca="false">(G36*H36)-K36</f>
        <v>17.991</v>
      </c>
      <c r="P36" s="3" t="s">
        <v>21</v>
      </c>
    </row>
    <row r="37" customFormat="false" ht="15" hidden="false" customHeight="false" outlineLevel="0" collapsed="false">
      <c r="A37" s="7" t="n">
        <v>46063</v>
      </c>
      <c r="B37" s="8" t="s">
        <v>41</v>
      </c>
      <c r="C37" s="8" t="s">
        <v>28</v>
      </c>
      <c r="D37" s="8" t="s">
        <v>74</v>
      </c>
      <c r="E37" s="8" t="s">
        <v>75</v>
      </c>
      <c r="F37" s="8" t="s">
        <v>40</v>
      </c>
      <c r="G37" s="8" t="n">
        <v>29</v>
      </c>
      <c r="H37" s="9" t="n">
        <v>29.99</v>
      </c>
      <c r="I37" s="9" t="n">
        <v>13</v>
      </c>
      <c r="J37" s="10" t="n">
        <v>0.15</v>
      </c>
      <c r="K37" s="9" t="n">
        <f aca="false">G37*H37*(1-J37)</f>
        <v>739.2535</v>
      </c>
      <c r="L37" s="9" t="n">
        <f aca="false">G37*I37</f>
        <v>377</v>
      </c>
      <c r="M37" s="9" t="n">
        <f aca="false">K37-L37</f>
        <v>362.2535</v>
      </c>
      <c r="N37" s="11" t="n">
        <f aca="false">IF(K37=0,0,M37/K37)</f>
        <v>0.490026087127082</v>
      </c>
      <c r="O37" s="9" t="n">
        <f aca="false">(G37*H37)-K37</f>
        <v>130.4565</v>
      </c>
      <c r="P37" s="8" t="s">
        <v>21</v>
      </c>
    </row>
    <row r="38" customFormat="false" ht="15" hidden="false" customHeight="false" outlineLevel="0" collapsed="false">
      <c r="A38" s="2" t="n">
        <v>46053</v>
      </c>
      <c r="B38" s="3" t="s">
        <v>58</v>
      </c>
      <c r="C38" s="3" t="s">
        <v>58</v>
      </c>
      <c r="D38" s="3" t="s">
        <v>18</v>
      </c>
      <c r="E38" s="3" t="s">
        <v>19</v>
      </c>
      <c r="F38" s="3" t="s">
        <v>20</v>
      </c>
      <c r="G38" s="3" t="n">
        <v>12</v>
      </c>
      <c r="H38" s="4" t="n">
        <v>24.99</v>
      </c>
      <c r="I38" s="4" t="n">
        <v>10.5</v>
      </c>
      <c r="J38" s="5" t="n">
        <v>0.2</v>
      </c>
      <c r="K38" s="4" t="n">
        <f aca="false">G38*H38*(1-J38)</f>
        <v>239.904</v>
      </c>
      <c r="L38" s="4" t="n">
        <f aca="false">G38*I38</f>
        <v>126</v>
      </c>
      <c r="M38" s="4" t="n">
        <f aca="false">K38-L38</f>
        <v>113.904</v>
      </c>
      <c r="N38" s="6" t="n">
        <f aca="false">IF(K38=0,0,M38/K38)</f>
        <v>0.474789915966387</v>
      </c>
      <c r="O38" s="4" t="n">
        <f aca="false">(G38*H38)-K38</f>
        <v>59.976</v>
      </c>
      <c r="P38" s="3" t="s">
        <v>21</v>
      </c>
    </row>
    <row r="39" customFormat="false" ht="15" hidden="false" customHeight="false" outlineLevel="0" collapsed="false">
      <c r="A39" s="7" t="n">
        <v>46117</v>
      </c>
      <c r="B39" s="8" t="s">
        <v>22</v>
      </c>
      <c r="C39" s="8" t="s">
        <v>23</v>
      </c>
      <c r="D39" s="8" t="s">
        <v>76</v>
      </c>
      <c r="E39" s="8" t="s">
        <v>77</v>
      </c>
      <c r="F39" s="8" t="s">
        <v>34</v>
      </c>
      <c r="G39" s="8" t="n">
        <v>21</v>
      </c>
      <c r="H39" s="9" t="n">
        <v>49.99</v>
      </c>
      <c r="I39" s="9" t="n">
        <v>14</v>
      </c>
      <c r="J39" s="10" t="n">
        <v>0.2</v>
      </c>
      <c r="K39" s="9" t="n">
        <f aca="false">G39*H39*(1-J39)</f>
        <v>839.832</v>
      </c>
      <c r="L39" s="9" t="n">
        <f aca="false">G39*I39</f>
        <v>294</v>
      </c>
      <c r="M39" s="9" t="n">
        <f aca="false">K39-L39</f>
        <v>545.832</v>
      </c>
      <c r="N39" s="11" t="n">
        <f aca="false">IF(K39=0,0,M39/K39)</f>
        <v>0.649929985997199</v>
      </c>
      <c r="O39" s="9" t="n">
        <f aca="false">(G39*H39)-K39</f>
        <v>209.958</v>
      </c>
      <c r="P39" s="8" t="s">
        <v>21</v>
      </c>
    </row>
    <row r="40" customFormat="false" ht="15" hidden="false" customHeight="false" outlineLevel="0" collapsed="false">
      <c r="A40" s="2" t="n">
        <v>46023</v>
      </c>
      <c r="B40" s="3" t="s">
        <v>22</v>
      </c>
      <c r="C40" s="3" t="s">
        <v>23</v>
      </c>
      <c r="D40" s="3" t="s">
        <v>44</v>
      </c>
      <c r="E40" s="3" t="s">
        <v>45</v>
      </c>
      <c r="F40" s="3" t="s">
        <v>40</v>
      </c>
      <c r="G40" s="3" t="n">
        <v>5</v>
      </c>
      <c r="H40" s="4" t="n">
        <v>29.99</v>
      </c>
      <c r="I40" s="4" t="n">
        <v>11</v>
      </c>
      <c r="J40" s="5" t="n">
        <v>0.15</v>
      </c>
      <c r="K40" s="4" t="n">
        <f aca="false">G40*H40*(1-J40)</f>
        <v>127.4575</v>
      </c>
      <c r="L40" s="4" t="n">
        <f aca="false">G40*I40</f>
        <v>55</v>
      </c>
      <c r="M40" s="4" t="n">
        <f aca="false">K40-L40</f>
        <v>72.4575</v>
      </c>
      <c r="N40" s="6" t="n">
        <f aca="false">IF(K40=0,0,M40/K40)</f>
        <v>0.568483612184454</v>
      </c>
      <c r="O40" s="4" t="n">
        <f aca="false">(G40*H40)-K40</f>
        <v>22.4925</v>
      </c>
      <c r="P40" s="3" t="s">
        <v>21</v>
      </c>
    </row>
    <row r="41" customFormat="false" ht="15" hidden="false" customHeight="false" outlineLevel="0" collapsed="false">
      <c r="A41" s="7" t="n">
        <v>46054</v>
      </c>
      <c r="B41" s="8" t="s">
        <v>37</v>
      </c>
      <c r="C41" s="8" t="s">
        <v>17</v>
      </c>
      <c r="D41" s="8" t="s">
        <v>59</v>
      </c>
      <c r="E41" s="8" t="s">
        <v>60</v>
      </c>
      <c r="F41" s="8" t="s">
        <v>50</v>
      </c>
      <c r="G41" s="8" t="n">
        <v>30</v>
      </c>
      <c r="H41" s="9" t="n">
        <v>24.99</v>
      </c>
      <c r="I41" s="9" t="n">
        <v>8.5</v>
      </c>
      <c r="J41" s="10" t="n">
        <v>0</v>
      </c>
      <c r="K41" s="9" t="n">
        <f aca="false">G41*H41*(1-J41)</f>
        <v>749.7</v>
      </c>
      <c r="L41" s="9" t="n">
        <f aca="false">G41*I41</f>
        <v>255</v>
      </c>
      <c r="M41" s="9" t="n">
        <f aca="false">K41-L41</f>
        <v>494.7</v>
      </c>
      <c r="N41" s="11" t="n">
        <f aca="false">IF(K41=0,0,M41/K41)</f>
        <v>0.659863945578231</v>
      </c>
      <c r="O41" s="9" t="n">
        <f aca="false">(G41*H41)-K41</f>
        <v>0</v>
      </c>
      <c r="P41" s="8" t="s">
        <v>21</v>
      </c>
    </row>
    <row r="42" customFormat="false" ht="15" hidden="false" customHeight="false" outlineLevel="0" collapsed="false">
      <c r="A42" s="2" t="n">
        <v>46116</v>
      </c>
      <c r="B42" s="3" t="s">
        <v>41</v>
      </c>
      <c r="C42" s="3" t="s">
        <v>28</v>
      </c>
      <c r="D42" s="3" t="s">
        <v>42</v>
      </c>
      <c r="E42" s="3" t="s">
        <v>43</v>
      </c>
      <c r="F42" s="3" t="s">
        <v>34</v>
      </c>
      <c r="G42" s="3" t="n">
        <v>13</v>
      </c>
      <c r="H42" s="4" t="n">
        <v>11.99</v>
      </c>
      <c r="I42" s="4" t="n">
        <v>3.5</v>
      </c>
      <c r="J42" s="5" t="n">
        <v>0.1</v>
      </c>
      <c r="K42" s="4" t="n">
        <f aca="false">G42*H42*(1-J42)</f>
        <v>140.283</v>
      </c>
      <c r="L42" s="4" t="n">
        <f aca="false">G42*I42</f>
        <v>45.5</v>
      </c>
      <c r="M42" s="4" t="n">
        <f aca="false">K42-L42</f>
        <v>94.783</v>
      </c>
      <c r="N42" s="6" t="n">
        <f aca="false">IF(K42=0,0,M42/K42)</f>
        <v>0.675655638958391</v>
      </c>
      <c r="O42" s="4" t="n">
        <f aca="false">(G42*H42)-K42</f>
        <v>15.587</v>
      </c>
      <c r="P42" s="3" t="s">
        <v>21</v>
      </c>
    </row>
    <row r="43" customFormat="false" ht="15" hidden="false" customHeight="false" outlineLevel="0" collapsed="false">
      <c r="A43" s="7" t="n">
        <v>46112</v>
      </c>
      <c r="B43" s="8" t="s">
        <v>22</v>
      </c>
      <c r="C43" s="8" t="s">
        <v>23</v>
      </c>
      <c r="D43" s="8" t="s">
        <v>78</v>
      </c>
      <c r="E43" s="8" t="s">
        <v>79</v>
      </c>
      <c r="F43" s="8" t="s">
        <v>20</v>
      </c>
      <c r="G43" s="8" t="n">
        <v>29</v>
      </c>
      <c r="H43" s="9" t="n">
        <v>39.99</v>
      </c>
      <c r="I43" s="9" t="n">
        <v>16</v>
      </c>
      <c r="J43" s="10" t="n">
        <v>0</v>
      </c>
      <c r="K43" s="9" t="n">
        <f aca="false">G43*H43*(1-J43)</f>
        <v>1159.71</v>
      </c>
      <c r="L43" s="9" t="n">
        <f aca="false">G43*I43</f>
        <v>464</v>
      </c>
      <c r="M43" s="9" t="n">
        <f aca="false">K43-L43</f>
        <v>695.71</v>
      </c>
      <c r="N43" s="11" t="n">
        <f aca="false">IF(K43=0,0,M43/K43)</f>
        <v>0.599899974993749</v>
      </c>
      <c r="O43" s="9" t="n">
        <f aca="false">(G43*H43)-K43</f>
        <v>0</v>
      </c>
      <c r="P43" s="8" t="s">
        <v>21</v>
      </c>
    </row>
    <row r="44" customFormat="false" ht="15" hidden="false" customHeight="false" outlineLevel="0" collapsed="false">
      <c r="A44" s="2" t="n">
        <v>46047</v>
      </c>
      <c r="B44" s="3" t="s">
        <v>58</v>
      </c>
      <c r="C44" s="3" t="s">
        <v>58</v>
      </c>
      <c r="D44" s="3" t="s">
        <v>42</v>
      </c>
      <c r="E44" s="3" t="s">
        <v>43</v>
      </c>
      <c r="F44" s="3" t="s">
        <v>34</v>
      </c>
      <c r="G44" s="3" t="n">
        <v>18</v>
      </c>
      <c r="H44" s="4" t="n">
        <v>11.99</v>
      </c>
      <c r="I44" s="4" t="n">
        <v>3.5</v>
      </c>
      <c r="J44" s="5" t="n">
        <v>0</v>
      </c>
      <c r="K44" s="4" t="n">
        <f aca="false">G44*H44*(1-J44)</f>
        <v>215.82</v>
      </c>
      <c r="L44" s="4" t="n">
        <f aca="false">G44*I44</f>
        <v>63</v>
      </c>
      <c r="M44" s="4" t="n">
        <f aca="false">K44-L44</f>
        <v>152.82</v>
      </c>
      <c r="N44" s="6" t="n">
        <f aca="false">IF(K44=0,0,M44/K44)</f>
        <v>0.708090075062552</v>
      </c>
      <c r="O44" s="4" t="n">
        <f aca="false">(G44*H44)-K44</f>
        <v>0</v>
      </c>
      <c r="P44" s="3" t="s">
        <v>21</v>
      </c>
    </row>
    <row r="45" customFormat="false" ht="15" hidden="false" customHeight="false" outlineLevel="0" collapsed="false">
      <c r="A45" s="7" t="n">
        <v>46055</v>
      </c>
      <c r="B45" s="8" t="s">
        <v>22</v>
      </c>
      <c r="C45" s="8" t="s">
        <v>23</v>
      </c>
      <c r="D45" s="8" t="s">
        <v>51</v>
      </c>
      <c r="E45" s="8" t="s">
        <v>52</v>
      </c>
      <c r="F45" s="8" t="s">
        <v>50</v>
      </c>
      <c r="G45" s="8" t="n">
        <v>22</v>
      </c>
      <c r="H45" s="9" t="n">
        <v>19.99</v>
      </c>
      <c r="I45" s="9" t="n">
        <v>7</v>
      </c>
      <c r="J45" s="10" t="n">
        <v>0.3</v>
      </c>
      <c r="K45" s="9" t="n">
        <f aca="false">G45*H45*(1-J45)</f>
        <v>307.846</v>
      </c>
      <c r="L45" s="9" t="n">
        <f aca="false">G45*I45</f>
        <v>154</v>
      </c>
      <c r="M45" s="9" t="n">
        <f aca="false">K45-L45</f>
        <v>153.846</v>
      </c>
      <c r="N45" s="11" t="n">
        <f aca="false">IF(K45=0,0,M45/K45)</f>
        <v>0.499749874937469</v>
      </c>
      <c r="O45" s="9" t="n">
        <f aca="false">(G45*H45)-K45</f>
        <v>131.934</v>
      </c>
      <c r="P45" s="8" t="s">
        <v>21</v>
      </c>
    </row>
    <row r="46" customFormat="false" ht="15" hidden="false" customHeight="false" outlineLevel="0" collapsed="false">
      <c r="A46" s="2" t="n">
        <v>46067</v>
      </c>
      <c r="B46" s="3" t="s">
        <v>58</v>
      </c>
      <c r="C46" s="3" t="s">
        <v>58</v>
      </c>
      <c r="D46" s="3" t="s">
        <v>80</v>
      </c>
      <c r="E46" s="3" t="s">
        <v>81</v>
      </c>
      <c r="F46" s="3" t="s">
        <v>57</v>
      </c>
      <c r="G46" s="3" t="n">
        <v>5</v>
      </c>
      <c r="H46" s="4" t="n">
        <v>17.99</v>
      </c>
      <c r="I46" s="4" t="n">
        <v>6.5</v>
      </c>
      <c r="J46" s="5" t="n">
        <v>0.15</v>
      </c>
      <c r="K46" s="4" t="n">
        <f aca="false">G46*H46*(1-J46)</f>
        <v>76.4575</v>
      </c>
      <c r="L46" s="4" t="n">
        <f aca="false">G46*I46</f>
        <v>32.5</v>
      </c>
      <c r="M46" s="4" t="n">
        <f aca="false">K46-L46</f>
        <v>43.9575</v>
      </c>
      <c r="N46" s="6" t="n">
        <f aca="false">IF(K46=0,0,M46/K46)</f>
        <v>0.574927247163457</v>
      </c>
      <c r="O46" s="4" t="n">
        <f aca="false">(G46*H46)-K46</f>
        <v>13.4925</v>
      </c>
      <c r="P46" s="3" t="s">
        <v>21</v>
      </c>
    </row>
    <row r="47" customFormat="false" ht="15" hidden="false" customHeight="false" outlineLevel="0" collapsed="false">
      <c r="A47" s="7" t="n">
        <v>46041</v>
      </c>
      <c r="B47" s="8" t="s">
        <v>41</v>
      </c>
      <c r="C47" s="8" t="s">
        <v>28</v>
      </c>
      <c r="D47" s="8" t="s">
        <v>53</v>
      </c>
      <c r="E47" s="8" t="s">
        <v>54</v>
      </c>
      <c r="F47" s="8" t="s">
        <v>50</v>
      </c>
      <c r="G47" s="8" t="n">
        <v>18</v>
      </c>
      <c r="H47" s="9" t="n">
        <v>22.99</v>
      </c>
      <c r="I47" s="9" t="n">
        <v>8</v>
      </c>
      <c r="J47" s="10" t="n">
        <v>0</v>
      </c>
      <c r="K47" s="9" t="n">
        <f aca="false">G47*H47*(1-J47)</f>
        <v>413.82</v>
      </c>
      <c r="L47" s="9" t="n">
        <f aca="false">G47*I47</f>
        <v>144</v>
      </c>
      <c r="M47" s="9" t="n">
        <f aca="false">K47-L47</f>
        <v>269.82</v>
      </c>
      <c r="N47" s="11" t="n">
        <f aca="false">IF(K47=0,0,M47/K47)</f>
        <v>0.652022618529796</v>
      </c>
      <c r="O47" s="9" t="n">
        <f aca="false">(G47*H47)-K47</f>
        <v>0</v>
      </c>
      <c r="P47" s="8" t="s">
        <v>21</v>
      </c>
    </row>
    <row r="48" customFormat="false" ht="15" hidden="false" customHeight="false" outlineLevel="0" collapsed="false">
      <c r="A48" s="2" t="n">
        <v>46043</v>
      </c>
      <c r="B48" s="3" t="s">
        <v>37</v>
      </c>
      <c r="C48" s="3" t="s">
        <v>17</v>
      </c>
      <c r="D48" s="3" t="s">
        <v>82</v>
      </c>
      <c r="E48" s="3" t="s">
        <v>83</v>
      </c>
      <c r="F48" s="3" t="s">
        <v>26</v>
      </c>
      <c r="G48" s="3" t="n">
        <v>2</v>
      </c>
      <c r="H48" s="4" t="n">
        <v>44.99</v>
      </c>
      <c r="I48" s="4" t="n">
        <v>18</v>
      </c>
      <c r="J48" s="5" t="n">
        <v>0.1</v>
      </c>
      <c r="K48" s="4" t="n">
        <f aca="false">G48*H48*(1-J48)</f>
        <v>80.982</v>
      </c>
      <c r="L48" s="4" t="n">
        <f aca="false">G48*I48</f>
        <v>36</v>
      </c>
      <c r="M48" s="4" t="n">
        <f aca="false">K48-L48</f>
        <v>44.982</v>
      </c>
      <c r="N48" s="6" t="n">
        <f aca="false">IF(K48=0,0,M48/K48)</f>
        <v>0.555456768170705</v>
      </c>
      <c r="O48" s="4" t="n">
        <f aca="false">(G48*H48)-K48</f>
        <v>8.99800000000001</v>
      </c>
      <c r="P48" s="3" t="s">
        <v>21</v>
      </c>
    </row>
    <row r="49" customFormat="false" ht="15" hidden="false" customHeight="false" outlineLevel="0" collapsed="false">
      <c r="A49" s="7" t="n">
        <v>46120</v>
      </c>
      <c r="B49" s="8" t="s">
        <v>31</v>
      </c>
      <c r="C49" s="8" t="s">
        <v>23</v>
      </c>
      <c r="D49" s="8" t="s">
        <v>84</v>
      </c>
      <c r="E49" s="8" t="s">
        <v>85</v>
      </c>
      <c r="F49" s="8" t="s">
        <v>20</v>
      </c>
      <c r="G49" s="8" t="n">
        <v>13</v>
      </c>
      <c r="H49" s="9" t="n">
        <v>34.99</v>
      </c>
      <c r="I49" s="9" t="n">
        <v>13</v>
      </c>
      <c r="J49" s="10" t="n">
        <v>0.1</v>
      </c>
      <c r="K49" s="9" t="n">
        <f aca="false">G49*H49*(1-J49)</f>
        <v>409.383</v>
      </c>
      <c r="L49" s="9" t="n">
        <f aca="false">G49*I49</f>
        <v>169</v>
      </c>
      <c r="M49" s="9" t="n">
        <f aca="false">K49-L49</f>
        <v>240.383</v>
      </c>
      <c r="N49" s="11" t="n">
        <f aca="false">IF(K49=0,0,M49/K49)</f>
        <v>0.587183639770093</v>
      </c>
      <c r="O49" s="9" t="n">
        <f aca="false">(G49*H49)-K49</f>
        <v>45.487</v>
      </c>
      <c r="P49" s="8" t="s">
        <v>21</v>
      </c>
    </row>
    <row r="50" customFormat="false" ht="15" hidden="false" customHeight="false" outlineLevel="0" collapsed="false">
      <c r="A50" s="2" t="n">
        <v>46066</v>
      </c>
      <c r="B50" s="3" t="s">
        <v>16</v>
      </c>
      <c r="C50" s="3" t="s">
        <v>17</v>
      </c>
      <c r="D50" s="3" t="s">
        <v>78</v>
      </c>
      <c r="E50" s="3" t="s">
        <v>79</v>
      </c>
      <c r="F50" s="3" t="s">
        <v>20</v>
      </c>
      <c r="G50" s="3" t="n">
        <v>9</v>
      </c>
      <c r="H50" s="4" t="n">
        <v>39.99</v>
      </c>
      <c r="I50" s="4" t="n">
        <v>16</v>
      </c>
      <c r="J50" s="5" t="n">
        <v>0.15</v>
      </c>
      <c r="K50" s="4" t="n">
        <f aca="false">G50*H50*(1-J50)</f>
        <v>305.9235</v>
      </c>
      <c r="L50" s="4" t="n">
        <f aca="false">G50*I50</f>
        <v>144</v>
      </c>
      <c r="M50" s="4" t="n">
        <f aca="false">K50-L50</f>
        <v>161.9235</v>
      </c>
      <c r="N50" s="6" t="n">
        <f aca="false">IF(K50=0,0,M50/K50)</f>
        <v>0.529294088227939</v>
      </c>
      <c r="O50" s="4" t="n">
        <f aca="false">(G50*H50)-K50</f>
        <v>53.9865</v>
      </c>
      <c r="P50" s="3" t="s">
        <v>21</v>
      </c>
    </row>
    <row r="51" customFormat="false" ht="15" hidden="false" customHeight="false" outlineLevel="0" collapsed="false">
      <c r="A51" s="7" t="n">
        <v>46083</v>
      </c>
      <c r="B51" s="8" t="s">
        <v>16</v>
      </c>
      <c r="C51" s="8" t="s">
        <v>17</v>
      </c>
      <c r="D51" s="8" t="s">
        <v>72</v>
      </c>
      <c r="E51" s="8" t="s">
        <v>73</v>
      </c>
      <c r="F51" s="8" t="s">
        <v>57</v>
      </c>
      <c r="G51" s="8" t="n">
        <v>8</v>
      </c>
      <c r="H51" s="9" t="n">
        <v>19.99</v>
      </c>
      <c r="I51" s="9" t="n">
        <v>7</v>
      </c>
      <c r="J51" s="10" t="n">
        <v>0</v>
      </c>
      <c r="K51" s="9" t="n">
        <f aca="false">G51*H51*(1-J51)</f>
        <v>159.92</v>
      </c>
      <c r="L51" s="9" t="n">
        <f aca="false">G51*I51</f>
        <v>56</v>
      </c>
      <c r="M51" s="9" t="n">
        <f aca="false">K51-L51</f>
        <v>103.92</v>
      </c>
      <c r="N51" s="11" t="n">
        <f aca="false">IF(K51=0,0,M51/K51)</f>
        <v>0.649824912456228</v>
      </c>
      <c r="O51" s="9" t="n">
        <f aca="false">(G51*H51)-K51</f>
        <v>0</v>
      </c>
      <c r="P51" s="8" t="s">
        <v>21</v>
      </c>
    </row>
    <row r="52" customFormat="false" ht="15" hidden="false" customHeight="false" outlineLevel="0" collapsed="false">
      <c r="A52" s="2" t="n">
        <v>46036</v>
      </c>
      <c r="B52" s="3" t="s">
        <v>64</v>
      </c>
      <c r="C52" s="3" t="s">
        <v>65</v>
      </c>
      <c r="D52" s="3" t="s">
        <v>76</v>
      </c>
      <c r="E52" s="3" t="s">
        <v>77</v>
      </c>
      <c r="F52" s="3" t="s">
        <v>34</v>
      </c>
      <c r="G52" s="3" t="n">
        <v>20</v>
      </c>
      <c r="H52" s="4" t="n">
        <v>44.99</v>
      </c>
      <c r="I52" s="4" t="n">
        <v>14</v>
      </c>
      <c r="J52" s="5" t="n">
        <v>0.25</v>
      </c>
      <c r="K52" s="4" t="n">
        <f aca="false">G52*H52*(1-J52)</f>
        <v>674.85</v>
      </c>
      <c r="L52" s="4" t="n">
        <f aca="false">G52*I52</f>
        <v>280</v>
      </c>
      <c r="M52" s="4" t="n">
        <f aca="false">K52-L52</f>
        <v>394.85</v>
      </c>
      <c r="N52" s="6" t="n">
        <f aca="false">IF(K52=0,0,M52/K52)</f>
        <v>0.585092983625991</v>
      </c>
      <c r="O52" s="4" t="n">
        <f aca="false">(G52*H52)-K52</f>
        <v>224.95</v>
      </c>
      <c r="P52" s="3" t="s">
        <v>21</v>
      </c>
    </row>
    <row r="53" customFormat="false" ht="15" hidden="false" customHeight="false" outlineLevel="0" collapsed="false">
      <c r="A53" s="7" t="n">
        <v>46071</v>
      </c>
      <c r="B53" s="8" t="s">
        <v>64</v>
      </c>
      <c r="C53" s="8" t="s">
        <v>65</v>
      </c>
      <c r="D53" s="8" t="s">
        <v>44</v>
      </c>
      <c r="E53" s="8" t="s">
        <v>45</v>
      </c>
      <c r="F53" s="8" t="s">
        <v>40</v>
      </c>
      <c r="G53" s="8" t="n">
        <v>22</v>
      </c>
      <c r="H53" s="9" t="n">
        <v>29.99</v>
      </c>
      <c r="I53" s="9" t="n">
        <v>11</v>
      </c>
      <c r="J53" s="10" t="n">
        <v>0</v>
      </c>
      <c r="K53" s="9" t="n">
        <f aca="false">G53*H53*(1-J53)</f>
        <v>659.78</v>
      </c>
      <c r="L53" s="9" t="n">
        <f aca="false">G53*I53</f>
        <v>242</v>
      </c>
      <c r="M53" s="9" t="n">
        <f aca="false">K53-L53</f>
        <v>417.78</v>
      </c>
      <c r="N53" s="11" t="n">
        <f aca="false">IF(K53=0,0,M53/K53)</f>
        <v>0.633211070356786</v>
      </c>
      <c r="O53" s="9" t="n">
        <f aca="false">(G53*H53)-K53</f>
        <v>0</v>
      </c>
      <c r="P53" s="8" t="s">
        <v>21</v>
      </c>
    </row>
    <row r="54" customFormat="false" ht="15" hidden="false" customHeight="false" outlineLevel="0" collapsed="false">
      <c r="A54" s="2" t="n">
        <v>46059</v>
      </c>
      <c r="B54" s="3" t="s">
        <v>37</v>
      </c>
      <c r="C54" s="3" t="s">
        <v>17</v>
      </c>
      <c r="D54" s="3" t="s">
        <v>74</v>
      </c>
      <c r="E54" s="3" t="s">
        <v>75</v>
      </c>
      <c r="F54" s="3" t="s">
        <v>40</v>
      </c>
      <c r="G54" s="3" t="n">
        <v>23</v>
      </c>
      <c r="H54" s="4" t="n">
        <v>29.99</v>
      </c>
      <c r="I54" s="4" t="n">
        <v>13</v>
      </c>
      <c r="J54" s="5" t="n">
        <v>0.25</v>
      </c>
      <c r="K54" s="4" t="n">
        <f aca="false">G54*H54*(1-J54)</f>
        <v>517.3275</v>
      </c>
      <c r="L54" s="4" t="n">
        <f aca="false">G54*I54</f>
        <v>299</v>
      </c>
      <c r="M54" s="4" t="n">
        <f aca="false">K54-L54</f>
        <v>218.3275</v>
      </c>
      <c r="N54" s="6" t="n">
        <f aca="false">IF(K54=0,0,M54/K54)</f>
        <v>0.422029565410692</v>
      </c>
      <c r="O54" s="4" t="n">
        <f aca="false">(G54*H54)-K54</f>
        <v>172.4425</v>
      </c>
      <c r="P54" s="3" t="s">
        <v>21</v>
      </c>
    </row>
    <row r="55" customFormat="false" ht="15" hidden="false" customHeight="false" outlineLevel="0" collapsed="false">
      <c r="A55" s="7" t="n">
        <v>46074</v>
      </c>
      <c r="B55" s="8" t="s">
        <v>22</v>
      </c>
      <c r="C55" s="8" t="s">
        <v>23</v>
      </c>
      <c r="D55" s="8" t="s">
        <v>51</v>
      </c>
      <c r="E55" s="8" t="s">
        <v>52</v>
      </c>
      <c r="F55" s="8" t="s">
        <v>50</v>
      </c>
      <c r="G55" s="8" t="n">
        <v>8</v>
      </c>
      <c r="H55" s="9" t="n">
        <v>19.99</v>
      </c>
      <c r="I55" s="9" t="n">
        <v>7</v>
      </c>
      <c r="J55" s="10" t="n">
        <v>0</v>
      </c>
      <c r="K55" s="9" t="n">
        <f aca="false">G55*H55*(1-J55)</f>
        <v>159.92</v>
      </c>
      <c r="L55" s="9" t="n">
        <f aca="false">G55*I55</f>
        <v>56</v>
      </c>
      <c r="M55" s="9" t="n">
        <f aca="false">K55-L55</f>
        <v>103.92</v>
      </c>
      <c r="N55" s="11" t="n">
        <f aca="false">IF(K55=0,0,M55/K55)</f>
        <v>0.649824912456228</v>
      </c>
      <c r="O55" s="9" t="n">
        <f aca="false">(G55*H55)-K55</f>
        <v>0</v>
      </c>
      <c r="P55" s="8" t="s">
        <v>21</v>
      </c>
    </row>
    <row r="56" customFormat="false" ht="15" hidden="false" customHeight="false" outlineLevel="0" collapsed="false">
      <c r="A56" s="2" t="n">
        <v>46067</v>
      </c>
      <c r="B56" s="3" t="s">
        <v>22</v>
      </c>
      <c r="C56" s="3" t="s">
        <v>23</v>
      </c>
      <c r="D56" s="3" t="s">
        <v>86</v>
      </c>
      <c r="E56" s="3" t="s">
        <v>87</v>
      </c>
      <c r="F56" s="3" t="s">
        <v>40</v>
      </c>
      <c r="G56" s="3" t="n">
        <v>8</v>
      </c>
      <c r="H56" s="4" t="n">
        <v>16.99</v>
      </c>
      <c r="I56" s="4" t="n">
        <v>5.5</v>
      </c>
      <c r="J56" s="5" t="n">
        <v>0.1</v>
      </c>
      <c r="K56" s="4" t="n">
        <f aca="false">G56*H56*(1-J56)</f>
        <v>122.328</v>
      </c>
      <c r="L56" s="4" t="n">
        <f aca="false">G56*I56</f>
        <v>44</v>
      </c>
      <c r="M56" s="4" t="n">
        <f aca="false">K56-L56</f>
        <v>78.328</v>
      </c>
      <c r="N56" s="6" t="n">
        <f aca="false">IF(K56=0,0,M56/K56)</f>
        <v>0.640311294225361</v>
      </c>
      <c r="O56" s="4" t="n">
        <f aca="false">(G56*H56)-K56</f>
        <v>13.592</v>
      </c>
      <c r="P56" s="3" t="s">
        <v>21</v>
      </c>
    </row>
    <row r="57" customFormat="false" ht="15" hidden="false" customHeight="false" outlineLevel="0" collapsed="false">
      <c r="A57" s="7" t="n">
        <v>46091</v>
      </c>
      <c r="B57" s="8" t="s">
        <v>58</v>
      </c>
      <c r="C57" s="8" t="s">
        <v>58</v>
      </c>
      <c r="D57" s="8" t="s">
        <v>51</v>
      </c>
      <c r="E57" s="8" t="s">
        <v>52</v>
      </c>
      <c r="F57" s="8" t="s">
        <v>50</v>
      </c>
      <c r="G57" s="8" t="n">
        <v>11</v>
      </c>
      <c r="H57" s="9" t="n">
        <v>19.99</v>
      </c>
      <c r="I57" s="9" t="n">
        <v>7</v>
      </c>
      <c r="J57" s="10" t="n">
        <v>0.2</v>
      </c>
      <c r="K57" s="9" t="n">
        <f aca="false">G57*H57*(1-J57)</f>
        <v>175.912</v>
      </c>
      <c r="L57" s="9" t="n">
        <f aca="false">G57*I57</f>
        <v>77</v>
      </c>
      <c r="M57" s="9" t="n">
        <f aca="false">K57-L57</f>
        <v>98.912</v>
      </c>
      <c r="N57" s="11" t="n">
        <f aca="false">IF(K57=0,0,M57/K57)</f>
        <v>0.562281140570285</v>
      </c>
      <c r="O57" s="9" t="n">
        <f aca="false">(G57*H57)-K57</f>
        <v>43.978</v>
      </c>
      <c r="P57" s="8" t="s">
        <v>21</v>
      </c>
    </row>
    <row r="58" customFormat="false" ht="15" hidden="false" customHeight="false" outlineLevel="0" collapsed="false">
      <c r="A58" s="2" t="n">
        <v>46064</v>
      </c>
      <c r="B58" s="3" t="s">
        <v>64</v>
      </c>
      <c r="C58" s="3" t="s">
        <v>65</v>
      </c>
      <c r="D58" s="3" t="s">
        <v>88</v>
      </c>
      <c r="E58" s="3" t="s">
        <v>89</v>
      </c>
      <c r="F58" s="3" t="s">
        <v>57</v>
      </c>
      <c r="G58" s="3" t="n">
        <v>21</v>
      </c>
      <c r="H58" s="4" t="n">
        <v>12.99</v>
      </c>
      <c r="I58" s="4" t="n">
        <v>4.5</v>
      </c>
      <c r="J58" s="5" t="n">
        <v>0.3</v>
      </c>
      <c r="K58" s="4" t="n">
        <f aca="false">G58*H58*(1-J58)</f>
        <v>190.953</v>
      </c>
      <c r="L58" s="4" t="n">
        <f aca="false">G58*I58</f>
        <v>94.5</v>
      </c>
      <c r="M58" s="4" t="n">
        <f aca="false">K58-L58</f>
        <v>96.453</v>
      </c>
      <c r="N58" s="6" t="n">
        <f aca="false">IF(K58=0,0,M58/K58)</f>
        <v>0.505113823820521</v>
      </c>
      <c r="O58" s="4" t="n">
        <f aca="false">(G58*H58)-K58</f>
        <v>81.837</v>
      </c>
      <c r="P58" s="3" t="s">
        <v>21</v>
      </c>
    </row>
    <row r="59" customFormat="false" ht="15" hidden="false" customHeight="false" outlineLevel="0" collapsed="false">
      <c r="A59" s="7" t="n">
        <v>46111</v>
      </c>
      <c r="B59" s="8" t="s">
        <v>16</v>
      </c>
      <c r="C59" s="8" t="s">
        <v>17</v>
      </c>
      <c r="D59" s="8" t="s">
        <v>24</v>
      </c>
      <c r="E59" s="8" t="s">
        <v>25</v>
      </c>
      <c r="F59" s="8" t="s">
        <v>26</v>
      </c>
      <c r="G59" s="8" t="n">
        <v>5</v>
      </c>
      <c r="H59" s="9" t="n">
        <v>54.99</v>
      </c>
      <c r="I59" s="9" t="n">
        <v>24</v>
      </c>
      <c r="J59" s="10" t="n">
        <v>0.3</v>
      </c>
      <c r="K59" s="9" t="n">
        <f aca="false">G59*H59*(1-J59)</f>
        <v>192.465</v>
      </c>
      <c r="L59" s="9" t="n">
        <f aca="false">G59*I59</f>
        <v>120</v>
      </c>
      <c r="M59" s="9" t="n">
        <f aca="false">K59-L59</f>
        <v>72.465</v>
      </c>
      <c r="N59" s="11" t="n">
        <f aca="false">IF(K59=0,0,M59/K59)</f>
        <v>0.376510014807887</v>
      </c>
      <c r="O59" s="9" t="n">
        <f aca="false">(G59*H59)-K59</f>
        <v>82.485</v>
      </c>
      <c r="P59" s="8" t="s">
        <v>21</v>
      </c>
    </row>
    <row r="60" customFormat="false" ht="15" hidden="false" customHeight="false" outlineLevel="0" collapsed="false">
      <c r="A60" s="2" t="n">
        <v>46107</v>
      </c>
      <c r="B60" s="3" t="s">
        <v>64</v>
      </c>
      <c r="C60" s="3" t="s">
        <v>65</v>
      </c>
      <c r="D60" s="3" t="s">
        <v>70</v>
      </c>
      <c r="E60" s="3" t="s">
        <v>71</v>
      </c>
      <c r="F60" s="3" t="s">
        <v>20</v>
      </c>
      <c r="G60" s="3" t="n">
        <v>3</v>
      </c>
      <c r="H60" s="4" t="n">
        <v>49.99</v>
      </c>
      <c r="I60" s="4" t="n">
        <v>19</v>
      </c>
      <c r="J60" s="5" t="n">
        <v>0</v>
      </c>
      <c r="K60" s="4" t="n">
        <f aca="false">G60*H60*(1-J60)</f>
        <v>149.97</v>
      </c>
      <c r="L60" s="4" t="n">
        <f aca="false">G60*I60</f>
        <v>57</v>
      </c>
      <c r="M60" s="4" t="n">
        <f aca="false">K60-L60</f>
        <v>92.97</v>
      </c>
      <c r="N60" s="6" t="n">
        <f aca="false">IF(K60=0,0,M60/K60)</f>
        <v>0.619923984796959</v>
      </c>
      <c r="O60" s="4" t="n">
        <f aca="false">(G60*H60)-K60</f>
        <v>0</v>
      </c>
      <c r="P60" s="3" t="s">
        <v>21</v>
      </c>
    </row>
    <row r="61" customFormat="false" ht="15" hidden="false" customHeight="false" outlineLevel="0" collapsed="false">
      <c r="A61" s="7" t="n">
        <v>46091</v>
      </c>
      <c r="B61" s="8" t="s">
        <v>27</v>
      </c>
      <c r="C61" s="8" t="s">
        <v>28</v>
      </c>
      <c r="D61" s="8" t="s">
        <v>46</v>
      </c>
      <c r="E61" s="8" t="s">
        <v>47</v>
      </c>
      <c r="F61" s="8" t="s">
        <v>20</v>
      </c>
      <c r="G61" s="8" t="n">
        <v>30</v>
      </c>
      <c r="H61" s="9" t="n">
        <v>44.99</v>
      </c>
      <c r="I61" s="9" t="n">
        <v>18</v>
      </c>
      <c r="J61" s="10" t="n">
        <v>0</v>
      </c>
      <c r="K61" s="9" t="n">
        <f aca="false">G61*H61*(1-J61)</f>
        <v>1349.7</v>
      </c>
      <c r="L61" s="9" t="n">
        <f aca="false">G61*I61</f>
        <v>540</v>
      </c>
      <c r="M61" s="9" t="n">
        <f aca="false">K61-L61</f>
        <v>809.7</v>
      </c>
      <c r="N61" s="11" t="n">
        <f aca="false">IF(K61=0,0,M61/K61)</f>
        <v>0.599911091353634</v>
      </c>
      <c r="O61" s="9" t="n">
        <f aca="false">(G61*H61)-K61</f>
        <v>0</v>
      </c>
      <c r="P61" s="8" t="s">
        <v>21</v>
      </c>
    </row>
    <row r="62" customFormat="false" ht="15" hidden="false" customHeight="false" outlineLevel="0" collapsed="false">
      <c r="A62" s="2" t="n">
        <v>46082</v>
      </c>
      <c r="B62" s="3" t="s">
        <v>41</v>
      </c>
      <c r="C62" s="3" t="s">
        <v>28</v>
      </c>
      <c r="D62" s="3" t="s">
        <v>90</v>
      </c>
      <c r="E62" s="3" t="s">
        <v>91</v>
      </c>
      <c r="F62" s="3" t="s">
        <v>26</v>
      </c>
      <c r="G62" s="3" t="n">
        <v>9</v>
      </c>
      <c r="H62" s="4" t="n">
        <v>29.99</v>
      </c>
      <c r="I62" s="4" t="n">
        <v>11</v>
      </c>
      <c r="J62" s="5" t="n">
        <v>0.1</v>
      </c>
      <c r="K62" s="4" t="n">
        <f aca="false">G62*H62*(1-J62)</f>
        <v>242.919</v>
      </c>
      <c r="L62" s="4" t="n">
        <f aca="false">G62*I62</f>
        <v>99</v>
      </c>
      <c r="M62" s="4" t="n">
        <f aca="false">K62-L62</f>
        <v>143.919</v>
      </c>
      <c r="N62" s="6" t="n">
        <f aca="false">IF(K62=0,0,M62/K62)</f>
        <v>0.592456744840873</v>
      </c>
      <c r="O62" s="4" t="n">
        <f aca="false">(G62*H62)-K62</f>
        <v>26.991</v>
      </c>
      <c r="P62" s="3" t="s">
        <v>21</v>
      </c>
    </row>
    <row r="63" customFormat="false" ht="15" hidden="false" customHeight="false" outlineLevel="0" collapsed="false">
      <c r="A63" s="7" t="n">
        <v>46055</v>
      </c>
      <c r="B63" s="8" t="s">
        <v>41</v>
      </c>
      <c r="C63" s="8" t="s">
        <v>28</v>
      </c>
      <c r="D63" s="8" t="s">
        <v>61</v>
      </c>
      <c r="E63" s="8" t="s">
        <v>62</v>
      </c>
      <c r="F63" s="8" t="s">
        <v>34</v>
      </c>
      <c r="G63" s="8" t="n">
        <v>21</v>
      </c>
      <c r="H63" s="9" t="n">
        <v>14.99</v>
      </c>
      <c r="I63" s="9" t="n">
        <v>4.5</v>
      </c>
      <c r="J63" s="10" t="n">
        <v>0</v>
      </c>
      <c r="K63" s="9" t="n">
        <f aca="false">G63*H63*(1-J63)</f>
        <v>314.79</v>
      </c>
      <c r="L63" s="9" t="n">
        <f aca="false">G63*I63</f>
        <v>94.5</v>
      </c>
      <c r="M63" s="9" t="n">
        <f aca="false">K63-L63</f>
        <v>220.29</v>
      </c>
      <c r="N63" s="11" t="n">
        <f aca="false">IF(K63=0,0,M63/K63)</f>
        <v>0.699799866577719</v>
      </c>
      <c r="O63" s="9" t="n">
        <f aca="false">(G63*H63)-K63</f>
        <v>0</v>
      </c>
      <c r="P63" s="8" t="s">
        <v>21</v>
      </c>
    </row>
    <row r="64" customFormat="false" ht="15" hidden="false" customHeight="false" outlineLevel="0" collapsed="false">
      <c r="A64" s="2" t="n">
        <v>46078</v>
      </c>
      <c r="B64" s="3" t="s">
        <v>22</v>
      </c>
      <c r="C64" s="3" t="s">
        <v>23</v>
      </c>
      <c r="D64" s="3" t="s">
        <v>53</v>
      </c>
      <c r="E64" s="3" t="s">
        <v>54</v>
      </c>
      <c r="F64" s="3" t="s">
        <v>50</v>
      </c>
      <c r="G64" s="3" t="n">
        <v>20</v>
      </c>
      <c r="H64" s="4" t="n">
        <v>22.99</v>
      </c>
      <c r="I64" s="4" t="n">
        <v>8</v>
      </c>
      <c r="J64" s="5" t="n">
        <v>0.25</v>
      </c>
      <c r="K64" s="4" t="n">
        <f aca="false">G64*H64*(1-J64)</f>
        <v>344.85</v>
      </c>
      <c r="L64" s="4" t="n">
        <f aca="false">G64*I64</f>
        <v>160</v>
      </c>
      <c r="M64" s="4" t="n">
        <f aca="false">K64-L64</f>
        <v>184.85</v>
      </c>
      <c r="N64" s="6" t="n">
        <f aca="false">IF(K64=0,0,M64/K64)</f>
        <v>0.536030158039727</v>
      </c>
      <c r="O64" s="4" t="n">
        <f aca="false">(G64*H64)-K64</f>
        <v>114.95</v>
      </c>
      <c r="P64" s="3" t="s">
        <v>21</v>
      </c>
    </row>
    <row r="65" customFormat="false" ht="15" hidden="false" customHeight="false" outlineLevel="0" collapsed="false">
      <c r="A65" s="7" t="n">
        <v>46028</v>
      </c>
      <c r="B65" s="8" t="s">
        <v>64</v>
      </c>
      <c r="C65" s="8" t="s">
        <v>65</v>
      </c>
      <c r="D65" s="8" t="s">
        <v>42</v>
      </c>
      <c r="E65" s="8" t="s">
        <v>43</v>
      </c>
      <c r="F65" s="8" t="s">
        <v>34</v>
      </c>
      <c r="G65" s="8" t="n">
        <v>11</v>
      </c>
      <c r="H65" s="9" t="n">
        <v>11.99</v>
      </c>
      <c r="I65" s="9" t="n">
        <v>3.5</v>
      </c>
      <c r="J65" s="10" t="n">
        <v>0.1</v>
      </c>
      <c r="K65" s="9" t="n">
        <f aca="false">G65*H65*(1-J65)</f>
        <v>118.701</v>
      </c>
      <c r="L65" s="9" t="n">
        <f aca="false">G65*I65</f>
        <v>38.5</v>
      </c>
      <c r="M65" s="9" t="n">
        <f aca="false">K65-L65</f>
        <v>80.201</v>
      </c>
      <c r="N65" s="11" t="n">
        <f aca="false">IF(K65=0,0,M65/K65)</f>
        <v>0.675655638958391</v>
      </c>
      <c r="O65" s="9" t="n">
        <f aca="false">(G65*H65)-K65</f>
        <v>13.189</v>
      </c>
      <c r="P65" s="8" t="s">
        <v>21</v>
      </c>
    </row>
    <row r="66" customFormat="false" ht="15" hidden="false" customHeight="false" outlineLevel="0" collapsed="false">
      <c r="A66" s="2" t="n">
        <v>46048</v>
      </c>
      <c r="B66" s="3" t="s">
        <v>16</v>
      </c>
      <c r="C66" s="3" t="s">
        <v>17</v>
      </c>
      <c r="D66" s="3" t="s">
        <v>74</v>
      </c>
      <c r="E66" s="3" t="s">
        <v>75</v>
      </c>
      <c r="F66" s="3" t="s">
        <v>40</v>
      </c>
      <c r="G66" s="3" t="n">
        <v>18</v>
      </c>
      <c r="H66" s="4" t="n">
        <v>29.99</v>
      </c>
      <c r="I66" s="4" t="n">
        <v>13</v>
      </c>
      <c r="J66" s="5" t="n">
        <v>0.1</v>
      </c>
      <c r="K66" s="4" t="n">
        <f aca="false">G66*H66*(1-J66)</f>
        <v>485.838</v>
      </c>
      <c r="L66" s="4" t="n">
        <f aca="false">G66*I66</f>
        <v>234</v>
      </c>
      <c r="M66" s="4" t="n">
        <f aca="false">K66-L66</f>
        <v>251.838</v>
      </c>
      <c r="N66" s="6" t="n">
        <f aca="false">IF(K66=0,0,M66/K66)</f>
        <v>0.518357971175577</v>
      </c>
      <c r="O66" s="4" t="n">
        <f aca="false">(G66*H66)-K66</f>
        <v>53.982</v>
      </c>
      <c r="P66" s="3" t="s">
        <v>21</v>
      </c>
    </row>
    <row r="67" customFormat="false" ht="15" hidden="false" customHeight="false" outlineLevel="0" collapsed="false">
      <c r="A67" s="7" t="n">
        <v>46118</v>
      </c>
      <c r="B67" s="8" t="s">
        <v>58</v>
      </c>
      <c r="C67" s="8" t="s">
        <v>58</v>
      </c>
      <c r="D67" s="8" t="s">
        <v>80</v>
      </c>
      <c r="E67" s="8" t="s">
        <v>81</v>
      </c>
      <c r="F67" s="8" t="s">
        <v>57</v>
      </c>
      <c r="G67" s="8" t="n">
        <v>332</v>
      </c>
      <c r="H67" s="9" t="n">
        <v>17.99</v>
      </c>
      <c r="I67" s="9" t="n">
        <v>6.5</v>
      </c>
      <c r="J67" s="10" t="n">
        <v>0</v>
      </c>
      <c r="K67" s="9" t="n">
        <f aca="false">G67*H67*(1-J67)</f>
        <v>5972.68</v>
      </c>
      <c r="L67" s="9" t="n">
        <f aca="false">G67*I67</f>
        <v>2158</v>
      </c>
      <c r="M67" s="9" t="n">
        <f aca="false">K67-L67</f>
        <v>3814.68</v>
      </c>
      <c r="N67" s="11" t="n">
        <f aca="false">IF(K67=0,0,M67/K67)</f>
        <v>0.638688160088938</v>
      </c>
      <c r="O67" s="9" t="n">
        <f aca="false">(G67*H67)-K67</f>
        <v>0</v>
      </c>
      <c r="P67" s="13" t="s">
        <v>92</v>
      </c>
    </row>
    <row r="68" customFormat="false" ht="15" hidden="false" customHeight="false" outlineLevel="0" collapsed="false">
      <c r="A68" s="2" t="n">
        <v>46121</v>
      </c>
      <c r="B68" s="3" t="s">
        <v>27</v>
      </c>
      <c r="C68" s="3" t="s">
        <v>28</v>
      </c>
      <c r="D68" s="3" t="s">
        <v>48</v>
      </c>
      <c r="E68" s="3" t="s">
        <v>49</v>
      </c>
      <c r="F68" s="3" t="s">
        <v>50</v>
      </c>
      <c r="G68" s="3" t="n">
        <v>2</v>
      </c>
      <c r="H68" s="4" t="n">
        <v>59.99</v>
      </c>
      <c r="I68" s="4" t="n">
        <v>20</v>
      </c>
      <c r="J68" s="5" t="n">
        <v>0</v>
      </c>
      <c r="K68" s="4" t="n">
        <f aca="false">G68*H68*(1-J68)</f>
        <v>119.98</v>
      </c>
      <c r="L68" s="4" t="n">
        <f aca="false">G68*I68</f>
        <v>40</v>
      </c>
      <c r="M68" s="4" t="n">
        <f aca="false">K68-L68</f>
        <v>79.98</v>
      </c>
      <c r="N68" s="6" t="n">
        <f aca="false">IF(K68=0,0,M68/K68)</f>
        <v>0.666611101850308</v>
      </c>
      <c r="O68" s="4" t="n">
        <f aca="false">(G68*H68)-K68</f>
        <v>0</v>
      </c>
      <c r="P68" s="3" t="s">
        <v>21</v>
      </c>
    </row>
    <row r="69" customFormat="false" ht="15" hidden="false" customHeight="false" outlineLevel="0" collapsed="false">
      <c r="A69" s="7" t="n">
        <v>46129</v>
      </c>
      <c r="B69" s="8" t="s">
        <v>27</v>
      </c>
      <c r="C69" s="8" t="s">
        <v>28</v>
      </c>
      <c r="D69" s="8" t="s">
        <v>24</v>
      </c>
      <c r="E69" s="8" t="s">
        <v>25</v>
      </c>
      <c r="F69" s="8" t="s">
        <v>26</v>
      </c>
      <c r="G69" s="8" t="n">
        <v>4</v>
      </c>
      <c r="H69" s="9" t="n">
        <v>54.99</v>
      </c>
      <c r="I69" s="9" t="n">
        <v>24</v>
      </c>
      <c r="J69" s="10" t="n">
        <v>0</v>
      </c>
      <c r="K69" s="9" t="n">
        <f aca="false">G69*H69*(1-J69)</f>
        <v>219.96</v>
      </c>
      <c r="L69" s="9" t="n">
        <f aca="false">G69*I69</f>
        <v>96</v>
      </c>
      <c r="M69" s="9" t="n">
        <f aca="false">K69-L69</f>
        <v>123.96</v>
      </c>
      <c r="N69" s="11" t="n">
        <f aca="false">IF(K69=0,0,M69/K69)</f>
        <v>0.563557010365521</v>
      </c>
      <c r="O69" s="9" t="n">
        <f aca="false">(G69*H69)-K69</f>
        <v>0</v>
      </c>
      <c r="P69" s="8" t="s">
        <v>21</v>
      </c>
    </row>
    <row r="70" customFormat="false" ht="15" hidden="false" customHeight="false" outlineLevel="0" collapsed="false">
      <c r="A70" s="2" t="n">
        <v>46070</v>
      </c>
      <c r="B70" s="3" t="s">
        <v>41</v>
      </c>
      <c r="C70" s="3" t="s">
        <v>28</v>
      </c>
      <c r="D70" s="3" t="s">
        <v>72</v>
      </c>
      <c r="E70" s="3" t="s">
        <v>73</v>
      </c>
      <c r="F70" s="3" t="s">
        <v>57</v>
      </c>
      <c r="G70" s="3" t="n">
        <v>12</v>
      </c>
      <c r="H70" s="4" t="n">
        <v>19.99</v>
      </c>
      <c r="I70" s="4" t="n">
        <v>7</v>
      </c>
      <c r="J70" s="5" t="n">
        <v>0</v>
      </c>
      <c r="K70" s="4" t="n">
        <f aca="false">G70*H70*(1-J70)</f>
        <v>239.88</v>
      </c>
      <c r="L70" s="4" t="n">
        <f aca="false">G70*I70</f>
        <v>84</v>
      </c>
      <c r="M70" s="4" t="n">
        <f aca="false">K70-L70</f>
        <v>155.88</v>
      </c>
      <c r="N70" s="6" t="n">
        <f aca="false">IF(K70=0,0,M70/K70)</f>
        <v>0.649824912456228</v>
      </c>
      <c r="O70" s="4" t="n">
        <f aca="false">(G70*H70)-K70</f>
        <v>0</v>
      </c>
      <c r="P70" s="3" t="s">
        <v>21</v>
      </c>
    </row>
    <row r="71" customFormat="false" ht="15" hidden="false" customHeight="false" outlineLevel="0" collapsed="false">
      <c r="A71" s="7" t="n">
        <v>46122</v>
      </c>
      <c r="B71" s="8" t="s">
        <v>22</v>
      </c>
      <c r="C71" s="8" t="s">
        <v>23</v>
      </c>
      <c r="D71" s="8" t="s">
        <v>74</v>
      </c>
      <c r="E71" s="8" t="s">
        <v>75</v>
      </c>
      <c r="F71" s="8" t="s">
        <v>40</v>
      </c>
      <c r="G71" s="8" t="n">
        <v>10</v>
      </c>
      <c r="H71" s="9" t="n">
        <v>29.99</v>
      </c>
      <c r="I71" s="9" t="n">
        <v>13</v>
      </c>
      <c r="J71" s="10" t="n">
        <v>0.2</v>
      </c>
      <c r="K71" s="9" t="n">
        <f aca="false">G71*H71*(1-J71)</f>
        <v>239.92</v>
      </c>
      <c r="L71" s="9" t="n">
        <f aca="false">G71*I71</f>
        <v>130</v>
      </c>
      <c r="M71" s="9" t="n">
        <f aca="false">K71-L71</f>
        <v>109.92</v>
      </c>
      <c r="N71" s="11" t="n">
        <f aca="false">IF(K71=0,0,M71/K71)</f>
        <v>0.458152717572524</v>
      </c>
      <c r="O71" s="9" t="n">
        <f aca="false">(G71*H71)-K71</f>
        <v>59.98</v>
      </c>
      <c r="P71" s="8" t="s">
        <v>21</v>
      </c>
    </row>
    <row r="72" customFormat="false" ht="15" hidden="false" customHeight="false" outlineLevel="0" collapsed="false">
      <c r="A72" s="2" t="n">
        <v>46091</v>
      </c>
      <c r="B72" s="3" t="s">
        <v>41</v>
      </c>
      <c r="C72" s="3" t="s">
        <v>28</v>
      </c>
      <c r="D72" s="3" t="s">
        <v>78</v>
      </c>
      <c r="E72" s="3" t="s">
        <v>79</v>
      </c>
      <c r="F72" s="3" t="s">
        <v>20</v>
      </c>
      <c r="G72" s="3" t="n">
        <v>15</v>
      </c>
      <c r="H72" s="4" t="n">
        <v>39.99</v>
      </c>
      <c r="I72" s="4" t="n">
        <v>16</v>
      </c>
      <c r="J72" s="5" t="n">
        <v>0.3</v>
      </c>
      <c r="K72" s="4" t="n">
        <f aca="false">G72*H72*(1-J72)</f>
        <v>419.895</v>
      </c>
      <c r="L72" s="4" t="n">
        <f aca="false">G72*I72</f>
        <v>240</v>
      </c>
      <c r="M72" s="4" t="n">
        <f aca="false">K72-L72</f>
        <v>179.895</v>
      </c>
      <c r="N72" s="6" t="n">
        <f aca="false">IF(K72=0,0,M72/K72)</f>
        <v>0.428428535705355</v>
      </c>
      <c r="O72" s="4" t="n">
        <f aca="false">(G72*H72)-K72</f>
        <v>179.955</v>
      </c>
      <c r="P72" s="3" t="s">
        <v>21</v>
      </c>
    </row>
    <row r="73" customFormat="false" ht="15" hidden="false" customHeight="false" outlineLevel="0" collapsed="false">
      <c r="A73" s="7" t="n">
        <v>46107</v>
      </c>
      <c r="B73" s="8" t="s">
        <v>41</v>
      </c>
      <c r="C73" s="8" t="s">
        <v>28</v>
      </c>
      <c r="D73" s="8" t="s">
        <v>48</v>
      </c>
      <c r="E73" s="8" t="s">
        <v>49</v>
      </c>
      <c r="F73" s="8" t="s">
        <v>50</v>
      </c>
      <c r="G73" s="8" t="n">
        <v>12</v>
      </c>
      <c r="H73" s="9" t="n">
        <v>59.99</v>
      </c>
      <c r="I73" s="9" t="n">
        <v>20</v>
      </c>
      <c r="J73" s="10" t="n">
        <v>0.05</v>
      </c>
      <c r="K73" s="9" t="n">
        <f aca="false">G73*H73*(1-J73)</f>
        <v>683.886</v>
      </c>
      <c r="L73" s="9" t="n">
        <f aca="false">G73*I73</f>
        <v>240</v>
      </c>
      <c r="M73" s="9" t="n">
        <f aca="false">K73-L73</f>
        <v>443.886</v>
      </c>
      <c r="N73" s="11" t="n">
        <f aca="false">IF(K73=0,0,M73/K73)</f>
        <v>0.649064317737167</v>
      </c>
      <c r="O73" s="9" t="n">
        <f aca="false">(G73*H73)-K73</f>
        <v>35.994</v>
      </c>
      <c r="P73" s="8" t="s">
        <v>21</v>
      </c>
    </row>
    <row r="74" customFormat="false" ht="15" hidden="false" customHeight="false" outlineLevel="0" collapsed="false">
      <c r="A74" s="2" t="n">
        <v>46091</v>
      </c>
      <c r="B74" s="3" t="s">
        <v>27</v>
      </c>
      <c r="C74" s="3" t="s">
        <v>28</v>
      </c>
      <c r="D74" s="3" t="s">
        <v>38</v>
      </c>
      <c r="E74" s="3" t="s">
        <v>39</v>
      </c>
      <c r="F74" s="3" t="s">
        <v>40</v>
      </c>
      <c r="G74" s="3" t="n">
        <v>12</v>
      </c>
      <c r="H74" s="4" t="n">
        <v>12.99</v>
      </c>
      <c r="I74" s="4" t="n">
        <v>4</v>
      </c>
      <c r="J74" s="5" t="n">
        <v>0.15</v>
      </c>
      <c r="K74" s="4" t="n">
        <f aca="false">G74*H74*(1-J74)</f>
        <v>132.498</v>
      </c>
      <c r="L74" s="4" t="n">
        <f aca="false">G74*I74</f>
        <v>48</v>
      </c>
      <c r="M74" s="4" t="n">
        <f aca="false">K74-L74</f>
        <v>84.498</v>
      </c>
      <c r="N74" s="6" t="n">
        <f aca="false">IF(K74=0,0,M74/K74)</f>
        <v>0.637730380835937</v>
      </c>
      <c r="O74" s="4" t="n">
        <f aca="false">(G74*H74)-K74</f>
        <v>23.382</v>
      </c>
      <c r="P74" s="3" t="s">
        <v>21</v>
      </c>
    </row>
    <row r="75" customFormat="false" ht="15" hidden="false" customHeight="false" outlineLevel="0" collapsed="false">
      <c r="A75" s="7" t="n">
        <v>46130</v>
      </c>
      <c r="B75" s="8" t="s">
        <v>22</v>
      </c>
      <c r="C75" s="8" t="s">
        <v>23</v>
      </c>
      <c r="D75" s="8" t="s">
        <v>53</v>
      </c>
      <c r="E75" s="8" t="s">
        <v>54</v>
      </c>
      <c r="F75" s="8" t="s">
        <v>50</v>
      </c>
      <c r="G75" s="8" t="n">
        <v>24</v>
      </c>
      <c r="H75" s="9" t="n">
        <v>22.99</v>
      </c>
      <c r="I75" s="9" t="n">
        <v>8</v>
      </c>
      <c r="J75" s="10" t="n">
        <v>0.1</v>
      </c>
      <c r="K75" s="9" t="n">
        <f aca="false">G75*H75*(1-J75)</f>
        <v>496.584</v>
      </c>
      <c r="L75" s="9" t="n">
        <f aca="false">G75*I75</f>
        <v>192</v>
      </c>
      <c r="M75" s="9" t="n">
        <f aca="false">K75-L75</f>
        <v>304.584</v>
      </c>
      <c r="N75" s="11" t="n">
        <f aca="false">IF(K75=0,0,M75/K75)</f>
        <v>0.613358465033106</v>
      </c>
      <c r="O75" s="9" t="n">
        <f aca="false">(G75*H75)-K75</f>
        <v>55.176</v>
      </c>
      <c r="P75" s="8" t="s">
        <v>21</v>
      </c>
    </row>
    <row r="76" customFormat="false" ht="15" hidden="false" customHeight="false" outlineLevel="0" collapsed="false">
      <c r="A76" s="2" t="n">
        <v>46129</v>
      </c>
      <c r="B76" s="3" t="s">
        <v>37</v>
      </c>
      <c r="C76" s="3" t="s">
        <v>17</v>
      </c>
      <c r="D76" s="3" t="s">
        <v>74</v>
      </c>
      <c r="E76" s="3" t="s">
        <v>75</v>
      </c>
      <c r="F76" s="3" t="s">
        <v>40</v>
      </c>
      <c r="G76" s="3" t="n">
        <v>29</v>
      </c>
      <c r="H76" s="4" t="n">
        <v>29.99</v>
      </c>
      <c r="I76" s="4" t="n">
        <v>13</v>
      </c>
      <c r="J76" s="5" t="n">
        <v>0.2</v>
      </c>
      <c r="K76" s="4" t="n">
        <f aca="false">G76*H76*(1-J76)</f>
        <v>695.768</v>
      </c>
      <c r="L76" s="4" t="n">
        <f aca="false">G76*I76</f>
        <v>377</v>
      </c>
      <c r="M76" s="4" t="n">
        <f aca="false">K76-L76</f>
        <v>318.768</v>
      </c>
      <c r="N76" s="6" t="n">
        <f aca="false">IF(K76=0,0,M76/K76)</f>
        <v>0.458152717572524</v>
      </c>
      <c r="O76" s="4" t="n">
        <f aca="false">(G76*H76)-K76</f>
        <v>173.942</v>
      </c>
      <c r="P76" s="3" t="s">
        <v>21</v>
      </c>
    </row>
    <row r="77" customFormat="false" ht="15" hidden="false" customHeight="false" outlineLevel="0" collapsed="false">
      <c r="A77" s="7" t="n">
        <v>46072</v>
      </c>
      <c r="B77" s="8" t="s">
        <v>27</v>
      </c>
      <c r="C77" s="8" t="s">
        <v>28</v>
      </c>
      <c r="D77" s="8" t="s">
        <v>38</v>
      </c>
      <c r="E77" s="8" t="s">
        <v>39</v>
      </c>
      <c r="F77" s="8" t="s">
        <v>40</v>
      </c>
      <c r="G77" s="8" t="n">
        <v>26</v>
      </c>
      <c r="H77" s="9" t="n">
        <v>12.99</v>
      </c>
      <c r="I77" s="9" t="n">
        <v>4</v>
      </c>
      <c r="J77" s="10" t="n">
        <v>0.15</v>
      </c>
      <c r="K77" s="9" t="n">
        <f aca="false">G77*H77*(1-J77)</f>
        <v>287.079</v>
      </c>
      <c r="L77" s="9" t="n">
        <f aca="false">G77*I77</f>
        <v>104</v>
      </c>
      <c r="M77" s="9" t="n">
        <f aca="false">K77-L77</f>
        <v>183.079</v>
      </c>
      <c r="N77" s="11" t="n">
        <f aca="false">IF(K77=0,0,M77/K77)</f>
        <v>0.637730380835937</v>
      </c>
      <c r="O77" s="9" t="n">
        <f aca="false">(G77*H77)-K77</f>
        <v>50.661</v>
      </c>
      <c r="P77" s="8" t="s">
        <v>21</v>
      </c>
    </row>
    <row r="78" customFormat="false" ht="15" hidden="false" customHeight="false" outlineLevel="0" collapsed="false">
      <c r="A78" s="2" t="n">
        <v>46098</v>
      </c>
      <c r="B78" s="3" t="s">
        <v>41</v>
      </c>
      <c r="C78" s="3" t="s">
        <v>28</v>
      </c>
      <c r="D78" s="3" t="s">
        <v>68</v>
      </c>
      <c r="E78" s="3" t="s">
        <v>69</v>
      </c>
      <c r="F78" s="3" t="s">
        <v>40</v>
      </c>
      <c r="G78" s="3" t="n">
        <v>4</v>
      </c>
      <c r="H78" s="4" t="n">
        <v>24.99</v>
      </c>
      <c r="I78" s="4" t="n">
        <v>9</v>
      </c>
      <c r="J78" s="5" t="n">
        <v>0.15</v>
      </c>
      <c r="K78" s="4" t="n">
        <f aca="false">G78*H78*(1-J78)</f>
        <v>84.966</v>
      </c>
      <c r="L78" s="4" t="n">
        <f aca="false">G78*I78</f>
        <v>36</v>
      </c>
      <c r="M78" s="4" t="n">
        <f aca="false">K78-L78</f>
        <v>48.966</v>
      </c>
      <c r="N78" s="6" t="n">
        <f aca="false">IF(K78=0,0,M78/K78)</f>
        <v>0.576301108678766</v>
      </c>
      <c r="O78" s="4" t="n">
        <f aca="false">(G78*H78)-K78</f>
        <v>14.994</v>
      </c>
      <c r="P78" s="3" t="s">
        <v>21</v>
      </c>
    </row>
    <row r="79" customFormat="false" ht="15" hidden="false" customHeight="false" outlineLevel="0" collapsed="false">
      <c r="A79" s="7" t="n">
        <v>46091</v>
      </c>
      <c r="B79" s="8" t="s">
        <v>58</v>
      </c>
      <c r="C79" s="8" t="s">
        <v>58</v>
      </c>
      <c r="D79" s="8" t="s">
        <v>70</v>
      </c>
      <c r="E79" s="8" t="s">
        <v>71</v>
      </c>
      <c r="F79" s="8" t="s">
        <v>20</v>
      </c>
      <c r="G79" s="8" t="n">
        <v>14</v>
      </c>
      <c r="H79" s="9" t="n">
        <v>49.99</v>
      </c>
      <c r="I79" s="9" t="n">
        <v>19</v>
      </c>
      <c r="J79" s="10" t="n">
        <v>0</v>
      </c>
      <c r="K79" s="9" t="n">
        <f aca="false">G79*H79*(1-J79)</f>
        <v>699.86</v>
      </c>
      <c r="L79" s="9" t="n">
        <f aca="false">G79*I79</f>
        <v>266</v>
      </c>
      <c r="M79" s="9" t="n">
        <f aca="false">K79-L79</f>
        <v>433.86</v>
      </c>
      <c r="N79" s="11" t="n">
        <f aca="false">IF(K79=0,0,M79/K79)</f>
        <v>0.619923984796959</v>
      </c>
      <c r="O79" s="9" t="n">
        <f aca="false">(G79*H79)-K79</f>
        <v>0</v>
      </c>
      <c r="P79" s="8" t="s">
        <v>21</v>
      </c>
    </row>
    <row r="80" customFormat="false" ht="15" hidden="false" customHeight="false" outlineLevel="0" collapsed="false">
      <c r="A80" s="2" t="n">
        <v>46095</v>
      </c>
      <c r="B80" s="3" t="s">
        <v>41</v>
      </c>
      <c r="C80" s="3" t="s">
        <v>28</v>
      </c>
      <c r="D80" s="3" t="s">
        <v>72</v>
      </c>
      <c r="E80" s="3" t="s">
        <v>73</v>
      </c>
      <c r="F80" s="3" t="s">
        <v>57</v>
      </c>
      <c r="G80" s="3" t="n">
        <v>18</v>
      </c>
      <c r="H80" s="4" t="n">
        <v>19.99</v>
      </c>
      <c r="I80" s="4" t="n">
        <v>7</v>
      </c>
      <c r="J80" s="5" t="n">
        <v>0</v>
      </c>
      <c r="K80" s="4" t="n">
        <f aca="false">G80*H80*(1-J80)</f>
        <v>359.82</v>
      </c>
      <c r="L80" s="4" t="n">
        <f aca="false">G80*I80</f>
        <v>126</v>
      </c>
      <c r="M80" s="4" t="n">
        <f aca="false">K80-L80</f>
        <v>233.82</v>
      </c>
      <c r="N80" s="6" t="n">
        <f aca="false">IF(K80=0,0,M80/K80)</f>
        <v>0.649824912456228</v>
      </c>
      <c r="O80" s="4" t="n">
        <f aca="false">(G80*H80)-K80</f>
        <v>0</v>
      </c>
      <c r="P80" s="3" t="s">
        <v>21</v>
      </c>
    </row>
    <row r="81" customFormat="false" ht="15" hidden="false" customHeight="false" outlineLevel="0" collapsed="false">
      <c r="A81" s="7" t="n">
        <v>46112</v>
      </c>
      <c r="B81" s="8" t="s">
        <v>64</v>
      </c>
      <c r="C81" s="8" t="s">
        <v>65</v>
      </c>
      <c r="D81" s="8" t="s">
        <v>82</v>
      </c>
      <c r="E81" s="8" t="s">
        <v>83</v>
      </c>
      <c r="F81" s="8" t="s">
        <v>26</v>
      </c>
      <c r="G81" s="8" t="n">
        <v>15</v>
      </c>
      <c r="H81" s="9" t="n">
        <v>44.99</v>
      </c>
      <c r="I81" s="9" t="n">
        <v>18</v>
      </c>
      <c r="J81" s="10" t="n">
        <v>0.25</v>
      </c>
      <c r="K81" s="9" t="n">
        <f aca="false">G81*H81*(1-J81)</f>
        <v>506.1375</v>
      </c>
      <c r="L81" s="9" t="n">
        <f aca="false">G81*I81</f>
        <v>270</v>
      </c>
      <c r="M81" s="9" t="n">
        <f aca="false">K81-L81</f>
        <v>236.1375</v>
      </c>
      <c r="N81" s="11" t="n">
        <f aca="false">IF(K81=0,0,M81/K81)</f>
        <v>0.466548121804846</v>
      </c>
      <c r="O81" s="9" t="n">
        <f aca="false">(G81*H81)-K81</f>
        <v>168.7125</v>
      </c>
      <c r="P81" s="8" t="s">
        <v>21</v>
      </c>
    </row>
    <row r="82" customFormat="false" ht="15" hidden="false" customHeight="false" outlineLevel="0" collapsed="false">
      <c r="A82" s="2" t="n">
        <v>46096</v>
      </c>
      <c r="B82" s="3" t="s">
        <v>37</v>
      </c>
      <c r="C82" s="3" t="s">
        <v>17</v>
      </c>
      <c r="D82" s="3" t="s">
        <v>29</v>
      </c>
      <c r="E82" s="3" t="s">
        <v>30</v>
      </c>
      <c r="F82" s="3" t="s">
        <v>20</v>
      </c>
      <c r="G82" s="3" t="n">
        <v>3</v>
      </c>
      <c r="H82" s="4" t="n">
        <v>79.99</v>
      </c>
      <c r="I82" s="4" t="n">
        <v>42</v>
      </c>
      <c r="J82" s="5" t="n">
        <v>0.05</v>
      </c>
      <c r="K82" s="4" t="n">
        <f aca="false">G82*H82*(1-J82)</f>
        <v>227.9715</v>
      </c>
      <c r="L82" s="4" t="n">
        <f aca="false">G82*I82</f>
        <v>126</v>
      </c>
      <c r="M82" s="4" t="n">
        <f aca="false">K82-L82</f>
        <v>101.9715</v>
      </c>
      <c r="N82" s="6" t="n">
        <f aca="false">IF(K82=0,0,M82/K82)</f>
        <v>0.447299333469315</v>
      </c>
      <c r="O82" s="4" t="n">
        <f aca="false">(G82*H82)-K82</f>
        <v>11.9985</v>
      </c>
      <c r="P82" s="3" t="s">
        <v>21</v>
      </c>
    </row>
    <row r="83" customFormat="false" ht="15" hidden="false" customHeight="false" outlineLevel="0" collapsed="false">
      <c r="A83" s="7" t="n">
        <v>46078</v>
      </c>
      <c r="B83" s="8" t="s">
        <v>58</v>
      </c>
      <c r="C83" s="8" t="s">
        <v>58</v>
      </c>
      <c r="D83" s="8" t="s">
        <v>18</v>
      </c>
      <c r="E83" s="8" t="s">
        <v>19</v>
      </c>
      <c r="F83" s="8" t="s">
        <v>20</v>
      </c>
      <c r="G83" s="8" t="n">
        <v>13</v>
      </c>
      <c r="H83" s="9" t="n">
        <v>26.99</v>
      </c>
      <c r="I83" s="9" t="n">
        <v>10.5</v>
      </c>
      <c r="J83" s="10" t="n">
        <v>0.1</v>
      </c>
      <c r="K83" s="9" t="n">
        <f aca="false">G83*H83*(1-J83)</f>
        <v>315.783</v>
      </c>
      <c r="L83" s="9" t="n">
        <f aca="false">G83*I83</f>
        <v>136.5</v>
      </c>
      <c r="M83" s="9" t="n">
        <f aca="false">K83-L83</f>
        <v>179.283</v>
      </c>
      <c r="N83" s="11" t="n">
        <f aca="false">IF(K83=0,0,M83/K83)</f>
        <v>0.567741138693343</v>
      </c>
      <c r="O83" s="9" t="n">
        <f aca="false">(G83*H83)-K83</f>
        <v>35.087</v>
      </c>
      <c r="P83" s="8" t="s">
        <v>21</v>
      </c>
    </row>
    <row r="84" customFormat="false" ht="15" hidden="false" customHeight="false" outlineLevel="0" collapsed="false">
      <c r="A84" s="2" t="n">
        <v>46119</v>
      </c>
      <c r="B84" s="3" t="s">
        <v>58</v>
      </c>
      <c r="C84" s="3" t="s">
        <v>58</v>
      </c>
      <c r="D84" s="3" t="s">
        <v>74</v>
      </c>
      <c r="E84" s="3" t="s">
        <v>75</v>
      </c>
      <c r="F84" s="3" t="s">
        <v>40</v>
      </c>
      <c r="G84" s="3" t="n">
        <v>15</v>
      </c>
      <c r="H84" s="4" t="n">
        <v>29.99</v>
      </c>
      <c r="I84" s="4" t="n">
        <v>13</v>
      </c>
      <c r="J84" s="5" t="n">
        <v>0</v>
      </c>
      <c r="K84" s="4" t="n">
        <f aca="false">G84*H84*(1-J84)</f>
        <v>449.85</v>
      </c>
      <c r="L84" s="4" t="n">
        <f aca="false">G84*I84</f>
        <v>195</v>
      </c>
      <c r="M84" s="4" t="n">
        <f aca="false">K84-L84</f>
        <v>254.85</v>
      </c>
      <c r="N84" s="6" t="n">
        <f aca="false">IF(K84=0,0,M84/K84)</f>
        <v>0.566522174058019</v>
      </c>
      <c r="O84" s="4" t="n">
        <f aca="false">(G84*H84)-K84</f>
        <v>0</v>
      </c>
      <c r="P84" s="3" t="s">
        <v>21</v>
      </c>
    </row>
    <row r="85" customFormat="false" ht="15" hidden="false" customHeight="false" outlineLevel="0" collapsed="false">
      <c r="A85" s="7" t="n">
        <v>46037</v>
      </c>
      <c r="B85" s="8" t="s">
        <v>22</v>
      </c>
      <c r="C85" s="8" t="s">
        <v>23</v>
      </c>
      <c r="D85" s="8" t="s">
        <v>93</v>
      </c>
      <c r="E85" s="8" t="s">
        <v>94</v>
      </c>
      <c r="F85" s="8" t="s">
        <v>34</v>
      </c>
      <c r="G85" s="8" t="n">
        <v>18</v>
      </c>
      <c r="H85" s="9" t="n">
        <v>29.99</v>
      </c>
      <c r="I85" s="9" t="n">
        <v>9</v>
      </c>
      <c r="J85" s="10" t="n">
        <v>0</v>
      </c>
      <c r="K85" s="9" t="n">
        <f aca="false">G85*H85*(1-J85)</f>
        <v>539.82</v>
      </c>
      <c r="L85" s="9" t="n">
        <f aca="false">G85*I85</f>
        <v>162</v>
      </c>
      <c r="M85" s="9" t="n">
        <f aca="false">K85-L85</f>
        <v>377.82</v>
      </c>
      <c r="N85" s="11" t="n">
        <f aca="false">IF(K85=0,0,M85/K85)</f>
        <v>0.699899966655552</v>
      </c>
      <c r="O85" s="9" t="n">
        <f aca="false">(G85*H85)-K85</f>
        <v>0</v>
      </c>
      <c r="P85" s="8" t="s">
        <v>21</v>
      </c>
    </row>
    <row r="86" customFormat="false" ht="15" hidden="false" customHeight="false" outlineLevel="0" collapsed="false">
      <c r="A86" s="2" t="n">
        <v>46038</v>
      </c>
      <c r="B86" s="3" t="s">
        <v>27</v>
      </c>
      <c r="C86" s="3" t="s">
        <v>28</v>
      </c>
      <c r="D86" s="3" t="s">
        <v>66</v>
      </c>
      <c r="E86" s="3" t="s">
        <v>67</v>
      </c>
      <c r="F86" s="3" t="s">
        <v>57</v>
      </c>
      <c r="G86" s="3" t="n">
        <v>5</v>
      </c>
      <c r="H86" s="4" t="n">
        <v>18.95</v>
      </c>
      <c r="I86" s="4" t="n">
        <v>5.5</v>
      </c>
      <c r="J86" s="5" t="n">
        <v>0</v>
      </c>
      <c r="K86" s="4" t="n">
        <f aca="false">G86*H86*(1-J86)</f>
        <v>94.75</v>
      </c>
      <c r="L86" s="4" t="n">
        <f aca="false">G86*I86</f>
        <v>27.5</v>
      </c>
      <c r="M86" s="4" t="n">
        <f aca="false">K86-L86</f>
        <v>67.25</v>
      </c>
      <c r="N86" s="6" t="n">
        <f aca="false">IF(K86=0,0,M86/K86)</f>
        <v>0.70976253298153</v>
      </c>
      <c r="O86" s="4" t="n">
        <f aca="false">(G86*H86)-K86</f>
        <v>0</v>
      </c>
      <c r="P86" s="12" t="s">
        <v>63</v>
      </c>
    </row>
    <row r="87" customFormat="false" ht="15" hidden="false" customHeight="false" outlineLevel="0" collapsed="false">
      <c r="A87" s="7" t="n">
        <v>46076</v>
      </c>
      <c r="B87" s="8" t="s">
        <v>41</v>
      </c>
      <c r="C87" s="8" t="s">
        <v>28</v>
      </c>
      <c r="D87" s="8" t="s">
        <v>72</v>
      </c>
      <c r="E87" s="8" t="s">
        <v>73</v>
      </c>
      <c r="F87" s="8" t="s">
        <v>57</v>
      </c>
      <c r="G87" s="8" t="n">
        <v>22</v>
      </c>
      <c r="H87" s="9" t="n">
        <v>19.99</v>
      </c>
      <c r="I87" s="9" t="n">
        <v>7</v>
      </c>
      <c r="J87" s="10" t="n">
        <v>0</v>
      </c>
      <c r="K87" s="9" t="n">
        <f aca="false">G87*H87*(1-J87)</f>
        <v>439.78</v>
      </c>
      <c r="L87" s="9" t="n">
        <f aca="false">G87*I87</f>
        <v>154</v>
      </c>
      <c r="M87" s="9" t="n">
        <f aca="false">K87-L87</f>
        <v>285.78</v>
      </c>
      <c r="N87" s="11" t="n">
        <f aca="false">IF(K87=0,0,M87/K87)</f>
        <v>0.649824912456228</v>
      </c>
      <c r="O87" s="9" t="n">
        <f aca="false">(G87*H87)-K87</f>
        <v>0</v>
      </c>
      <c r="P87" s="8" t="s">
        <v>21</v>
      </c>
    </row>
    <row r="88" customFormat="false" ht="15" hidden="false" customHeight="false" outlineLevel="0" collapsed="false">
      <c r="A88" s="2" t="n">
        <v>46040</v>
      </c>
      <c r="B88" s="3" t="s">
        <v>41</v>
      </c>
      <c r="C88" s="3" t="s">
        <v>28</v>
      </c>
      <c r="D88" s="3" t="s">
        <v>59</v>
      </c>
      <c r="E88" s="3" t="s">
        <v>60</v>
      </c>
      <c r="F88" s="3" t="s">
        <v>50</v>
      </c>
      <c r="G88" s="3" t="n">
        <v>11</v>
      </c>
      <c r="H88" s="4" t="n">
        <v>24.99</v>
      </c>
      <c r="I88" s="4" t="n">
        <v>8.5</v>
      </c>
      <c r="J88" s="5" t="n">
        <v>0.3</v>
      </c>
      <c r="K88" s="4" t="n">
        <f aca="false">G88*H88*(1-J88)</f>
        <v>192.423</v>
      </c>
      <c r="L88" s="4" t="n">
        <f aca="false">G88*I88</f>
        <v>93.5</v>
      </c>
      <c r="M88" s="4" t="n">
        <f aca="false">K88-L88</f>
        <v>98.923</v>
      </c>
      <c r="N88" s="6" t="n">
        <f aca="false">IF(K88=0,0,M88/K88)</f>
        <v>0.514091350826045</v>
      </c>
      <c r="O88" s="4" t="n">
        <f aca="false">(G88*H88)-K88</f>
        <v>82.467</v>
      </c>
      <c r="P88" s="3" t="s">
        <v>21</v>
      </c>
    </row>
    <row r="89" customFormat="false" ht="15" hidden="false" customHeight="false" outlineLevel="0" collapsed="false">
      <c r="A89" s="7" t="n">
        <v>46075</v>
      </c>
      <c r="B89" s="8" t="s">
        <v>58</v>
      </c>
      <c r="C89" s="8" t="s">
        <v>58</v>
      </c>
      <c r="D89" s="8" t="s">
        <v>78</v>
      </c>
      <c r="E89" s="8" t="s">
        <v>79</v>
      </c>
      <c r="F89" s="8" t="s">
        <v>20</v>
      </c>
      <c r="G89" s="8" t="n">
        <v>3</v>
      </c>
      <c r="H89" s="9" t="n">
        <v>39.99</v>
      </c>
      <c r="I89" s="9" t="n">
        <v>16</v>
      </c>
      <c r="J89" s="10" t="n">
        <v>0.05</v>
      </c>
      <c r="K89" s="9" t="n">
        <f aca="false">G89*H89*(1-J89)</f>
        <v>113.9715</v>
      </c>
      <c r="L89" s="9" t="n">
        <f aca="false">G89*I89</f>
        <v>48</v>
      </c>
      <c r="M89" s="9" t="n">
        <f aca="false">K89-L89</f>
        <v>65.9715</v>
      </c>
      <c r="N89" s="11" t="n">
        <f aca="false">IF(K89=0,0,M89/K89)</f>
        <v>0.578842078940788</v>
      </c>
      <c r="O89" s="9" t="n">
        <f aca="false">(G89*H89)-K89</f>
        <v>5.99850000000001</v>
      </c>
      <c r="P89" s="8" t="s">
        <v>21</v>
      </c>
    </row>
    <row r="90" customFormat="false" ht="15" hidden="false" customHeight="false" outlineLevel="0" collapsed="false">
      <c r="A90" s="2" t="n">
        <v>46066</v>
      </c>
      <c r="B90" s="3" t="s">
        <v>16</v>
      </c>
      <c r="C90" s="3" t="s">
        <v>17</v>
      </c>
      <c r="D90" s="3" t="s">
        <v>66</v>
      </c>
      <c r="E90" s="3" t="s">
        <v>67</v>
      </c>
      <c r="F90" s="3" t="s">
        <v>57</v>
      </c>
      <c r="G90" s="3" t="n">
        <v>23</v>
      </c>
      <c r="H90" s="4" t="n">
        <v>14.99</v>
      </c>
      <c r="I90" s="4" t="n">
        <v>5.5</v>
      </c>
      <c r="J90" s="5" t="n">
        <v>0.15</v>
      </c>
      <c r="K90" s="4" t="n">
        <f aca="false">G90*H90*(1-J90)</f>
        <v>293.0545</v>
      </c>
      <c r="L90" s="4" t="n">
        <f aca="false">G90*I90</f>
        <v>126.5</v>
      </c>
      <c r="M90" s="4" t="n">
        <f aca="false">K90-L90</f>
        <v>166.5545</v>
      </c>
      <c r="N90" s="6" t="n">
        <f aca="false">IF(K90=0,0,M90/K90)</f>
        <v>0.568339677432013</v>
      </c>
      <c r="O90" s="4" t="n">
        <f aca="false">(G90*H90)-K90</f>
        <v>51.7155</v>
      </c>
      <c r="P90" s="3" t="s">
        <v>21</v>
      </c>
    </row>
    <row r="91" customFormat="false" ht="15" hidden="false" customHeight="false" outlineLevel="0" collapsed="false">
      <c r="A91" s="7" t="n">
        <v>46032</v>
      </c>
      <c r="B91" s="8" t="s">
        <v>31</v>
      </c>
      <c r="C91" s="8" t="s">
        <v>23</v>
      </c>
      <c r="D91" s="8" t="s">
        <v>95</v>
      </c>
      <c r="E91" s="8" t="s">
        <v>96</v>
      </c>
      <c r="F91" s="8" t="s">
        <v>50</v>
      </c>
      <c r="G91" s="8" t="n">
        <v>12</v>
      </c>
      <c r="H91" s="9" t="n">
        <v>34.99</v>
      </c>
      <c r="I91" s="9" t="n">
        <v>12</v>
      </c>
      <c r="J91" s="10" t="n">
        <v>0</v>
      </c>
      <c r="K91" s="9" t="n">
        <f aca="false">G91*H91*(1-J91)</f>
        <v>419.88</v>
      </c>
      <c r="L91" s="9" t="n">
        <f aca="false">G91*I91</f>
        <v>144</v>
      </c>
      <c r="M91" s="9" t="n">
        <f aca="false">K91-L91</f>
        <v>275.88</v>
      </c>
      <c r="N91" s="11" t="n">
        <f aca="false">IF(K91=0,0,M91/K91)</f>
        <v>0.657044869962847</v>
      </c>
      <c r="O91" s="9" t="n">
        <f aca="false">(G91*H91)-K91</f>
        <v>0</v>
      </c>
      <c r="P91" s="8" t="s">
        <v>21</v>
      </c>
    </row>
    <row r="92" customFormat="false" ht="15" hidden="false" customHeight="false" outlineLevel="0" collapsed="false">
      <c r="A92" s="2" t="n">
        <v>46077</v>
      </c>
      <c r="B92" s="3" t="s">
        <v>64</v>
      </c>
      <c r="C92" s="3" t="s">
        <v>65</v>
      </c>
      <c r="D92" s="3" t="s">
        <v>42</v>
      </c>
      <c r="E92" s="3" t="s">
        <v>43</v>
      </c>
      <c r="F92" s="3" t="s">
        <v>34</v>
      </c>
      <c r="G92" s="3" t="n">
        <v>2</v>
      </c>
      <c r="H92" s="4" t="n">
        <v>11.99</v>
      </c>
      <c r="I92" s="4" t="n">
        <v>3.5</v>
      </c>
      <c r="J92" s="5" t="n">
        <v>0.25</v>
      </c>
      <c r="K92" s="4" t="n">
        <f aca="false">G92*H92*(1-J92)</f>
        <v>17.985</v>
      </c>
      <c r="L92" s="4" t="n">
        <f aca="false">G92*I92</f>
        <v>7</v>
      </c>
      <c r="M92" s="4" t="n">
        <f aca="false">K92-L92</f>
        <v>10.985</v>
      </c>
      <c r="N92" s="6" t="n">
        <f aca="false">IF(K92=0,0,M92/K92)</f>
        <v>0.61078676675007</v>
      </c>
      <c r="O92" s="4" t="n">
        <f aca="false">(G92*H92)-K92</f>
        <v>5.995</v>
      </c>
      <c r="P92" s="3" t="s">
        <v>21</v>
      </c>
    </row>
    <row r="93" customFormat="false" ht="15" hidden="false" customHeight="false" outlineLevel="0" collapsed="false">
      <c r="A93" s="7" t="n">
        <v>46129</v>
      </c>
      <c r="B93" s="8" t="s">
        <v>64</v>
      </c>
      <c r="C93" s="8" t="s">
        <v>65</v>
      </c>
      <c r="D93" s="8" t="s">
        <v>35</v>
      </c>
      <c r="E93" s="8" t="s">
        <v>36</v>
      </c>
      <c r="F93" s="8" t="s">
        <v>26</v>
      </c>
      <c r="G93" s="8" t="n">
        <v>1</v>
      </c>
      <c r="H93" s="9" t="n">
        <v>69.99</v>
      </c>
      <c r="I93" s="9" t="n">
        <v>30</v>
      </c>
      <c r="J93" s="10" t="n">
        <v>0.25</v>
      </c>
      <c r="K93" s="9" t="n">
        <f aca="false">G93*H93*(1-J93)</f>
        <v>52.4925</v>
      </c>
      <c r="L93" s="9" t="n">
        <f aca="false">G93*I93</f>
        <v>30</v>
      </c>
      <c r="M93" s="9" t="n">
        <f aca="false">K93-L93</f>
        <v>22.4925</v>
      </c>
      <c r="N93" s="11" t="n">
        <f aca="false">IF(K93=0,0,M93/K93)</f>
        <v>0.428489784254894</v>
      </c>
      <c r="O93" s="9" t="n">
        <f aca="false">(G93*H93)-K93</f>
        <v>17.4975</v>
      </c>
      <c r="P93" s="8" t="s">
        <v>21</v>
      </c>
    </row>
    <row r="94" customFormat="false" ht="15" hidden="false" customHeight="false" outlineLevel="0" collapsed="false">
      <c r="A94" s="2" t="n">
        <v>46038</v>
      </c>
      <c r="B94" s="3" t="s">
        <v>58</v>
      </c>
      <c r="C94" s="3" t="s">
        <v>58</v>
      </c>
      <c r="D94" s="3" t="s">
        <v>84</v>
      </c>
      <c r="E94" s="3" t="s">
        <v>85</v>
      </c>
      <c r="F94" s="3" t="s">
        <v>20</v>
      </c>
      <c r="G94" s="3" t="n">
        <v>22</v>
      </c>
      <c r="H94" s="4" t="n">
        <v>34.99</v>
      </c>
      <c r="I94" s="4" t="n">
        <v>13</v>
      </c>
      <c r="J94" s="5" t="n">
        <v>0</v>
      </c>
      <c r="K94" s="4" t="n">
        <f aca="false">G94*H94*(1-J94)</f>
        <v>769.78</v>
      </c>
      <c r="L94" s="4" t="n">
        <f aca="false">G94*I94</f>
        <v>286</v>
      </c>
      <c r="M94" s="4" t="n">
        <f aca="false">K94-L94</f>
        <v>483.78</v>
      </c>
      <c r="N94" s="6" t="n">
        <f aca="false">IF(K94=0,0,M94/K94)</f>
        <v>0.628465275793084</v>
      </c>
      <c r="O94" s="4" t="n">
        <f aca="false">(G94*H94)-K94</f>
        <v>0</v>
      </c>
      <c r="P94" s="3" t="s">
        <v>21</v>
      </c>
    </row>
    <row r="95" customFormat="false" ht="15" hidden="false" customHeight="false" outlineLevel="0" collapsed="false">
      <c r="A95" s="7" t="n">
        <v>46098</v>
      </c>
      <c r="B95" s="8" t="s">
        <v>31</v>
      </c>
      <c r="C95" s="8" t="s">
        <v>23</v>
      </c>
      <c r="D95" s="8" t="s">
        <v>48</v>
      </c>
      <c r="E95" s="8" t="s">
        <v>49</v>
      </c>
      <c r="F95" s="8" t="s">
        <v>50</v>
      </c>
      <c r="G95" s="8" t="n">
        <v>13</v>
      </c>
      <c r="H95" s="9" t="n">
        <v>59.99</v>
      </c>
      <c r="I95" s="9" t="n">
        <v>20</v>
      </c>
      <c r="J95" s="10" t="n">
        <v>0.25</v>
      </c>
      <c r="K95" s="9" t="n">
        <f aca="false">G95*H95*(1-J95)</f>
        <v>584.9025</v>
      </c>
      <c r="L95" s="9" t="n">
        <f aca="false">G95*I95</f>
        <v>260</v>
      </c>
      <c r="M95" s="9" t="n">
        <f aca="false">K95-L95</f>
        <v>324.9025</v>
      </c>
      <c r="N95" s="11" t="n">
        <f aca="false">IF(K95=0,0,M95/K95)</f>
        <v>0.555481469133745</v>
      </c>
      <c r="O95" s="9" t="n">
        <f aca="false">(G95*H95)-K95</f>
        <v>194.9675</v>
      </c>
      <c r="P95" s="8" t="s">
        <v>21</v>
      </c>
    </row>
    <row r="96" customFormat="false" ht="15" hidden="false" customHeight="false" outlineLevel="0" collapsed="false">
      <c r="A96" s="2" t="n">
        <v>46032</v>
      </c>
      <c r="B96" s="3" t="s">
        <v>64</v>
      </c>
      <c r="C96" s="3" t="s">
        <v>65</v>
      </c>
      <c r="D96" s="3" t="s">
        <v>51</v>
      </c>
      <c r="E96" s="3" t="s">
        <v>52</v>
      </c>
      <c r="F96" s="3" t="s">
        <v>50</v>
      </c>
      <c r="G96" s="3" t="n">
        <v>17</v>
      </c>
      <c r="H96" s="4" t="n">
        <v>19.99</v>
      </c>
      <c r="I96" s="4" t="n">
        <v>7</v>
      </c>
      <c r="J96" s="5" t="n">
        <v>0.3</v>
      </c>
      <c r="K96" s="4" t="n">
        <f aca="false">G96*H96*(1-J96)</f>
        <v>237.881</v>
      </c>
      <c r="L96" s="4" t="n">
        <f aca="false">G96*I96</f>
        <v>119</v>
      </c>
      <c r="M96" s="4" t="n">
        <f aca="false">K96-L96</f>
        <v>118.881</v>
      </c>
      <c r="N96" s="6" t="n">
        <f aca="false">IF(K96=0,0,M96/K96)</f>
        <v>0.499749874937469</v>
      </c>
      <c r="O96" s="4" t="n">
        <f aca="false">(G96*H96)-K96</f>
        <v>101.949</v>
      </c>
      <c r="P96" s="3" t="s">
        <v>21</v>
      </c>
    </row>
    <row r="97" customFormat="false" ht="15" hidden="false" customHeight="false" outlineLevel="0" collapsed="false">
      <c r="A97" s="7" t="n">
        <v>46075</v>
      </c>
      <c r="B97" s="8" t="s">
        <v>22</v>
      </c>
      <c r="C97" s="8" t="s">
        <v>23</v>
      </c>
      <c r="D97" s="8" t="s">
        <v>55</v>
      </c>
      <c r="E97" s="8" t="s">
        <v>56</v>
      </c>
      <c r="F97" s="8" t="s">
        <v>57</v>
      </c>
      <c r="G97" s="8" t="n">
        <v>4</v>
      </c>
      <c r="H97" s="9" t="n">
        <v>29.99</v>
      </c>
      <c r="I97" s="9" t="n">
        <v>11</v>
      </c>
      <c r="J97" s="10" t="n">
        <v>0.3</v>
      </c>
      <c r="K97" s="9" t="n">
        <f aca="false">G97*H97*(1-J97)</f>
        <v>83.972</v>
      </c>
      <c r="L97" s="9" t="n">
        <f aca="false">G97*I97</f>
        <v>44</v>
      </c>
      <c r="M97" s="9" t="n">
        <f aca="false">K97-L97</f>
        <v>39.972</v>
      </c>
      <c r="N97" s="11" t="n">
        <f aca="false">IF(K97=0,0,M97/K97)</f>
        <v>0.476015814795408</v>
      </c>
      <c r="O97" s="9" t="n">
        <f aca="false">(G97*H97)-K97</f>
        <v>35.988</v>
      </c>
      <c r="P97" s="8" t="s">
        <v>21</v>
      </c>
    </row>
    <row r="98" customFormat="false" ht="15" hidden="false" customHeight="false" outlineLevel="0" collapsed="false">
      <c r="A98" s="2" t="n">
        <v>46057</v>
      </c>
      <c r="B98" s="3" t="s">
        <v>41</v>
      </c>
      <c r="C98" s="3" t="s">
        <v>28</v>
      </c>
      <c r="D98" s="3" t="s">
        <v>48</v>
      </c>
      <c r="E98" s="3" t="s">
        <v>49</v>
      </c>
      <c r="F98" s="3" t="s">
        <v>50</v>
      </c>
      <c r="G98" s="3" t="n">
        <v>29</v>
      </c>
      <c r="H98" s="4" t="n">
        <v>54.99</v>
      </c>
      <c r="I98" s="4" t="n">
        <v>20</v>
      </c>
      <c r="J98" s="5" t="n">
        <v>0.2</v>
      </c>
      <c r="K98" s="4" t="n">
        <f aca="false">G98*H98*(1-J98)</f>
        <v>1275.768</v>
      </c>
      <c r="L98" s="4" t="n">
        <f aca="false">G98*I98</f>
        <v>580</v>
      </c>
      <c r="M98" s="4" t="n">
        <f aca="false">K98-L98</f>
        <v>695.768</v>
      </c>
      <c r="N98" s="6" t="n">
        <f aca="false">IF(K98=0,0,M98/K98)</f>
        <v>0.545371885797418</v>
      </c>
      <c r="O98" s="4" t="n">
        <f aca="false">(G98*H98)-K98</f>
        <v>318.942</v>
      </c>
      <c r="P98" s="3" t="s">
        <v>21</v>
      </c>
    </row>
    <row r="99" customFormat="false" ht="15" hidden="false" customHeight="false" outlineLevel="0" collapsed="false">
      <c r="A99" s="7" t="n">
        <v>46120</v>
      </c>
      <c r="B99" s="8" t="s">
        <v>64</v>
      </c>
      <c r="C99" s="8" t="s">
        <v>65</v>
      </c>
      <c r="D99" s="8" t="s">
        <v>44</v>
      </c>
      <c r="E99" s="8" t="s">
        <v>45</v>
      </c>
      <c r="F99" s="8" t="s">
        <v>40</v>
      </c>
      <c r="G99" s="8" t="n">
        <v>24</v>
      </c>
      <c r="H99" s="9" t="n">
        <v>29.99</v>
      </c>
      <c r="I99" s="9" t="n">
        <v>11</v>
      </c>
      <c r="J99" s="10" t="n">
        <v>0.1</v>
      </c>
      <c r="K99" s="9" t="n">
        <f aca="false">G99*H99*(1-J99)</f>
        <v>647.784</v>
      </c>
      <c r="L99" s="9" t="n">
        <f aca="false">G99*I99</f>
        <v>264</v>
      </c>
      <c r="M99" s="9" t="n">
        <f aca="false">K99-L99</f>
        <v>383.784</v>
      </c>
      <c r="N99" s="11" t="n">
        <f aca="false">IF(K99=0,0,M99/K99)</f>
        <v>0.592456744840873</v>
      </c>
      <c r="O99" s="9" t="n">
        <f aca="false">(G99*H99)-K99</f>
        <v>71.976</v>
      </c>
      <c r="P99" s="8" t="s">
        <v>21</v>
      </c>
    </row>
    <row r="100" customFormat="false" ht="15" hidden="false" customHeight="false" outlineLevel="0" collapsed="false">
      <c r="A100" s="2" t="n">
        <v>46061</v>
      </c>
      <c r="B100" s="3" t="s">
        <v>16</v>
      </c>
      <c r="C100" s="3" t="s">
        <v>17</v>
      </c>
      <c r="D100" s="3" t="s">
        <v>59</v>
      </c>
      <c r="E100" s="3" t="s">
        <v>60</v>
      </c>
      <c r="F100" s="3" t="s">
        <v>50</v>
      </c>
      <c r="G100" s="3" t="n">
        <v>25</v>
      </c>
      <c r="H100" s="4" t="n">
        <v>24.99</v>
      </c>
      <c r="I100" s="4" t="n">
        <v>8.5</v>
      </c>
      <c r="J100" s="5" t="n">
        <v>0</v>
      </c>
      <c r="K100" s="4" t="n">
        <f aca="false">G100*H100*(1-J100)</f>
        <v>624.75</v>
      </c>
      <c r="L100" s="4" t="n">
        <f aca="false">G100*I100</f>
        <v>212.5</v>
      </c>
      <c r="M100" s="4" t="n">
        <f aca="false">K100-L100</f>
        <v>412.25</v>
      </c>
      <c r="N100" s="6" t="n">
        <f aca="false">IF(K100=0,0,M100/K100)</f>
        <v>0.659863945578231</v>
      </c>
      <c r="O100" s="4" t="n">
        <f aca="false">(G100*H100)-K100</f>
        <v>0</v>
      </c>
      <c r="P100" s="3" t="s">
        <v>21</v>
      </c>
    </row>
    <row r="101" customFormat="false" ht="15" hidden="false" customHeight="false" outlineLevel="0" collapsed="false">
      <c r="A101" s="7" t="n">
        <v>46084</v>
      </c>
      <c r="B101" s="8" t="s">
        <v>16</v>
      </c>
      <c r="C101" s="8" t="s">
        <v>17</v>
      </c>
      <c r="D101" s="8" t="s">
        <v>78</v>
      </c>
      <c r="E101" s="8" t="s">
        <v>79</v>
      </c>
      <c r="F101" s="8" t="s">
        <v>20</v>
      </c>
      <c r="G101" s="8" t="n">
        <v>17</v>
      </c>
      <c r="H101" s="9" t="n">
        <v>39.99</v>
      </c>
      <c r="I101" s="9" t="n">
        <v>16</v>
      </c>
      <c r="J101" s="10" t="n">
        <v>0</v>
      </c>
      <c r="K101" s="9" t="n">
        <f aca="false">G101*H101*(1-J101)</f>
        <v>679.83</v>
      </c>
      <c r="L101" s="9" t="n">
        <f aca="false">G101*I101</f>
        <v>272</v>
      </c>
      <c r="M101" s="9" t="n">
        <f aca="false">K101-L101</f>
        <v>407.83</v>
      </c>
      <c r="N101" s="11" t="n">
        <f aca="false">IF(K101=0,0,M101/K101)</f>
        <v>0.599899974993749</v>
      </c>
      <c r="O101" s="9" t="n">
        <f aca="false">(G101*H101)-K101</f>
        <v>0</v>
      </c>
      <c r="P101" s="8" t="s">
        <v>21</v>
      </c>
    </row>
    <row r="102" customFormat="false" ht="15" hidden="false" customHeight="false" outlineLevel="0" collapsed="false">
      <c r="A102" s="2" t="n">
        <v>46070</v>
      </c>
      <c r="B102" s="3" t="s">
        <v>64</v>
      </c>
      <c r="C102" s="3" t="s">
        <v>65</v>
      </c>
      <c r="D102" s="3" t="s">
        <v>51</v>
      </c>
      <c r="E102" s="3" t="s">
        <v>52</v>
      </c>
      <c r="F102" s="3" t="s">
        <v>50</v>
      </c>
      <c r="G102" s="3" t="n">
        <v>1</v>
      </c>
      <c r="H102" s="4" t="n">
        <v>19.99</v>
      </c>
      <c r="I102" s="4" t="n">
        <v>7</v>
      </c>
      <c r="J102" s="5" t="n">
        <v>0.05</v>
      </c>
      <c r="K102" s="4" t="n">
        <f aca="false">G102*H102*(1-J102)</f>
        <v>18.9905</v>
      </c>
      <c r="L102" s="4" t="n">
        <f aca="false">G102*I102</f>
        <v>7</v>
      </c>
      <c r="M102" s="4" t="n">
        <f aca="false">K102-L102</f>
        <v>11.9905</v>
      </c>
      <c r="N102" s="6" t="n">
        <f aca="false">IF(K102=0,0,M102/K102)</f>
        <v>0.631394644690766</v>
      </c>
      <c r="O102" s="4" t="n">
        <f aca="false">(G102*H102)-K102</f>
        <v>0.999500000000001</v>
      </c>
      <c r="P102" s="3" t="s">
        <v>21</v>
      </c>
    </row>
    <row r="103" customFormat="false" ht="15" hidden="false" customHeight="false" outlineLevel="0" collapsed="false">
      <c r="A103" s="7" t="n">
        <v>46112</v>
      </c>
      <c r="B103" s="8" t="s">
        <v>31</v>
      </c>
      <c r="C103" s="8" t="s">
        <v>23</v>
      </c>
      <c r="D103" s="8" t="s">
        <v>29</v>
      </c>
      <c r="E103" s="8" t="s">
        <v>30</v>
      </c>
      <c r="F103" s="8" t="s">
        <v>20</v>
      </c>
      <c r="G103" s="8" t="n">
        <v>16</v>
      </c>
      <c r="H103" s="9" t="n">
        <v>79.99</v>
      </c>
      <c r="I103" s="9" t="n">
        <v>42</v>
      </c>
      <c r="J103" s="10" t="n">
        <v>0.1</v>
      </c>
      <c r="K103" s="9" t="n">
        <f aca="false">G103*H103*(1-J103)</f>
        <v>1151.856</v>
      </c>
      <c r="L103" s="9" t="n">
        <f aca="false">G103*I103</f>
        <v>672</v>
      </c>
      <c r="M103" s="9" t="n">
        <f aca="false">K103-L103</f>
        <v>479.856</v>
      </c>
      <c r="N103" s="11" t="n">
        <f aca="false">IF(K103=0,0,M103/K103)</f>
        <v>0.416593740884277</v>
      </c>
      <c r="O103" s="9" t="n">
        <f aca="false">(G103*H103)-K103</f>
        <v>127.984</v>
      </c>
      <c r="P103" s="8" t="s">
        <v>21</v>
      </c>
    </row>
    <row r="104" customFormat="false" ht="15" hidden="false" customHeight="false" outlineLevel="0" collapsed="false">
      <c r="A104" s="2" t="n">
        <v>46115</v>
      </c>
      <c r="B104" s="3" t="s">
        <v>58</v>
      </c>
      <c r="C104" s="3" t="s">
        <v>58</v>
      </c>
      <c r="D104" s="3" t="s">
        <v>88</v>
      </c>
      <c r="E104" s="3" t="s">
        <v>89</v>
      </c>
      <c r="F104" s="3" t="s">
        <v>57</v>
      </c>
      <c r="G104" s="3" t="n">
        <v>19</v>
      </c>
      <c r="H104" s="4" t="n">
        <v>14.99</v>
      </c>
      <c r="I104" s="4" t="n">
        <v>4.5</v>
      </c>
      <c r="J104" s="5" t="n">
        <v>0.1</v>
      </c>
      <c r="K104" s="4" t="n">
        <f aca="false">G104*H104*(1-J104)</f>
        <v>256.329</v>
      </c>
      <c r="L104" s="4" t="n">
        <f aca="false">G104*I104</f>
        <v>85.5</v>
      </c>
      <c r="M104" s="4" t="n">
        <f aca="false">K104-L104</f>
        <v>170.829</v>
      </c>
      <c r="N104" s="6" t="n">
        <f aca="false">IF(K104=0,0,M104/K104)</f>
        <v>0.666444296197465</v>
      </c>
      <c r="O104" s="4" t="n">
        <f aca="false">(G104*H104)-K104</f>
        <v>28.481</v>
      </c>
      <c r="P104" s="3" t="s">
        <v>21</v>
      </c>
    </row>
    <row r="105" customFormat="false" ht="15" hidden="false" customHeight="false" outlineLevel="0" collapsed="false">
      <c r="A105" s="7" t="n">
        <v>46086</v>
      </c>
      <c r="B105" s="8" t="s">
        <v>16</v>
      </c>
      <c r="C105" s="8" t="s">
        <v>17</v>
      </c>
      <c r="D105" s="8" t="s">
        <v>32</v>
      </c>
      <c r="E105" s="8" t="s">
        <v>33</v>
      </c>
      <c r="F105" s="8" t="s">
        <v>34</v>
      </c>
      <c r="G105" s="8" t="n">
        <v>21</v>
      </c>
      <c r="H105" s="9" t="n">
        <v>18.99</v>
      </c>
      <c r="I105" s="9" t="n">
        <v>6</v>
      </c>
      <c r="J105" s="10" t="n">
        <v>0</v>
      </c>
      <c r="K105" s="9" t="n">
        <f aca="false">G105*H105*(1-J105)</f>
        <v>398.79</v>
      </c>
      <c r="L105" s="9" t="n">
        <f aca="false">G105*I105</f>
        <v>126</v>
      </c>
      <c r="M105" s="9" t="n">
        <f aca="false">K105-L105</f>
        <v>272.79</v>
      </c>
      <c r="N105" s="11" t="n">
        <f aca="false">IF(K105=0,0,M105/K105)</f>
        <v>0.684044233807267</v>
      </c>
      <c r="O105" s="9" t="n">
        <f aca="false">(G105*H105)-K105</f>
        <v>0</v>
      </c>
      <c r="P105" s="8" t="s">
        <v>21</v>
      </c>
    </row>
    <row r="106" customFormat="false" ht="15" hidden="false" customHeight="false" outlineLevel="0" collapsed="false">
      <c r="A106" s="2" t="n">
        <v>46062</v>
      </c>
      <c r="B106" s="3" t="s">
        <v>58</v>
      </c>
      <c r="C106" s="3" t="s">
        <v>58</v>
      </c>
      <c r="D106" s="3" t="s">
        <v>66</v>
      </c>
      <c r="E106" s="3" t="s">
        <v>67</v>
      </c>
      <c r="F106" s="3" t="s">
        <v>57</v>
      </c>
      <c r="G106" s="3" t="n">
        <v>1</v>
      </c>
      <c r="H106" s="4" t="n">
        <v>14.99</v>
      </c>
      <c r="I106" s="4" t="n">
        <v>5.5</v>
      </c>
      <c r="J106" s="5" t="n">
        <v>0.1</v>
      </c>
      <c r="K106" s="4" t="n">
        <f aca="false">G106*H106*(1-J106)</f>
        <v>13.491</v>
      </c>
      <c r="L106" s="4" t="n">
        <f aca="false">G106*I106</f>
        <v>5.5</v>
      </c>
      <c r="M106" s="4" t="n">
        <f aca="false">K106-L106</f>
        <v>7.991</v>
      </c>
      <c r="N106" s="6" t="n">
        <f aca="false">IF(K106=0,0,M106/K106)</f>
        <v>0.592320806463568</v>
      </c>
      <c r="O106" s="4" t="n">
        <f aca="false">(G106*H106)-K106</f>
        <v>1.499</v>
      </c>
      <c r="P106" s="3" t="s">
        <v>21</v>
      </c>
    </row>
    <row r="107" customFormat="false" ht="15" hidden="false" customHeight="false" outlineLevel="0" collapsed="false">
      <c r="A107" s="7" t="n">
        <v>46114</v>
      </c>
      <c r="B107" s="8" t="s">
        <v>58</v>
      </c>
      <c r="C107" s="8" t="s">
        <v>58</v>
      </c>
      <c r="D107" s="8" t="s">
        <v>46</v>
      </c>
      <c r="E107" s="8" t="s">
        <v>47</v>
      </c>
      <c r="F107" s="8" t="s">
        <v>20</v>
      </c>
      <c r="G107" s="8" t="n">
        <v>4</v>
      </c>
      <c r="H107" s="9" t="n">
        <v>44.99</v>
      </c>
      <c r="I107" s="9" t="n">
        <v>18</v>
      </c>
      <c r="J107" s="10" t="n">
        <v>0.3</v>
      </c>
      <c r="K107" s="9" t="n">
        <f aca="false">G107*H107*(1-J107)</f>
        <v>125.972</v>
      </c>
      <c r="L107" s="9" t="n">
        <f aca="false">G107*I107</f>
        <v>72</v>
      </c>
      <c r="M107" s="9" t="n">
        <f aca="false">K107-L107</f>
        <v>53.972</v>
      </c>
      <c r="N107" s="11" t="n">
        <f aca="false">IF(K107=0,0,M107/K107)</f>
        <v>0.428444416219477</v>
      </c>
      <c r="O107" s="9" t="n">
        <f aca="false">(G107*H107)-K107</f>
        <v>53.988</v>
      </c>
      <c r="P107" s="8" t="s">
        <v>21</v>
      </c>
    </row>
    <row r="108" customFormat="false" ht="15" hidden="false" customHeight="false" outlineLevel="0" collapsed="false">
      <c r="A108" s="2" t="n">
        <v>46110</v>
      </c>
      <c r="B108" s="3" t="s">
        <v>22</v>
      </c>
      <c r="C108" s="3" t="s">
        <v>23</v>
      </c>
      <c r="D108" s="3" t="s">
        <v>66</v>
      </c>
      <c r="E108" s="3" t="s">
        <v>67</v>
      </c>
      <c r="F108" s="3" t="s">
        <v>57</v>
      </c>
      <c r="G108" s="3" t="n">
        <v>23</v>
      </c>
      <c r="H108" s="4" t="n">
        <v>14.99</v>
      </c>
      <c r="I108" s="4" t="n">
        <v>5.5</v>
      </c>
      <c r="J108" s="5" t="n">
        <v>0.15</v>
      </c>
      <c r="K108" s="4" t="n">
        <f aca="false">G108*H108*(1-J108)</f>
        <v>293.0545</v>
      </c>
      <c r="L108" s="4" t="n">
        <f aca="false">G108*I108</f>
        <v>126.5</v>
      </c>
      <c r="M108" s="4" t="n">
        <f aca="false">K108-L108</f>
        <v>166.5545</v>
      </c>
      <c r="N108" s="6" t="n">
        <f aca="false">IF(K108=0,0,M108/K108)</f>
        <v>0.568339677432013</v>
      </c>
      <c r="O108" s="4" t="n">
        <f aca="false">(G108*H108)-K108</f>
        <v>51.7155</v>
      </c>
      <c r="P108" s="3" t="s">
        <v>21</v>
      </c>
    </row>
    <row r="109" customFormat="false" ht="15" hidden="false" customHeight="false" outlineLevel="0" collapsed="false">
      <c r="A109" s="7" t="n">
        <v>46103</v>
      </c>
      <c r="B109" s="8" t="s">
        <v>58</v>
      </c>
      <c r="C109" s="8" t="s">
        <v>58</v>
      </c>
      <c r="D109" s="8" t="s">
        <v>61</v>
      </c>
      <c r="E109" s="8" t="s">
        <v>62</v>
      </c>
      <c r="F109" s="8" t="s">
        <v>34</v>
      </c>
      <c r="G109" s="8" t="n">
        <v>27</v>
      </c>
      <c r="H109" s="9" t="n">
        <v>12.99</v>
      </c>
      <c r="I109" s="9" t="n">
        <v>4.5</v>
      </c>
      <c r="J109" s="10" t="n">
        <v>0</v>
      </c>
      <c r="K109" s="9" t="n">
        <f aca="false">G109*H109*(1-J109)</f>
        <v>350.73</v>
      </c>
      <c r="L109" s="9" t="n">
        <f aca="false">G109*I109</f>
        <v>121.5</v>
      </c>
      <c r="M109" s="9" t="n">
        <f aca="false">K109-L109</f>
        <v>229.23</v>
      </c>
      <c r="N109" s="11" t="n">
        <f aca="false">IF(K109=0,0,M109/K109)</f>
        <v>0.653579676674365</v>
      </c>
      <c r="O109" s="9" t="n">
        <f aca="false">(G109*H109)-K109</f>
        <v>0</v>
      </c>
      <c r="P109" s="8" t="s">
        <v>21</v>
      </c>
    </row>
    <row r="110" customFormat="false" ht="15" hidden="false" customHeight="false" outlineLevel="0" collapsed="false">
      <c r="A110" s="2" t="n">
        <v>46085</v>
      </c>
      <c r="B110" s="3" t="s">
        <v>64</v>
      </c>
      <c r="C110" s="3" t="s">
        <v>65</v>
      </c>
      <c r="D110" s="3" t="s">
        <v>32</v>
      </c>
      <c r="E110" s="3" t="s">
        <v>33</v>
      </c>
      <c r="F110" s="3" t="s">
        <v>34</v>
      </c>
      <c r="G110" s="3" t="n">
        <v>19</v>
      </c>
      <c r="H110" s="4" t="n">
        <v>18.99</v>
      </c>
      <c r="I110" s="4" t="n">
        <v>6</v>
      </c>
      <c r="J110" s="5" t="n">
        <v>0</v>
      </c>
      <c r="K110" s="4" t="n">
        <f aca="false">G110*H110*(1-J110)</f>
        <v>360.81</v>
      </c>
      <c r="L110" s="4" t="n">
        <f aca="false">G110*I110</f>
        <v>114</v>
      </c>
      <c r="M110" s="4" t="n">
        <f aca="false">K110-L110</f>
        <v>246.81</v>
      </c>
      <c r="N110" s="6" t="n">
        <f aca="false">IF(K110=0,0,M110/K110)</f>
        <v>0.684044233807267</v>
      </c>
      <c r="O110" s="4" t="n">
        <f aca="false">(G110*H110)-K110</f>
        <v>0</v>
      </c>
      <c r="P110" s="3" t="s">
        <v>21</v>
      </c>
    </row>
    <row r="111" customFormat="false" ht="15" hidden="false" customHeight="false" outlineLevel="0" collapsed="false">
      <c r="A111" s="7" t="n">
        <v>46028</v>
      </c>
      <c r="B111" s="8" t="s">
        <v>37</v>
      </c>
      <c r="C111" s="8" t="s">
        <v>17</v>
      </c>
      <c r="D111" s="8" t="s">
        <v>86</v>
      </c>
      <c r="E111" s="8" t="s">
        <v>87</v>
      </c>
      <c r="F111" s="8" t="s">
        <v>40</v>
      </c>
      <c r="G111" s="8" t="n">
        <v>2</v>
      </c>
      <c r="H111" s="9" t="n">
        <v>16.99</v>
      </c>
      <c r="I111" s="9" t="n">
        <v>5.5</v>
      </c>
      <c r="J111" s="10" t="n">
        <v>0.1</v>
      </c>
      <c r="K111" s="9" t="n">
        <f aca="false">G111*H111*(1-J111)</f>
        <v>30.582</v>
      </c>
      <c r="L111" s="9" t="n">
        <f aca="false">G111*I111</f>
        <v>11</v>
      </c>
      <c r="M111" s="9" t="n">
        <f aca="false">K111-L111</f>
        <v>19.582</v>
      </c>
      <c r="N111" s="11" t="n">
        <f aca="false">IF(K111=0,0,M111/K111)</f>
        <v>0.640311294225361</v>
      </c>
      <c r="O111" s="9" t="n">
        <f aca="false">(G111*H111)-K111</f>
        <v>3.398</v>
      </c>
      <c r="P111" s="8" t="s">
        <v>21</v>
      </c>
    </row>
    <row r="112" customFormat="false" ht="15" hidden="false" customHeight="false" outlineLevel="0" collapsed="false">
      <c r="A112" s="2" t="n">
        <v>46024</v>
      </c>
      <c r="B112" s="3" t="s">
        <v>41</v>
      </c>
      <c r="C112" s="3" t="s">
        <v>28</v>
      </c>
      <c r="D112" s="3" t="s">
        <v>61</v>
      </c>
      <c r="E112" s="3" t="s">
        <v>62</v>
      </c>
      <c r="F112" s="3" t="s">
        <v>34</v>
      </c>
      <c r="G112" s="3" t="n">
        <v>26</v>
      </c>
      <c r="H112" s="4" t="n">
        <v>14.99</v>
      </c>
      <c r="I112" s="4" t="n">
        <v>4.5</v>
      </c>
      <c r="J112" s="5" t="n">
        <v>0</v>
      </c>
      <c r="K112" s="4" t="n">
        <f aca="false">G112*H112*(1-J112)</f>
        <v>389.74</v>
      </c>
      <c r="L112" s="4" t="n">
        <f aca="false">G112*I112</f>
        <v>117</v>
      </c>
      <c r="M112" s="4" t="n">
        <f aca="false">K112-L112</f>
        <v>272.74</v>
      </c>
      <c r="N112" s="6" t="n">
        <f aca="false">IF(K112=0,0,M112/K112)</f>
        <v>0.699799866577719</v>
      </c>
      <c r="O112" s="4" t="n">
        <f aca="false">(G112*H112)-K112</f>
        <v>0</v>
      </c>
      <c r="P112" s="3" t="s">
        <v>21</v>
      </c>
    </row>
    <row r="113" customFormat="false" ht="15" hidden="false" customHeight="false" outlineLevel="0" collapsed="false">
      <c r="A113" s="7" t="n">
        <v>46067</v>
      </c>
      <c r="B113" s="8" t="s">
        <v>31</v>
      </c>
      <c r="C113" s="8" t="s">
        <v>23</v>
      </c>
      <c r="D113" s="8" t="s">
        <v>42</v>
      </c>
      <c r="E113" s="8" t="s">
        <v>43</v>
      </c>
      <c r="F113" s="8" t="s">
        <v>34</v>
      </c>
      <c r="G113" s="8" t="n">
        <v>29</v>
      </c>
      <c r="H113" s="9" t="n">
        <v>11.99</v>
      </c>
      <c r="I113" s="9" t="n">
        <v>3.5</v>
      </c>
      <c r="J113" s="10" t="n">
        <v>0.3</v>
      </c>
      <c r="K113" s="9" t="n">
        <f aca="false">G113*H113*(1-J113)</f>
        <v>243.397</v>
      </c>
      <c r="L113" s="9" t="n">
        <f aca="false">G113*I113</f>
        <v>101.5</v>
      </c>
      <c r="M113" s="9" t="n">
        <f aca="false">K113-L113</f>
        <v>141.897</v>
      </c>
      <c r="N113" s="11" t="n">
        <f aca="false">IF(K113=0,0,M113/K113)</f>
        <v>0.582985821517932</v>
      </c>
      <c r="O113" s="9" t="n">
        <f aca="false">(G113*H113)-K113</f>
        <v>104.313</v>
      </c>
      <c r="P113" s="8" t="s">
        <v>21</v>
      </c>
    </row>
    <row r="114" customFormat="false" ht="15" hidden="false" customHeight="false" outlineLevel="0" collapsed="false">
      <c r="A114" s="2" t="n">
        <v>46112</v>
      </c>
      <c r="B114" s="3" t="s">
        <v>37</v>
      </c>
      <c r="C114" s="3" t="s">
        <v>17</v>
      </c>
      <c r="D114" s="3" t="s">
        <v>74</v>
      </c>
      <c r="E114" s="3" t="s">
        <v>75</v>
      </c>
      <c r="F114" s="3" t="s">
        <v>40</v>
      </c>
      <c r="G114" s="3" t="n">
        <v>22</v>
      </c>
      <c r="H114" s="4" t="n">
        <v>29.99</v>
      </c>
      <c r="I114" s="4" t="n">
        <v>13</v>
      </c>
      <c r="J114" s="5" t="n">
        <v>0</v>
      </c>
      <c r="K114" s="4" t="n">
        <f aca="false">G114*H114*(1-J114)</f>
        <v>659.78</v>
      </c>
      <c r="L114" s="4" t="n">
        <f aca="false">G114*I114</f>
        <v>286</v>
      </c>
      <c r="M114" s="4" t="n">
        <f aca="false">K114-L114</f>
        <v>373.78</v>
      </c>
      <c r="N114" s="6" t="n">
        <f aca="false">IF(K114=0,0,M114/K114)</f>
        <v>0.566522174058019</v>
      </c>
      <c r="O114" s="4" t="n">
        <f aca="false">(G114*H114)-K114</f>
        <v>0</v>
      </c>
      <c r="P114" s="3" t="s">
        <v>21</v>
      </c>
    </row>
    <row r="115" customFormat="false" ht="15" hidden="false" customHeight="false" outlineLevel="0" collapsed="false">
      <c r="A115" s="7" t="n">
        <v>46079</v>
      </c>
      <c r="B115" s="8" t="s">
        <v>58</v>
      </c>
      <c r="C115" s="8" t="s">
        <v>58</v>
      </c>
      <c r="D115" s="8" t="s">
        <v>18</v>
      </c>
      <c r="E115" s="8" t="s">
        <v>19</v>
      </c>
      <c r="F115" s="8" t="s">
        <v>20</v>
      </c>
      <c r="G115" s="8" t="n">
        <v>14</v>
      </c>
      <c r="H115" s="9" t="n">
        <v>26.99</v>
      </c>
      <c r="I115" s="9" t="n">
        <v>10.5</v>
      </c>
      <c r="J115" s="10" t="n">
        <v>0</v>
      </c>
      <c r="K115" s="9" t="n">
        <f aca="false">G115*H115*(1-J115)</f>
        <v>377.86</v>
      </c>
      <c r="L115" s="9" t="n">
        <f aca="false">G115*I115</f>
        <v>147</v>
      </c>
      <c r="M115" s="9" t="n">
        <f aca="false">K115-L115</f>
        <v>230.86</v>
      </c>
      <c r="N115" s="11" t="n">
        <f aca="false">IF(K115=0,0,M115/K115)</f>
        <v>0.610967024824009</v>
      </c>
      <c r="O115" s="9" t="n">
        <f aca="false">(G115*H115)-K115</f>
        <v>0</v>
      </c>
      <c r="P115" s="8" t="s">
        <v>21</v>
      </c>
    </row>
    <row r="116" customFormat="false" ht="15" hidden="false" customHeight="false" outlineLevel="0" collapsed="false">
      <c r="A116" s="2" t="n">
        <v>46044</v>
      </c>
      <c r="B116" s="3" t="s">
        <v>31</v>
      </c>
      <c r="C116" s="3" t="s">
        <v>23</v>
      </c>
      <c r="D116" s="3" t="s">
        <v>48</v>
      </c>
      <c r="E116" s="3" t="s">
        <v>49</v>
      </c>
      <c r="F116" s="3" t="s">
        <v>50</v>
      </c>
      <c r="G116" s="3" t="n">
        <v>8</v>
      </c>
      <c r="H116" s="4" t="n">
        <v>54.99</v>
      </c>
      <c r="I116" s="4" t="n">
        <v>20</v>
      </c>
      <c r="J116" s="5" t="n">
        <v>0</v>
      </c>
      <c r="K116" s="4" t="n">
        <f aca="false">G116*H116*(1-J116)</f>
        <v>439.92</v>
      </c>
      <c r="L116" s="4" t="n">
        <f aca="false">G116*I116</f>
        <v>160</v>
      </c>
      <c r="M116" s="4" t="n">
        <f aca="false">K116-L116</f>
        <v>279.92</v>
      </c>
      <c r="N116" s="6" t="n">
        <f aca="false">IF(K116=0,0,M116/K116)</f>
        <v>0.636297508637934</v>
      </c>
      <c r="O116" s="4" t="n">
        <f aca="false">(G116*H116)-K116</f>
        <v>0</v>
      </c>
      <c r="P116" s="3" t="s">
        <v>21</v>
      </c>
    </row>
    <row r="117" customFormat="false" ht="15" hidden="false" customHeight="false" outlineLevel="0" collapsed="false">
      <c r="A117" s="7" t="n">
        <v>46122</v>
      </c>
      <c r="B117" s="8" t="s">
        <v>64</v>
      </c>
      <c r="C117" s="8" t="s">
        <v>65</v>
      </c>
      <c r="D117" s="8" t="s">
        <v>48</v>
      </c>
      <c r="E117" s="8" t="s">
        <v>49</v>
      </c>
      <c r="F117" s="8" t="s">
        <v>50</v>
      </c>
      <c r="G117" s="8" t="n">
        <v>22</v>
      </c>
      <c r="H117" s="9" t="n">
        <v>59.99</v>
      </c>
      <c r="I117" s="9" t="n">
        <v>20</v>
      </c>
      <c r="J117" s="10" t="n">
        <v>0.25</v>
      </c>
      <c r="K117" s="9" t="n">
        <f aca="false">G117*H117*(1-J117)</f>
        <v>989.835</v>
      </c>
      <c r="L117" s="9" t="n">
        <f aca="false">G117*I117</f>
        <v>440</v>
      </c>
      <c r="M117" s="9" t="n">
        <f aca="false">K117-L117</f>
        <v>549.835</v>
      </c>
      <c r="N117" s="11" t="n">
        <f aca="false">IF(K117=0,0,M117/K117)</f>
        <v>0.555481469133745</v>
      </c>
      <c r="O117" s="9" t="n">
        <f aca="false">(G117*H117)-K117</f>
        <v>329.945</v>
      </c>
      <c r="P117" s="8" t="s">
        <v>21</v>
      </c>
    </row>
    <row r="118" customFormat="false" ht="15" hidden="false" customHeight="false" outlineLevel="0" collapsed="false">
      <c r="A118" s="2" t="n">
        <v>46062</v>
      </c>
      <c r="B118" s="3" t="s">
        <v>27</v>
      </c>
      <c r="C118" s="3" t="s">
        <v>28</v>
      </c>
      <c r="D118" s="3" t="s">
        <v>44</v>
      </c>
      <c r="E118" s="3" t="s">
        <v>45</v>
      </c>
      <c r="F118" s="3" t="s">
        <v>40</v>
      </c>
      <c r="G118" s="3" t="n">
        <v>16</v>
      </c>
      <c r="H118" s="4" t="n">
        <v>29.99</v>
      </c>
      <c r="I118" s="4" t="n">
        <v>11</v>
      </c>
      <c r="J118" s="5" t="n">
        <v>0.3</v>
      </c>
      <c r="K118" s="4" t="n">
        <f aca="false">G118*H118*(1-J118)</f>
        <v>335.888</v>
      </c>
      <c r="L118" s="4" t="n">
        <f aca="false">G118*I118</f>
        <v>176</v>
      </c>
      <c r="M118" s="4" t="n">
        <f aca="false">K118-L118</f>
        <v>159.888</v>
      </c>
      <c r="N118" s="6" t="n">
        <f aca="false">IF(K118=0,0,M118/K118)</f>
        <v>0.476015814795408</v>
      </c>
      <c r="O118" s="4" t="n">
        <f aca="false">(G118*H118)-K118</f>
        <v>143.952</v>
      </c>
      <c r="P118" s="3" t="s">
        <v>21</v>
      </c>
    </row>
    <row r="119" customFormat="false" ht="15" hidden="false" customHeight="false" outlineLevel="0" collapsed="false">
      <c r="A119" s="7" t="n">
        <v>46044</v>
      </c>
      <c r="B119" s="8" t="s">
        <v>31</v>
      </c>
      <c r="C119" s="8" t="s">
        <v>23</v>
      </c>
      <c r="D119" s="8" t="s">
        <v>59</v>
      </c>
      <c r="E119" s="8" t="s">
        <v>60</v>
      </c>
      <c r="F119" s="8" t="s">
        <v>50</v>
      </c>
      <c r="G119" s="8" t="n">
        <v>21</v>
      </c>
      <c r="H119" s="9" t="n">
        <v>24.99</v>
      </c>
      <c r="I119" s="9" t="n">
        <v>8.5</v>
      </c>
      <c r="J119" s="10" t="n">
        <v>0.05</v>
      </c>
      <c r="K119" s="9" t="n">
        <f aca="false">G119*H119*(1-J119)</f>
        <v>498.5505</v>
      </c>
      <c r="L119" s="9" t="n">
        <f aca="false">G119*I119</f>
        <v>178.5</v>
      </c>
      <c r="M119" s="9" t="n">
        <f aca="false">K119-L119</f>
        <v>320.0505</v>
      </c>
      <c r="N119" s="11" t="n">
        <f aca="false">IF(K119=0,0,M119/K119)</f>
        <v>0.641962047977086</v>
      </c>
      <c r="O119" s="9" t="n">
        <f aca="false">(G119*H119)-K119</f>
        <v>26.2395</v>
      </c>
      <c r="P119" s="8" t="s">
        <v>21</v>
      </c>
    </row>
    <row r="120" customFormat="false" ht="15" hidden="false" customHeight="false" outlineLevel="0" collapsed="false">
      <c r="A120" s="2" t="n">
        <v>46070</v>
      </c>
      <c r="B120" s="3" t="s">
        <v>22</v>
      </c>
      <c r="C120" s="3" t="s">
        <v>23</v>
      </c>
      <c r="D120" s="3" t="s">
        <v>42</v>
      </c>
      <c r="E120" s="3" t="s">
        <v>43</v>
      </c>
      <c r="F120" s="3" t="s">
        <v>34</v>
      </c>
      <c r="G120" s="3" t="n">
        <v>9</v>
      </c>
      <c r="H120" s="4" t="n">
        <v>11.99</v>
      </c>
      <c r="I120" s="4" t="n">
        <v>3.5</v>
      </c>
      <c r="J120" s="5" t="n">
        <v>0.25</v>
      </c>
      <c r="K120" s="4" t="n">
        <f aca="false">G120*H120*(1-J120)</f>
        <v>80.9325</v>
      </c>
      <c r="L120" s="4" t="n">
        <f aca="false">G120*I120</f>
        <v>31.5</v>
      </c>
      <c r="M120" s="4" t="n">
        <f aca="false">K120-L120</f>
        <v>49.4325</v>
      </c>
      <c r="N120" s="6" t="n">
        <f aca="false">IF(K120=0,0,M120/K120)</f>
        <v>0.61078676675007</v>
      </c>
      <c r="O120" s="4" t="n">
        <f aca="false">(G120*H120)-K120</f>
        <v>26.9775</v>
      </c>
      <c r="P120" s="3" t="s">
        <v>21</v>
      </c>
    </row>
    <row r="121" customFormat="false" ht="15" hidden="false" customHeight="false" outlineLevel="0" collapsed="false">
      <c r="A121" s="7" t="n">
        <v>46084</v>
      </c>
      <c r="B121" s="8" t="s">
        <v>58</v>
      </c>
      <c r="C121" s="8" t="s">
        <v>58</v>
      </c>
      <c r="D121" s="8" t="s">
        <v>51</v>
      </c>
      <c r="E121" s="8" t="s">
        <v>52</v>
      </c>
      <c r="F121" s="8" t="s">
        <v>50</v>
      </c>
      <c r="G121" s="8" t="n">
        <v>30</v>
      </c>
      <c r="H121" s="9" t="n">
        <v>19.99</v>
      </c>
      <c r="I121" s="9" t="n">
        <v>7</v>
      </c>
      <c r="J121" s="10" t="n">
        <v>0.25</v>
      </c>
      <c r="K121" s="9" t="n">
        <f aca="false">G121*H121*(1-J121)</f>
        <v>449.775</v>
      </c>
      <c r="L121" s="9" t="n">
        <f aca="false">G121*I121</f>
        <v>210</v>
      </c>
      <c r="M121" s="9" t="n">
        <f aca="false">K121-L121</f>
        <v>239.775</v>
      </c>
      <c r="N121" s="11" t="n">
        <f aca="false">IF(K121=0,0,M121/K121)</f>
        <v>0.533099883274971</v>
      </c>
      <c r="O121" s="9" t="n">
        <f aca="false">(G121*H121)-K121</f>
        <v>149.925</v>
      </c>
      <c r="P121" s="8" t="s">
        <v>21</v>
      </c>
    </row>
    <row r="122" customFormat="false" ht="15" hidden="false" customHeight="false" outlineLevel="0" collapsed="false">
      <c r="A122" s="2" t="n">
        <v>46040</v>
      </c>
      <c r="B122" s="3" t="s">
        <v>31</v>
      </c>
      <c r="C122" s="3" t="s">
        <v>23</v>
      </c>
      <c r="D122" s="3" t="s">
        <v>51</v>
      </c>
      <c r="E122" s="3" t="s">
        <v>52</v>
      </c>
      <c r="F122" s="3" t="s">
        <v>50</v>
      </c>
      <c r="G122" s="3" t="n">
        <v>18</v>
      </c>
      <c r="H122" s="4" t="n">
        <v>19.99</v>
      </c>
      <c r="I122" s="4" t="n">
        <v>7</v>
      </c>
      <c r="J122" s="5" t="n">
        <v>0.1</v>
      </c>
      <c r="K122" s="4" t="n">
        <f aca="false">G122*H122*(1-J122)</f>
        <v>323.838</v>
      </c>
      <c r="L122" s="4" t="n">
        <f aca="false">G122*I122</f>
        <v>126</v>
      </c>
      <c r="M122" s="4" t="n">
        <f aca="false">K122-L122</f>
        <v>197.838</v>
      </c>
      <c r="N122" s="6" t="n">
        <f aca="false">IF(K122=0,0,M122/K122)</f>
        <v>0.610916569395809</v>
      </c>
      <c r="O122" s="4" t="n">
        <f aca="false">(G122*H122)-K122</f>
        <v>35.982</v>
      </c>
      <c r="P122" s="3" t="s">
        <v>21</v>
      </c>
    </row>
    <row r="123" customFormat="false" ht="15" hidden="false" customHeight="false" outlineLevel="0" collapsed="false">
      <c r="A123" s="7" t="n">
        <v>46081</v>
      </c>
      <c r="B123" s="8" t="s">
        <v>37</v>
      </c>
      <c r="C123" s="8" t="s">
        <v>17</v>
      </c>
      <c r="D123" s="8" t="s">
        <v>32</v>
      </c>
      <c r="E123" s="8" t="s">
        <v>33</v>
      </c>
      <c r="F123" s="8" t="s">
        <v>34</v>
      </c>
      <c r="G123" s="8" t="n">
        <v>12</v>
      </c>
      <c r="H123" s="9" t="n">
        <v>18.99</v>
      </c>
      <c r="I123" s="9" t="n">
        <v>6</v>
      </c>
      <c r="J123" s="10" t="n">
        <v>0.05</v>
      </c>
      <c r="K123" s="9" t="n">
        <f aca="false">G123*H123*(1-J123)</f>
        <v>216.486</v>
      </c>
      <c r="L123" s="9" t="n">
        <f aca="false">G123*I123</f>
        <v>72</v>
      </c>
      <c r="M123" s="9" t="n">
        <f aca="false">K123-L123</f>
        <v>144.486</v>
      </c>
      <c r="N123" s="11" t="n">
        <f aca="false">IF(K123=0,0,M123/K123)</f>
        <v>0.667414982955018</v>
      </c>
      <c r="O123" s="9" t="n">
        <f aca="false">(G123*H123)-K123</f>
        <v>11.394</v>
      </c>
      <c r="P123" s="8" t="s">
        <v>21</v>
      </c>
    </row>
    <row r="124" customFormat="false" ht="15" hidden="false" customHeight="false" outlineLevel="0" collapsed="false">
      <c r="A124" s="2" t="n">
        <v>46087</v>
      </c>
      <c r="B124" s="3" t="s">
        <v>41</v>
      </c>
      <c r="C124" s="3" t="s">
        <v>28</v>
      </c>
      <c r="D124" s="3" t="s">
        <v>18</v>
      </c>
      <c r="E124" s="3" t="s">
        <v>19</v>
      </c>
      <c r="F124" s="3" t="s">
        <v>20</v>
      </c>
      <c r="G124" s="3" t="n">
        <v>28</v>
      </c>
      <c r="H124" s="4" t="n">
        <v>26.99</v>
      </c>
      <c r="I124" s="4" t="n">
        <v>10.5</v>
      </c>
      <c r="J124" s="5" t="n">
        <v>0.1</v>
      </c>
      <c r="K124" s="4" t="n">
        <f aca="false">G124*H124*(1-J124)</f>
        <v>680.148</v>
      </c>
      <c r="L124" s="4" t="n">
        <f aca="false">G124*I124</f>
        <v>294</v>
      </c>
      <c r="M124" s="4" t="n">
        <f aca="false">K124-L124</f>
        <v>386.148</v>
      </c>
      <c r="N124" s="6" t="n">
        <f aca="false">IF(K124=0,0,M124/K124)</f>
        <v>0.567741138693343</v>
      </c>
      <c r="O124" s="4" t="n">
        <f aca="false">(G124*H124)-K124</f>
        <v>75.572</v>
      </c>
      <c r="P124" s="3" t="s">
        <v>21</v>
      </c>
    </row>
    <row r="125" customFormat="false" ht="15" hidden="false" customHeight="false" outlineLevel="0" collapsed="false">
      <c r="A125" s="7" t="n">
        <v>46077</v>
      </c>
      <c r="B125" s="8" t="s">
        <v>37</v>
      </c>
      <c r="C125" s="8" t="s">
        <v>17</v>
      </c>
      <c r="D125" s="8" t="s">
        <v>70</v>
      </c>
      <c r="E125" s="8" t="s">
        <v>71</v>
      </c>
      <c r="F125" s="8" t="s">
        <v>20</v>
      </c>
      <c r="G125" s="8" t="n">
        <v>4</v>
      </c>
      <c r="H125" s="9" t="n">
        <v>49.99</v>
      </c>
      <c r="I125" s="9" t="n">
        <v>19</v>
      </c>
      <c r="J125" s="10" t="n">
        <v>0</v>
      </c>
      <c r="K125" s="9" t="n">
        <f aca="false">G125*H125*(1-J125)</f>
        <v>199.96</v>
      </c>
      <c r="L125" s="9" t="n">
        <f aca="false">G125*I125</f>
        <v>76</v>
      </c>
      <c r="M125" s="9" t="n">
        <f aca="false">K125-L125</f>
        <v>123.96</v>
      </c>
      <c r="N125" s="11" t="n">
        <f aca="false">IF(K125=0,0,M125/K125)</f>
        <v>0.619923984796959</v>
      </c>
      <c r="O125" s="9" t="n">
        <f aca="false">(G125*H125)-K125</f>
        <v>0</v>
      </c>
      <c r="P125" s="8" t="s">
        <v>21</v>
      </c>
    </row>
    <row r="126" customFormat="false" ht="15" hidden="false" customHeight="false" outlineLevel="0" collapsed="false">
      <c r="A126" s="2" t="n">
        <v>46075</v>
      </c>
      <c r="B126" s="3" t="s">
        <v>64</v>
      </c>
      <c r="C126" s="3" t="s">
        <v>65</v>
      </c>
      <c r="D126" s="3" t="s">
        <v>59</v>
      </c>
      <c r="E126" s="3" t="s">
        <v>60</v>
      </c>
      <c r="F126" s="3" t="s">
        <v>50</v>
      </c>
      <c r="G126" s="3" t="n">
        <v>8</v>
      </c>
      <c r="H126" s="4" t="n">
        <v>24.99</v>
      </c>
      <c r="I126" s="4" t="n">
        <v>8.5</v>
      </c>
      <c r="J126" s="5" t="n">
        <v>0</v>
      </c>
      <c r="K126" s="4" t="n">
        <f aca="false">G126*H126*(1-J126)</f>
        <v>199.92</v>
      </c>
      <c r="L126" s="4" t="n">
        <f aca="false">G126*I126</f>
        <v>68</v>
      </c>
      <c r="M126" s="4" t="n">
        <f aca="false">K126-L126</f>
        <v>131.92</v>
      </c>
      <c r="N126" s="6" t="n">
        <f aca="false">IF(K126=0,0,M126/K126)</f>
        <v>0.659863945578231</v>
      </c>
      <c r="O126" s="4" t="n">
        <f aca="false">(G126*H126)-K126</f>
        <v>0</v>
      </c>
      <c r="P126" s="3" t="s">
        <v>21</v>
      </c>
    </row>
    <row r="127" customFormat="false" ht="15" hidden="false" customHeight="false" outlineLevel="0" collapsed="false">
      <c r="A127" s="7" t="n">
        <v>46063</v>
      </c>
      <c r="B127" s="8" t="s">
        <v>16</v>
      </c>
      <c r="C127" s="8" t="s">
        <v>17</v>
      </c>
      <c r="D127" s="8" t="s">
        <v>48</v>
      </c>
      <c r="E127" s="8" t="s">
        <v>49</v>
      </c>
      <c r="F127" s="8" t="s">
        <v>50</v>
      </c>
      <c r="G127" s="8" t="n">
        <v>17</v>
      </c>
      <c r="H127" s="9" t="n">
        <v>54.99</v>
      </c>
      <c r="I127" s="9" t="n">
        <v>20</v>
      </c>
      <c r="J127" s="10" t="n">
        <v>0</v>
      </c>
      <c r="K127" s="9" t="n">
        <f aca="false">G127*H127*(1-J127)</f>
        <v>934.83</v>
      </c>
      <c r="L127" s="9" t="n">
        <f aca="false">G127*I127</f>
        <v>340</v>
      </c>
      <c r="M127" s="9" t="n">
        <f aca="false">K127-L127</f>
        <v>594.83</v>
      </c>
      <c r="N127" s="11" t="n">
        <f aca="false">IF(K127=0,0,M127/K127)</f>
        <v>0.636297508637934</v>
      </c>
      <c r="O127" s="9" t="n">
        <f aca="false">(G127*H127)-K127</f>
        <v>0</v>
      </c>
      <c r="P127" s="8" t="s">
        <v>21</v>
      </c>
    </row>
    <row r="128" customFormat="false" ht="15" hidden="false" customHeight="false" outlineLevel="0" collapsed="false">
      <c r="A128" s="2" t="n">
        <v>46111</v>
      </c>
      <c r="B128" s="3" t="s">
        <v>16</v>
      </c>
      <c r="C128" s="3" t="s">
        <v>17</v>
      </c>
      <c r="D128" s="3" t="s">
        <v>86</v>
      </c>
      <c r="E128" s="3" t="s">
        <v>87</v>
      </c>
      <c r="F128" s="3" t="s">
        <v>40</v>
      </c>
      <c r="G128" s="3" t="n">
        <v>21</v>
      </c>
      <c r="H128" s="4" t="n">
        <v>16.99</v>
      </c>
      <c r="I128" s="4" t="n">
        <v>5.5</v>
      </c>
      <c r="J128" s="5" t="n">
        <v>0.05</v>
      </c>
      <c r="K128" s="4" t="n">
        <f aca="false">G128*H128*(1-J128)</f>
        <v>338.9505</v>
      </c>
      <c r="L128" s="4" t="n">
        <f aca="false">G128*I128</f>
        <v>115.5</v>
      </c>
      <c r="M128" s="4" t="n">
        <f aca="false">K128-L128</f>
        <v>223.4505</v>
      </c>
      <c r="N128" s="6" t="n">
        <f aca="false">IF(K128=0,0,M128/K128)</f>
        <v>0.659242278739816</v>
      </c>
      <c r="O128" s="4" t="n">
        <f aca="false">(G128*H128)-K128</f>
        <v>17.8395</v>
      </c>
      <c r="P128" s="3" t="s">
        <v>21</v>
      </c>
    </row>
    <row r="129" customFormat="false" ht="15" hidden="false" customHeight="false" outlineLevel="0" collapsed="false">
      <c r="A129" s="7" t="n">
        <v>46102</v>
      </c>
      <c r="B129" s="8" t="s">
        <v>16</v>
      </c>
      <c r="C129" s="8" t="s">
        <v>17</v>
      </c>
      <c r="D129" s="8" t="s">
        <v>38</v>
      </c>
      <c r="E129" s="8" t="s">
        <v>39</v>
      </c>
      <c r="F129" s="8" t="s">
        <v>40</v>
      </c>
      <c r="G129" s="8" t="n">
        <v>30</v>
      </c>
      <c r="H129" s="9" t="n">
        <v>12.99</v>
      </c>
      <c r="I129" s="9" t="n">
        <v>4</v>
      </c>
      <c r="J129" s="10" t="n">
        <v>0</v>
      </c>
      <c r="K129" s="9" t="n">
        <f aca="false">G129*H129*(1-J129)</f>
        <v>389.7</v>
      </c>
      <c r="L129" s="9" t="n">
        <f aca="false">G129*I129</f>
        <v>120</v>
      </c>
      <c r="M129" s="9" t="n">
        <f aca="false">K129-L129</f>
        <v>269.7</v>
      </c>
      <c r="N129" s="11" t="n">
        <f aca="false">IF(K129=0,0,M129/K129)</f>
        <v>0.692070823710547</v>
      </c>
      <c r="O129" s="9" t="n">
        <f aca="false">(G129*H129)-K129</f>
        <v>0</v>
      </c>
      <c r="P129" s="8" t="s">
        <v>21</v>
      </c>
    </row>
    <row r="130" customFormat="false" ht="15" hidden="false" customHeight="false" outlineLevel="0" collapsed="false">
      <c r="A130" s="2" t="n">
        <v>46054</v>
      </c>
      <c r="B130" s="3" t="s">
        <v>31</v>
      </c>
      <c r="C130" s="3" t="s">
        <v>23</v>
      </c>
      <c r="D130" s="3" t="s">
        <v>70</v>
      </c>
      <c r="E130" s="3" t="s">
        <v>71</v>
      </c>
      <c r="F130" s="3" t="s">
        <v>20</v>
      </c>
      <c r="G130" s="3" t="n">
        <v>4</v>
      </c>
      <c r="H130" s="4" t="n">
        <v>49.99</v>
      </c>
      <c r="I130" s="4" t="n">
        <v>19</v>
      </c>
      <c r="J130" s="5" t="n">
        <v>0.3</v>
      </c>
      <c r="K130" s="4" t="n">
        <f aca="false">G130*H130*(1-J130)</f>
        <v>139.972</v>
      </c>
      <c r="L130" s="4" t="n">
        <f aca="false">G130*I130</f>
        <v>76</v>
      </c>
      <c r="M130" s="4" t="n">
        <f aca="false">K130-L130</f>
        <v>63.972</v>
      </c>
      <c r="N130" s="6" t="n">
        <f aca="false">IF(K130=0,0,M130/K130)</f>
        <v>0.457034263995656</v>
      </c>
      <c r="O130" s="4" t="n">
        <f aca="false">(G130*H130)-K130</f>
        <v>59.988</v>
      </c>
      <c r="P130" s="3" t="s">
        <v>21</v>
      </c>
    </row>
    <row r="131" customFormat="false" ht="15" hidden="false" customHeight="false" outlineLevel="0" collapsed="false">
      <c r="A131" s="7" t="n">
        <v>46129</v>
      </c>
      <c r="B131" s="8" t="s">
        <v>16</v>
      </c>
      <c r="C131" s="8" t="s">
        <v>17</v>
      </c>
      <c r="D131" s="8" t="s">
        <v>66</v>
      </c>
      <c r="E131" s="8" t="s">
        <v>67</v>
      </c>
      <c r="F131" s="8" t="s">
        <v>57</v>
      </c>
      <c r="G131" s="8" t="n">
        <v>30</v>
      </c>
      <c r="H131" s="9" t="n">
        <v>14.99</v>
      </c>
      <c r="I131" s="9" t="n">
        <v>5.5</v>
      </c>
      <c r="J131" s="10" t="n">
        <v>0.05</v>
      </c>
      <c r="K131" s="9" t="n">
        <f aca="false">G131*H131*(1-J131)</f>
        <v>427.215</v>
      </c>
      <c r="L131" s="9" t="n">
        <f aca="false">G131*I131</f>
        <v>165</v>
      </c>
      <c r="M131" s="9" t="n">
        <f aca="false">K131-L131</f>
        <v>262.215</v>
      </c>
      <c r="N131" s="11" t="n">
        <f aca="false">IF(K131=0,0,M131/K131)</f>
        <v>0.613777606123381</v>
      </c>
      <c r="O131" s="9" t="n">
        <f aca="false">(G131*H131)-K131</f>
        <v>22.485</v>
      </c>
      <c r="P131" s="8" t="s">
        <v>21</v>
      </c>
    </row>
    <row r="132" customFormat="false" ht="15" hidden="false" customHeight="false" outlineLevel="0" collapsed="false">
      <c r="A132" s="2" t="n">
        <v>46069</v>
      </c>
      <c r="B132" s="3" t="s">
        <v>58</v>
      </c>
      <c r="C132" s="3" t="s">
        <v>58</v>
      </c>
      <c r="D132" s="3" t="s">
        <v>61</v>
      </c>
      <c r="E132" s="3" t="s">
        <v>62</v>
      </c>
      <c r="F132" s="3" t="s">
        <v>34</v>
      </c>
      <c r="G132" s="3" t="n">
        <v>12</v>
      </c>
      <c r="H132" s="4" t="n">
        <v>12.99</v>
      </c>
      <c r="I132" s="4" t="n">
        <v>4.5</v>
      </c>
      <c r="J132" s="5" t="n">
        <v>0.05</v>
      </c>
      <c r="K132" s="4" t="n">
        <f aca="false">G132*H132*(1-J132)</f>
        <v>148.086</v>
      </c>
      <c r="L132" s="4" t="n">
        <f aca="false">G132*I132</f>
        <v>54</v>
      </c>
      <c r="M132" s="4" t="n">
        <f aca="false">K132-L132</f>
        <v>94.086</v>
      </c>
      <c r="N132" s="6" t="n">
        <f aca="false">IF(K132=0,0,M132/K132)</f>
        <v>0.635347028078279</v>
      </c>
      <c r="O132" s="4" t="n">
        <f aca="false">(G132*H132)-K132</f>
        <v>7.79400000000001</v>
      </c>
      <c r="P132" s="3" t="s">
        <v>21</v>
      </c>
    </row>
    <row r="133" customFormat="false" ht="15" hidden="false" customHeight="false" outlineLevel="0" collapsed="false">
      <c r="A133" s="7" t="n">
        <v>46026</v>
      </c>
      <c r="B133" s="8" t="s">
        <v>22</v>
      </c>
      <c r="C133" s="8" t="s">
        <v>23</v>
      </c>
      <c r="D133" s="8" t="s">
        <v>70</v>
      </c>
      <c r="E133" s="8" t="s">
        <v>71</v>
      </c>
      <c r="F133" s="8" t="s">
        <v>20</v>
      </c>
      <c r="G133" s="8" t="n">
        <v>28</v>
      </c>
      <c r="H133" s="9" t="n">
        <v>49.99</v>
      </c>
      <c r="I133" s="9" t="n">
        <v>19</v>
      </c>
      <c r="J133" s="10" t="n">
        <v>0.05</v>
      </c>
      <c r="K133" s="9" t="n">
        <f aca="false">G133*H133*(1-J133)</f>
        <v>1329.734</v>
      </c>
      <c r="L133" s="9" t="n">
        <f aca="false">G133*I133</f>
        <v>532</v>
      </c>
      <c r="M133" s="9" t="n">
        <f aca="false">K133-L133</f>
        <v>797.734</v>
      </c>
      <c r="N133" s="11" t="n">
        <f aca="false">IF(K133=0,0,M133/K133)</f>
        <v>0.599919983996799</v>
      </c>
      <c r="O133" s="9" t="n">
        <f aca="false">(G133*H133)-K133</f>
        <v>69.9860000000001</v>
      </c>
      <c r="P133" s="8" t="s">
        <v>21</v>
      </c>
    </row>
    <row r="134" customFormat="false" ht="15" hidden="false" customHeight="false" outlineLevel="0" collapsed="false">
      <c r="A134" s="2" t="n">
        <v>46122</v>
      </c>
      <c r="B134" s="3" t="s">
        <v>27</v>
      </c>
      <c r="C134" s="3" t="s">
        <v>28</v>
      </c>
      <c r="D134" s="3" t="s">
        <v>66</v>
      </c>
      <c r="E134" s="3" t="s">
        <v>67</v>
      </c>
      <c r="F134" s="3" t="s">
        <v>57</v>
      </c>
      <c r="G134" s="3" t="n">
        <v>29</v>
      </c>
      <c r="H134" s="4" t="n">
        <v>14.99</v>
      </c>
      <c r="I134" s="4" t="n">
        <v>5.5</v>
      </c>
      <c r="J134" s="5" t="n">
        <v>0</v>
      </c>
      <c r="K134" s="4" t="n">
        <f aca="false">G134*H134*(1-J134)</f>
        <v>434.71</v>
      </c>
      <c r="L134" s="4" t="n">
        <f aca="false">G134*I134</f>
        <v>159.5</v>
      </c>
      <c r="M134" s="4" t="n">
        <f aca="false">K134-L134</f>
        <v>275.21</v>
      </c>
      <c r="N134" s="6" t="n">
        <f aca="false">IF(K134=0,0,M134/K134)</f>
        <v>0.633088725817211</v>
      </c>
      <c r="O134" s="4" t="n">
        <f aca="false">(G134*H134)-K134</f>
        <v>0</v>
      </c>
      <c r="P134" s="3" t="s">
        <v>21</v>
      </c>
    </row>
    <row r="135" customFormat="false" ht="15" hidden="false" customHeight="false" outlineLevel="0" collapsed="false">
      <c r="A135" s="7" t="n">
        <v>46086</v>
      </c>
      <c r="B135" s="8" t="s">
        <v>37</v>
      </c>
      <c r="C135" s="8" t="s">
        <v>17</v>
      </c>
      <c r="D135" s="8" t="s">
        <v>53</v>
      </c>
      <c r="E135" s="8" t="s">
        <v>54</v>
      </c>
      <c r="F135" s="8" t="s">
        <v>50</v>
      </c>
      <c r="G135" s="8" t="n">
        <v>4</v>
      </c>
      <c r="H135" s="9" t="n">
        <v>22.99</v>
      </c>
      <c r="I135" s="9" t="n">
        <v>8</v>
      </c>
      <c r="J135" s="10" t="n">
        <v>0</v>
      </c>
      <c r="K135" s="9" t="n">
        <f aca="false">G135*H135*(1-J135)</f>
        <v>91.96</v>
      </c>
      <c r="L135" s="9" t="n">
        <f aca="false">G135*I135</f>
        <v>32</v>
      </c>
      <c r="M135" s="9" t="n">
        <f aca="false">K135-L135</f>
        <v>59.96</v>
      </c>
      <c r="N135" s="11" t="n">
        <f aca="false">IF(K135=0,0,M135/K135)</f>
        <v>0.652022618529796</v>
      </c>
      <c r="O135" s="9" t="n">
        <f aca="false">(G135*H135)-K135</f>
        <v>0</v>
      </c>
      <c r="P135" s="8" t="s">
        <v>21</v>
      </c>
    </row>
    <row r="136" customFormat="false" ht="15" hidden="false" customHeight="false" outlineLevel="0" collapsed="false">
      <c r="A136" s="2" t="n">
        <v>46045</v>
      </c>
      <c r="B136" s="3" t="s">
        <v>37</v>
      </c>
      <c r="C136" s="3" t="s">
        <v>17</v>
      </c>
      <c r="D136" s="3" t="s">
        <v>88</v>
      </c>
      <c r="E136" s="3" t="s">
        <v>89</v>
      </c>
      <c r="F136" s="3" t="s">
        <v>57</v>
      </c>
      <c r="G136" s="3" t="n">
        <v>11</v>
      </c>
      <c r="H136" s="4" t="n">
        <v>12.99</v>
      </c>
      <c r="I136" s="4" t="n">
        <v>4.5</v>
      </c>
      <c r="J136" s="5" t="n">
        <v>0.1</v>
      </c>
      <c r="K136" s="4" t="n">
        <f aca="false">G136*H136*(1-J136)</f>
        <v>128.601</v>
      </c>
      <c r="L136" s="4" t="n">
        <f aca="false">G136*I136</f>
        <v>49.5</v>
      </c>
      <c r="M136" s="4" t="n">
        <f aca="false">K136-L136</f>
        <v>79.101</v>
      </c>
      <c r="N136" s="6" t="n">
        <f aca="false">IF(K136=0,0,M136/K136)</f>
        <v>0.615088529638183</v>
      </c>
      <c r="O136" s="4" t="n">
        <f aca="false">(G136*H136)-K136</f>
        <v>14.289</v>
      </c>
      <c r="P136" s="3" t="s">
        <v>21</v>
      </c>
    </row>
    <row r="137" customFormat="false" ht="15" hidden="false" customHeight="false" outlineLevel="0" collapsed="false">
      <c r="A137" s="7" t="n">
        <v>46087</v>
      </c>
      <c r="B137" s="8" t="s">
        <v>64</v>
      </c>
      <c r="C137" s="8" t="s">
        <v>65</v>
      </c>
      <c r="D137" s="8" t="s">
        <v>44</v>
      </c>
      <c r="E137" s="8" t="s">
        <v>45</v>
      </c>
      <c r="F137" s="8" t="s">
        <v>40</v>
      </c>
      <c r="G137" s="8" t="n">
        <v>5</v>
      </c>
      <c r="H137" s="9" t="n">
        <v>29.99</v>
      </c>
      <c r="I137" s="9" t="n">
        <v>11</v>
      </c>
      <c r="J137" s="10" t="n">
        <v>0.25</v>
      </c>
      <c r="K137" s="9" t="n">
        <f aca="false">G137*H137*(1-J137)</f>
        <v>112.4625</v>
      </c>
      <c r="L137" s="9" t="n">
        <f aca="false">G137*I137</f>
        <v>55</v>
      </c>
      <c r="M137" s="9" t="n">
        <f aca="false">K137-L137</f>
        <v>57.4625</v>
      </c>
      <c r="N137" s="11" t="n">
        <f aca="false">IF(K137=0,0,M137/K137)</f>
        <v>0.510948093809047</v>
      </c>
      <c r="O137" s="9" t="n">
        <f aca="false">(G137*H137)-K137</f>
        <v>37.4875</v>
      </c>
      <c r="P137" s="8" t="s">
        <v>21</v>
      </c>
    </row>
    <row r="138" customFormat="false" ht="15" hidden="false" customHeight="false" outlineLevel="0" collapsed="false">
      <c r="A138" s="2" t="n">
        <v>46108</v>
      </c>
      <c r="B138" s="3" t="s">
        <v>22</v>
      </c>
      <c r="C138" s="3" t="s">
        <v>23</v>
      </c>
      <c r="D138" s="3" t="s">
        <v>35</v>
      </c>
      <c r="E138" s="3" t="s">
        <v>36</v>
      </c>
      <c r="F138" s="3" t="s">
        <v>26</v>
      </c>
      <c r="G138" s="3" t="n">
        <v>5</v>
      </c>
      <c r="H138" s="4" t="n">
        <v>69.99</v>
      </c>
      <c r="I138" s="4" t="n">
        <v>30</v>
      </c>
      <c r="J138" s="5" t="n">
        <v>0</v>
      </c>
      <c r="K138" s="4" t="n">
        <f aca="false">G138*H138*(1-J138)</f>
        <v>349.95</v>
      </c>
      <c r="L138" s="4" t="n">
        <f aca="false">G138*I138</f>
        <v>150</v>
      </c>
      <c r="M138" s="4" t="n">
        <f aca="false">K138-L138</f>
        <v>199.95</v>
      </c>
      <c r="N138" s="6" t="n">
        <f aca="false">IF(K138=0,0,M138/K138)</f>
        <v>0.57136733819117</v>
      </c>
      <c r="O138" s="4" t="n">
        <f aca="false">(G138*H138)-K138</f>
        <v>0</v>
      </c>
      <c r="P138" s="3" t="s">
        <v>21</v>
      </c>
    </row>
    <row r="139" customFormat="false" ht="15" hidden="false" customHeight="false" outlineLevel="0" collapsed="false">
      <c r="A139" s="7" t="n">
        <v>46075</v>
      </c>
      <c r="B139" s="8" t="s">
        <v>27</v>
      </c>
      <c r="C139" s="8" t="s">
        <v>28</v>
      </c>
      <c r="D139" s="8" t="s">
        <v>78</v>
      </c>
      <c r="E139" s="8" t="s">
        <v>79</v>
      </c>
      <c r="F139" s="8" t="s">
        <v>20</v>
      </c>
      <c r="G139" s="8" t="n">
        <v>23</v>
      </c>
      <c r="H139" s="9" t="n">
        <v>39.99</v>
      </c>
      <c r="I139" s="9" t="n">
        <v>16</v>
      </c>
      <c r="J139" s="10" t="n">
        <v>0.1</v>
      </c>
      <c r="K139" s="9" t="n">
        <f aca="false">G139*H139*(1-J139)</f>
        <v>827.793</v>
      </c>
      <c r="L139" s="9" t="n">
        <f aca="false">G139*I139</f>
        <v>368</v>
      </c>
      <c r="M139" s="9" t="n">
        <f aca="false">K139-L139</f>
        <v>459.793</v>
      </c>
      <c r="N139" s="11" t="n">
        <f aca="false">IF(K139=0,0,M139/K139)</f>
        <v>0.555444416659721</v>
      </c>
      <c r="O139" s="9" t="n">
        <f aca="false">(G139*H139)-K139</f>
        <v>91.977</v>
      </c>
      <c r="P139" s="8" t="s">
        <v>21</v>
      </c>
    </row>
    <row r="140" customFormat="false" ht="15" hidden="false" customHeight="false" outlineLevel="0" collapsed="false">
      <c r="A140" s="2" t="n">
        <v>46107</v>
      </c>
      <c r="B140" s="3" t="s">
        <v>16</v>
      </c>
      <c r="C140" s="3" t="s">
        <v>17</v>
      </c>
      <c r="D140" s="3" t="s">
        <v>48</v>
      </c>
      <c r="E140" s="3" t="s">
        <v>49</v>
      </c>
      <c r="F140" s="3" t="s">
        <v>50</v>
      </c>
      <c r="G140" s="3" t="n">
        <v>12</v>
      </c>
      <c r="H140" s="4" t="n">
        <v>59.99</v>
      </c>
      <c r="I140" s="4" t="n">
        <v>20</v>
      </c>
      <c r="J140" s="5" t="n">
        <v>0.15</v>
      </c>
      <c r="K140" s="4" t="n">
        <f aca="false">G140*H140*(1-J140)</f>
        <v>611.898</v>
      </c>
      <c r="L140" s="4" t="n">
        <f aca="false">G140*I140</f>
        <v>240</v>
      </c>
      <c r="M140" s="4" t="n">
        <f aca="false">K140-L140</f>
        <v>371.898</v>
      </c>
      <c r="N140" s="6" t="n">
        <f aca="false">IF(K140=0,0,M140/K140)</f>
        <v>0.607777766882716</v>
      </c>
      <c r="O140" s="4" t="n">
        <f aca="false">(G140*H140)-K140</f>
        <v>107.982</v>
      </c>
      <c r="P140" s="3" t="s">
        <v>21</v>
      </c>
    </row>
    <row r="141" customFormat="false" ht="15" hidden="false" customHeight="false" outlineLevel="0" collapsed="false">
      <c r="A141" s="7" t="n">
        <v>46099</v>
      </c>
      <c r="B141" s="8" t="s">
        <v>58</v>
      </c>
      <c r="C141" s="8" t="s">
        <v>58</v>
      </c>
      <c r="D141" s="8" t="s">
        <v>90</v>
      </c>
      <c r="E141" s="8" t="s">
        <v>91</v>
      </c>
      <c r="F141" s="8" t="s">
        <v>26</v>
      </c>
      <c r="G141" s="8" t="n">
        <v>18</v>
      </c>
      <c r="H141" s="9" t="n">
        <v>29.99</v>
      </c>
      <c r="I141" s="9" t="n">
        <v>11</v>
      </c>
      <c r="J141" s="10" t="n">
        <v>0</v>
      </c>
      <c r="K141" s="9" t="n">
        <f aca="false">G141*H141*(1-J141)</f>
        <v>539.82</v>
      </c>
      <c r="L141" s="9" t="n">
        <f aca="false">G141*I141</f>
        <v>198</v>
      </c>
      <c r="M141" s="9" t="n">
        <f aca="false">K141-L141</f>
        <v>341.82</v>
      </c>
      <c r="N141" s="11" t="n">
        <f aca="false">IF(K141=0,0,M141/K141)</f>
        <v>0.633211070356786</v>
      </c>
      <c r="O141" s="9" t="n">
        <f aca="false">(G141*H141)-K141</f>
        <v>0</v>
      </c>
      <c r="P141" s="8" t="s">
        <v>21</v>
      </c>
    </row>
    <row r="142" customFormat="false" ht="15" hidden="false" customHeight="false" outlineLevel="0" collapsed="false">
      <c r="A142" s="2" t="n">
        <v>46082</v>
      </c>
      <c r="B142" s="3" t="s">
        <v>16</v>
      </c>
      <c r="C142" s="3" t="s">
        <v>17</v>
      </c>
      <c r="D142" s="3" t="s">
        <v>95</v>
      </c>
      <c r="E142" s="3" t="s">
        <v>96</v>
      </c>
      <c r="F142" s="3" t="s">
        <v>50</v>
      </c>
      <c r="G142" s="3" t="n">
        <v>10</v>
      </c>
      <c r="H142" s="4" t="n">
        <v>34.99</v>
      </c>
      <c r="I142" s="4" t="n">
        <v>12</v>
      </c>
      <c r="J142" s="5" t="n">
        <v>0.25</v>
      </c>
      <c r="K142" s="4" t="n">
        <f aca="false">G142*H142*(1-J142)</f>
        <v>262.425</v>
      </c>
      <c r="L142" s="4" t="n">
        <f aca="false">G142*I142</f>
        <v>120</v>
      </c>
      <c r="M142" s="4" t="n">
        <f aca="false">K142-L142</f>
        <v>142.425</v>
      </c>
      <c r="N142" s="6" t="n">
        <f aca="false">IF(K142=0,0,M142/K142)</f>
        <v>0.542726493283795</v>
      </c>
      <c r="O142" s="4" t="n">
        <f aca="false">(G142*H142)-K142</f>
        <v>87.475</v>
      </c>
      <c r="P142" s="3" t="s">
        <v>21</v>
      </c>
    </row>
    <row r="143" customFormat="false" ht="15" hidden="false" customHeight="false" outlineLevel="0" collapsed="false">
      <c r="A143" s="7" t="n">
        <v>46076</v>
      </c>
      <c r="B143" s="8" t="s">
        <v>22</v>
      </c>
      <c r="C143" s="8" t="s">
        <v>23</v>
      </c>
      <c r="D143" s="8" t="s">
        <v>48</v>
      </c>
      <c r="E143" s="8" t="s">
        <v>49</v>
      </c>
      <c r="F143" s="8" t="s">
        <v>50</v>
      </c>
      <c r="G143" s="8" t="n">
        <v>14</v>
      </c>
      <c r="H143" s="9" t="n">
        <v>54.99</v>
      </c>
      <c r="I143" s="9" t="n">
        <v>20</v>
      </c>
      <c r="J143" s="10" t="n">
        <v>0.1</v>
      </c>
      <c r="K143" s="9" t="n">
        <f aca="false">G143*H143*(1-J143)</f>
        <v>692.874</v>
      </c>
      <c r="L143" s="9" t="n">
        <f aca="false">G143*I143</f>
        <v>280</v>
      </c>
      <c r="M143" s="9" t="n">
        <f aca="false">K143-L143</f>
        <v>412.874</v>
      </c>
      <c r="N143" s="11" t="n">
        <f aca="false">IF(K143=0,0,M143/K143)</f>
        <v>0.595886120708816</v>
      </c>
      <c r="O143" s="9" t="n">
        <f aca="false">(G143*H143)-K143</f>
        <v>76.986</v>
      </c>
      <c r="P143" s="8" t="s">
        <v>21</v>
      </c>
    </row>
    <row r="144" customFormat="false" ht="15" hidden="false" customHeight="false" outlineLevel="0" collapsed="false">
      <c r="A144" s="2" t="n">
        <v>46040</v>
      </c>
      <c r="B144" s="3" t="s">
        <v>31</v>
      </c>
      <c r="C144" s="3" t="s">
        <v>23</v>
      </c>
      <c r="D144" s="3" t="s">
        <v>78</v>
      </c>
      <c r="E144" s="3" t="s">
        <v>79</v>
      </c>
      <c r="F144" s="3" t="s">
        <v>20</v>
      </c>
      <c r="G144" s="3" t="n">
        <v>10</v>
      </c>
      <c r="H144" s="4" t="n">
        <v>39.99</v>
      </c>
      <c r="I144" s="4" t="n">
        <v>16</v>
      </c>
      <c r="J144" s="5" t="n">
        <v>0.15</v>
      </c>
      <c r="K144" s="4" t="n">
        <f aca="false">G144*H144*(1-J144)</f>
        <v>339.915</v>
      </c>
      <c r="L144" s="4" t="n">
        <f aca="false">G144*I144</f>
        <v>160</v>
      </c>
      <c r="M144" s="4" t="n">
        <f aca="false">K144-L144</f>
        <v>179.915</v>
      </c>
      <c r="N144" s="6" t="n">
        <f aca="false">IF(K144=0,0,M144/K144)</f>
        <v>0.529294088227939</v>
      </c>
      <c r="O144" s="4" t="n">
        <f aca="false">(G144*H144)-K144</f>
        <v>59.985</v>
      </c>
      <c r="P144" s="3" t="s">
        <v>21</v>
      </c>
    </row>
    <row r="145" customFormat="false" ht="15" hidden="false" customHeight="false" outlineLevel="0" collapsed="false">
      <c r="A145" s="7" t="n">
        <v>46052</v>
      </c>
      <c r="B145" s="8" t="s">
        <v>58</v>
      </c>
      <c r="C145" s="8" t="s">
        <v>58</v>
      </c>
      <c r="D145" s="8" t="s">
        <v>51</v>
      </c>
      <c r="E145" s="8" t="s">
        <v>52</v>
      </c>
      <c r="F145" s="8" t="s">
        <v>50</v>
      </c>
      <c r="G145" s="8" t="n">
        <v>10</v>
      </c>
      <c r="H145" s="9" t="n">
        <v>19.99</v>
      </c>
      <c r="I145" s="9" t="n">
        <v>7</v>
      </c>
      <c r="J145" s="10" t="n">
        <v>0</v>
      </c>
      <c r="K145" s="9" t="n">
        <f aca="false">G145*H145*(1-J145)</f>
        <v>199.9</v>
      </c>
      <c r="L145" s="9" t="n">
        <f aca="false">G145*I145</f>
        <v>70</v>
      </c>
      <c r="M145" s="9" t="n">
        <f aca="false">K145-L145</f>
        <v>129.9</v>
      </c>
      <c r="N145" s="11" t="n">
        <f aca="false">IF(K145=0,0,M145/K145)</f>
        <v>0.649824912456228</v>
      </c>
      <c r="O145" s="9" t="n">
        <f aca="false">(G145*H145)-K145</f>
        <v>0</v>
      </c>
      <c r="P145" s="8" t="s">
        <v>21</v>
      </c>
    </row>
    <row r="146" customFormat="false" ht="15" hidden="false" customHeight="false" outlineLevel="0" collapsed="false">
      <c r="A146" s="2" t="n">
        <v>46058</v>
      </c>
      <c r="B146" s="3" t="s">
        <v>64</v>
      </c>
      <c r="C146" s="3" t="s">
        <v>65</v>
      </c>
      <c r="D146" s="3" t="s">
        <v>42</v>
      </c>
      <c r="E146" s="3" t="s">
        <v>43</v>
      </c>
      <c r="F146" s="3" t="s">
        <v>34</v>
      </c>
      <c r="G146" s="3" t="n">
        <v>7</v>
      </c>
      <c r="H146" s="4" t="n">
        <v>11.99</v>
      </c>
      <c r="I146" s="4" t="n">
        <v>3.5</v>
      </c>
      <c r="J146" s="5" t="n">
        <v>0.1</v>
      </c>
      <c r="K146" s="4" t="n">
        <f aca="false">G146*H146*(1-J146)</f>
        <v>75.537</v>
      </c>
      <c r="L146" s="4" t="n">
        <f aca="false">G146*I146</f>
        <v>24.5</v>
      </c>
      <c r="M146" s="4" t="n">
        <f aca="false">K146-L146</f>
        <v>51.037</v>
      </c>
      <c r="N146" s="6" t="n">
        <f aca="false">IF(K146=0,0,M146/K146)</f>
        <v>0.675655638958391</v>
      </c>
      <c r="O146" s="4" t="n">
        <f aca="false">(G146*H146)-K146</f>
        <v>8.393</v>
      </c>
      <c r="P146" s="3" t="s">
        <v>21</v>
      </c>
    </row>
    <row r="147" customFormat="false" ht="15" hidden="false" customHeight="false" outlineLevel="0" collapsed="false">
      <c r="A147" s="7" t="n">
        <v>46127</v>
      </c>
      <c r="B147" s="8" t="s">
        <v>16</v>
      </c>
      <c r="C147" s="8" t="s">
        <v>17</v>
      </c>
      <c r="D147" s="8" t="s">
        <v>18</v>
      </c>
      <c r="E147" s="8" t="s">
        <v>19</v>
      </c>
      <c r="F147" s="8" t="s">
        <v>20</v>
      </c>
      <c r="G147" s="8" t="n">
        <v>13</v>
      </c>
      <c r="H147" s="9" t="n">
        <v>26.99</v>
      </c>
      <c r="I147" s="9" t="n">
        <v>10.5</v>
      </c>
      <c r="J147" s="10" t="n">
        <v>0.15</v>
      </c>
      <c r="K147" s="9" t="n">
        <f aca="false">G147*H147*(1-J147)</f>
        <v>298.2395</v>
      </c>
      <c r="L147" s="9" t="n">
        <f aca="false">G147*I147</f>
        <v>136.5</v>
      </c>
      <c r="M147" s="9" t="n">
        <f aca="false">K147-L147</f>
        <v>161.7395</v>
      </c>
      <c r="N147" s="11" t="n">
        <f aca="false">IF(K147=0,0,M147/K147)</f>
        <v>0.542314146851775</v>
      </c>
      <c r="O147" s="9" t="n">
        <f aca="false">(G147*H147)-K147</f>
        <v>52.6305</v>
      </c>
      <c r="P147" s="8" t="s">
        <v>21</v>
      </c>
    </row>
    <row r="148" customFormat="false" ht="15" hidden="false" customHeight="false" outlineLevel="0" collapsed="false">
      <c r="A148" s="2" t="n">
        <v>46087</v>
      </c>
      <c r="B148" s="3" t="s">
        <v>31</v>
      </c>
      <c r="C148" s="3" t="s">
        <v>23</v>
      </c>
      <c r="D148" s="3" t="s">
        <v>59</v>
      </c>
      <c r="E148" s="3" t="s">
        <v>60</v>
      </c>
      <c r="F148" s="3" t="s">
        <v>50</v>
      </c>
      <c r="G148" s="3" t="n">
        <v>9</v>
      </c>
      <c r="H148" s="4" t="n">
        <v>24.99</v>
      </c>
      <c r="I148" s="4" t="n">
        <v>8.5</v>
      </c>
      <c r="J148" s="5" t="n">
        <v>0.15</v>
      </c>
      <c r="K148" s="4" t="n">
        <f aca="false">G148*H148*(1-J148)</f>
        <v>191.1735</v>
      </c>
      <c r="L148" s="4" t="n">
        <f aca="false">G148*I148</f>
        <v>76.5</v>
      </c>
      <c r="M148" s="4" t="n">
        <f aca="false">K148-L148</f>
        <v>114.6735</v>
      </c>
      <c r="N148" s="6" t="n">
        <f aca="false">IF(K148=0,0,M148/K148)</f>
        <v>0.59983993597439</v>
      </c>
      <c r="O148" s="4" t="n">
        <f aca="false">(G148*H148)-K148</f>
        <v>33.7365</v>
      </c>
      <c r="P148" s="3" t="s">
        <v>21</v>
      </c>
    </row>
    <row r="149" customFormat="false" ht="15" hidden="false" customHeight="false" outlineLevel="0" collapsed="false">
      <c r="A149" s="7" t="n">
        <v>46073</v>
      </c>
      <c r="B149" s="8" t="s">
        <v>58</v>
      </c>
      <c r="C149" s="8" t="s">
        <v>58</v>
      </c>
      <c r="D149" s="8" t="s">
        <v>42</v>
      </c>
      <c r="E149" s="8" t="s">
        <v>43</v>
      </c>
      <c r="F149" s="8" t="s">
        <v>34</v>
      </c>
      <c r="G149" s="8" t="n">
        <v>22</v>
      </c>
      <c r="H149" s="9" t="n">
        <v>11.99</v>
      </c>
      <c r="I149" s="9" t="n">
        <v>3.5</v>
      </c>
      <c r="J149" s="10" t="n">
        <v>0</v>
      </c>
      <c r="K149" s="9" t="n">
        <f aca="false">G149*H149*(1-J149)</f>
        <v>263.78</v>
      </c>
      <c r="L149" s="9" t="n">
        <f aca="false">G149*I149</f>
        <v>77</v>
      </c>
      <c r="M149" s="9" t="n">
        <f aca="false">K149-L149</f>
        <v>186.78</v>
      </c>
      <c r="N149" s="11" t="n">
        <f aca="false">IF(K149=0,0,M149/K149)</f>
        <v>0.708090075062552</v>
      </c>
      <c r="O149" s="9" t="n">
        <f aca="false">(G149*H149)-K149</f>
        <v>0</v>
      </c>
      <c r="P149" s="8" t="s">
        <v>21</v>
      </c>
    </row>
    <row r="150" customFormat="false" ht="15" hidden="false" customHeight="false" outlineLevel="0" collapsed="false">
      <c r="A150" s="2" t="n">
        <v>46103</v>
      </c>
      <c r="B150" s="3" t="s">
        <v>22</v>
      </c>
      <c r="C150" s="3" t="s">
        <v>23</v>
      </c>
      <c r="D150" s="3" t="s">
        <v>59</v>
      </c>
      <c r="E150" s="3" t="s">
        <v>60</v>
      </c>
      <c r="F150" s="3" t="s">
        <v>50</v>
      </c>
      <c r="G150" s="3" t="n">
        <v>29</v>
      </c>
      <c r="H150" s="4" t="n">
        <v>24.99</v>
      </c>
      <c r="I150" s="4" t="n">
        <v>8.5</v>
      </c>
      <c r="J150" s="5" t="n">
        <v>0.1</v>
      </c>
      <c r="K150" s="4" t="n">
        <f aca="false">G150*H150*(1-J150)</f>
        <v>652.239</v>
      </c>
      <c r="L150" s="4" t="n">
        <f aca="false">G150*I150</f>
        <v>246.5</v>
      </c>
      <c r="M150" s="4" t="n">
        <f aca="false">K150-L150</f>
        <v>405.739</v>
      </c>
      <c r="N150" s="6" t="n">
        <f aca="false">IF(K150=0,0,M150/K150)</f>
        <v>0.622071050642479</v>
      </c>
      <c r="O150" s="4" t="n">
        <f aca="false">(G150*H150)-K150</f>
        <v>72.471</v>
      </c>
      <c r="P150" s="3" t="s">
        <v>21</v>
      </c>
    </row>
    <row r="151" customFormat="false" ht="15" hidden="false" customHeight="false" outlineLevel="0" collapsed="false">
      <c r="A151" s="7" t="n">
        <v>46054</v>
      </c>
      <c r="B151" s="8" t="s">
        <v>27</v>
      </c>
      <c r="C151" s="8" t="s">
        <v>28</v>
      </c>
      <c r="D151" s="8" t="s">
        <v>84</v>
      </c>
      <c r="E151" s="8" t="s">
        <v>85</v>
      </c>
      <c r="F151" s="8" t="s">
        <v>20</v>
      </c>
      <c r="G151" s="8" t="n">
        <v>13</v>
      </c>
      <c r="H151" s="9" t="n">
        <v>34.99</v>
      </c>
      <c r="I151" s="9" t="n">
        <v>13</v>
      </c>
      <c r="J151" s="10" t="n">
        <v>0.3</v>
      </c>
      <c r="K151" s="9" t="n">
        <f aca="false">G151*H151*(1-J151)</f>
        <v>318.409</v>
      </c>
      <c r="L151" s="9" t="n">
        <f aca="false">G151*I151</f>
        <v>169</v>
      </c>
      <c r="M151" s="9" t="n">
        <f aca="false">K151-L151</f>
        <v>149.409</v>
      </c>
      <c r="N151" s="11" t="n">
        <f aca="false">IF(K151=0,0,M151/K151)</f>
        <v>0.469236108275834</v>
      </c>
      <c r="O151" s="9" t="n">
        <f aca="false">(G151*H151)-K151</f>
        <v>136.461</v>
      </c>
      <c r="P151" s="8" t="s">
        <v>21</v>
      </c>
    </row>
    <row r="152" customFormat="false" ht="15" hidden="false" customHeight="false" outlineLevel="0" collapsed="false">
      <c r="A152" s="2" t="n">
        <v>46112</v>
      </c>
      <c r="B152" s="3" t="s">
        <v>22</v>
      </c>
      <c r="C152" s="3" t="s">
        <v>23</v>
      </c>
      <c r="D152" s="3" t="s">
        <v>46</v>
      </c>
      <c r="E152" s="3" t="s">
        <v>47</v>
      </c>
      <c r="F152" s="3" t="s">
        <v>20</v>
      </c>
      <c r="G152" s="3" t="n">
        <v>25</v>
      </c>
      <c r="H152" s="4" t="n">
        <v>44.99</v>
      </c>
      <c r="I152" s="4" t="n">
        <v>18</v>
      </c>
      <c r="J152" s="5" t="n">
        <v>0</v>
      </c>
      <c r="K152" s="4" t="n">
        <f aca="false">G152*H152*(1-J152)</f>
        <v>1124.75</v>
      </c>
      <c r="L152" s="4" t="n">
        <f aca="false">G152*I152</f>
        <v>450</v>
      </c>
      <c r="M152" s="4" t="n">
        <f aca="false">K152-L152</f>
        <v>674.75</v>
      </c>
      <c r="N152" s="6" t="n">
        <f aca="false">IF(K152=0,0,M152/K152)</f>
        <v>0.599911091353634</v>
      </c>
      <c r="O152" s="4" t="n">
        <f aca="false">(G152*H152)-K152</f>
        <v>0</v>
      </c>
      <c r="P152" s="3" t="s">
        <v>21</v>
      </c>
    </row>
    <row r="153" customFormat="false" ht="15" hidden="false" customHeight="false" outlineLevel="0" collapsed="false">
      <c r="A153" s="7" t="n">
        <v>46067</v>
      </c>
      <c r="B153" s="8" t="s">
        <v>58</v>
      </c>
      <c r="C153" s="8" t="s">
        <v>58</v>
      </c>
      <c r="D153" s="8" t="s">
        <v>32</v>
      </c>
      <c r="E153" s="8" t="s">
        <v>33</v>
      </c>
      <c r="F153" s="8" t="s">
        <v>34</v>
      </c>
      <c r="G153" s="8" t="n">
        <v>9</v>
      </c>
      <c r="H153" s="9" t="n">
        <v>18.99</v>
      </c>
      <c r="I153" s="9" t="n">
        <v>6</v>
      </c>
      <c r="J153" s="10" t="n">
        <v>0.15</v>
      </c>
      <c r="K153" s="9" t="n">
        <f aca="false">G153*H153*(1-J153)</f>
        <v>145.2735</v>
      </c>
      <c r="L153" s="9" t="n">
        <f aca="false">G153*I153</f>
        <v>54</v>
      </c>
      <c r="M153" s="9" t="n">
        <f aca="false">K153-L153</f>
        <v>91.2735</v>
      </c>
      <c r="N153" s="11" t="n">
        <f aca="false">IF(K153=0,0,M153/K153)</f>
        <v>0.628287333890902</v>
      </c>
      <c r="O153" s="9" t="n">
        <f aca="false">(G153*H153)-K153</f>
        <v>25.6365</v>
      </c>
      <c r="P153" s="8" t="s">
        <v>21</v>
      </c>
    </row>
    <row r="154" customFormat="false" ht="15" hidden="false" customHeight="false" outlineLevel="0" collapsed="false">
      <c r="A154" s="2" t="n">
        <v>46094</v>
      </c>
      <c r="B154" s="3" t="s">
        <v>37</v>
      </c>
      <c r="C154" s="3" t="s">
        <v>17</v>
      </c>
      <c r="D154" s="3" t="s">
        <v>82</v>
      </c>
      <c r="E154" s="3" t="s">
        <v>83</v>
      </c>
      <c r="F154" s="3" t="s">
        <v>26</v>
      </c>
      <c r="G154" s="3" t="n">
        <v>3</v>
      </c>
      <c r="H154" s="4" t="n">
        <v>44.99</v>
      </c>
      <c r="I154" s="4" t="n">
        <v>18</v>
      </c>
      <c r="J154" s="5" t="n">
        <v>0.05</v>
      </c>
      <c r="K154" s="4" t="n">
        <f aca="false">G154*H154*(1-J154)</f>
        <v>128.2215</v>
      </c>
      <c r="L154" s="4" t="n">
        <f aca="false">G154*I154</f>
        <v>54</v>
      </c>
      <c r="M154" s="4" t="n">
        <f aca="false">K154-L154</f>
        <v>74.2215</v>
      </c>
      <c r="N154" s="6" t="n">
        <f aca="false">IF(K154=0,0,M154/K154)</f>
        <v>0.578853780372246</v>
      </c>
      <c r="O154" s="4" t="n">
        <f aca="false">(G154*H154)-K154</f>
        <v>6.74850000000001</v>
      </c>
      <c r="P154" s="3" t="s">
        <v>21</v>
      </c>
    </row>
    <row r="155" customFormat="false" ht="15" hidden="false" customHeight="false" outlineLevel="0" collapsed="false">
      <c r="A155" s="7" t="n">
        <v>46119</v>
      </c>
      <c r="B155" s="8" t="s">
        <v>27</v>
      </c>
      <c r="C155" s="8" t="s">
        <v>28</v>
      </c>
      <c r="D155" s="8" t="s">
        <v>42</v>
      </c>
      <c r="E155" s="8" t="s">
        <v>43</v>
      </c>
      <c r="F155" s="8" t="s">
        <v>34</v>
      </c>
      <c r="G155" s="8" t="n">
        <v>21</v>
      </c>
      <c r="H155" s="9" t="n">
        <v>11.99</v>
      </c>
      <c r="I155" s="9" t="n">
        <v>3.5</v>
      </c>
      <c r="J155" s="10" t="n">
        <v>0.1</v>
      </c>
      <c r="K155" s="9" t="n">
        <f aca="false">G155*H155*(1-J155)</f>
        <v>226.611</v>
      </c>
      <c r="L155" s="9" t="n">
        <f aca="false">G155*I155</f>
        <v>73.5</v>
      </c>
      <c r="M155" s="9" t="n">
        <f aca="false">K155-L155</f>
        <v>153.111</v>
      </c>
      <c r="N155" s="11" t="n">
        <f aca="false">IF(K155=0,0,M155/K155)</f>
        <v>0.675655638958391</v>
      </c>
      <c r="O155" s="9" t="n">
        <f aca="false">(G155*H155)-K155</f>
        <v>25.179</v>
      </c>
      <c r="P155" s="8" t="s">
        <v>21</v>
      </c>
    </row>
    <row r="156" customFormat="false" ht="15" hidden="false" customHeight="false" outlineLevel="0" collapsed="false">
      <c r="A156" s="2" t="n">
        <v>46044</v>
      </c>
      <c r="B156" s="3" t="s">
        <v>41</v>
      </c>
      <c r="C156" s="3" t="s">
        <v>28</v>
      </c>
      <c r="D156" s="3" t="s">
        <v>93</v>
      </c>
      <c r="E156" s="3" t="s">
        <v>94</v>
      </c>
      <c r="F156" s="3" t="s">
        <v>34</v>
      </c>
      <c r="G156" s="3" t="n">
        <v>8</v>
      </c>
      <c r="H156" s="4" t="n">
        <v>29.99</v>
      </c>
      <c r="I156" s="4" t="n">
        <v>9</v>
      </c>
      <c r="J156" s="5" t="n">
        <v>0.5</v>
      </c>
      <c r="K156" s="4" t="n">
        <f aca="false">G156*H156*(1-J156)</f>
        <v>119.96</v>
      </c>
      <c r="L156" s="4" t="n">
        <f aca="false">G156*I156</f>
        <v>72</v>
      </c>
      <c r="M156" s="4" t="n">
        <f aca="false">K156-L156</f>
        <v>47.96</v>
      </c>
      <c r="N156" s="6" t="n">
        <f aca="false">IF(K156=0,0,M156/K156)</f>
        <v>0.399799933311104</v>
      </c>
      <c r="O156" s="4" t="n">
        <f aca="false">(G156*H156)-K156</f>
        <v>119.96</v>
      </c>
      <c r="P156" s="14" t="s">
        <v>97</v>
      </c>
    </row>
    <row r="157" customFormat="false" ht="15" hidden="false" customHeight="false" outlineLevel="0" collapsed="false">
      <c r="A157" s="7" t="n">
        <v>46064</v>
      </c>
      <c r="B157" s="8" t="s">
        <v>37</v>
      </c>
      <c r="C157" s="8" t="s">
        <v>17</v>
      </c>
      <c r="D157" s="8" t="s">
        <v>18</v>
      </c>
      <c r="E157" s="8" t="s">
        <v>19</v>
      </c>
      <c r="F157" s="8" t="s">
        <v>20</v>
      </c>
      <c r="G157" s="8" t="n">
        <v>22</v>
      </c>
      <c r="H157" s="9" t="n">
        <v>26.99</v>
      </c>
      <c r="I157" s="9" t="n">
        <v>10.5</v>
      </c>
      <c r="J157" s="10" t="n">
        <v>0</v>
      </c>
      <c r="K157" s="9" t="n">
        <f aca="false">G157*H157*(1-J157)</f>
        <v>593.78</v>
      </c>
      <c r="L157" s="9" t="n">
        <f aca="false">G157*I157</f>
        <v>231</v>
      </c>
      <c r="M157" s="9" t="n">
        <f aca="false">K157-L157</f>
        <v>362.78</v>
      </c>
      <c r="N157" s="11" t="n">
        <f aca="false">IF(K157=0,0,M157/K157)</f>
        <v>0.610967024824009</v>
      </c>
      <c r="O157" s="9" t="n">
        <f aca="false">(G157*H157)-K157</f>
        <v>0</v>
      </c>
      <c r="P157" s="8" t="s">
        <v>21</v>
      </c>
    </row>
    <row r="158" customFormat="false" ht="15" hidden="false" customHeight="false" outlineLevel="0" collapsed="false">
      <c r="A158" s="2" t="n">
        <v>46070</v>
      </c>
      <c r="B158" s="3" t="s">
        <v>27</v>
      </c>
      <c r="C158" s="3" t="s">
        <v>28</v>
      </c>
      <c r="D158" s="3" t="s">
        <v>74</v>
      </c>
      <c r="E158" s="3" t="s">
        <v>75</v>
      </c>
      <c r="F158" s="3" t="s">
        <v>40</v>
      </c>
      <c r="G158" s="3" t="n">
        <v>3</v>
      </c>
      <c r="H158" s="4" t="n">
        <v>29.99</v>
      </c>
      <c r="I158" s="4" t="n">
        <v>13</v>
      </c>
      <c r="J158" s="5" t="n">
        <v>0.1</v>
      </c>
      <c r="K158" s="4" t="n">
        <f aca="false">G158*H158*(1-J158)</f>
        <v>80.973</v>
      </c>
      <c r="L158" s="4" t="n">
        <f aca="false">G158*I158</f>
        <v>39</v>
      </c>
      <c r="M158" s="4" t="n">
        <f aca="false">K158-L158</f>
        <v>41.973</v>
      </c>
      <c r="N158" s="6" t="n">
        <f aca="false">IF(K158=0,0,M158/K158)</f>
        <v>0.518357971175577</v>
      </c>
      <c r="O158" s="4" t="n">
        <f aca="false">(G158*H158)-K158</f>
        <v>8.997</v>
      </c>
      <c r="P158" s="3" t="s">
        <v>21</v>
      </c>
    </row>
    <row r="159" customFormat="false" ht="15" hidden="false" customHeight="false" outlineLevel="0" collapsed="false">
      <c r="A159" s="7" t="n">
        <v>46072</v>
      </c>
      <c r="B159" s="8" t="s">
        <v>37</v>
      </c>
      <c r="C159" s="8" t="s">
        <v>17</v>
      </c>
      <c r="D159" s="8" t="s">
        <v>38</v>
      </c>
      <c r="E159" s="8" t="s">
        <v>39</v>
      </c>
      <c r="F159" s="8" t="s">
        <v>40</v>
      </c>
      <c r="G159" s="8" t="n">
        <v>20</v>
      </c>
      <c r="H159" s="9" t="n">
        <v>12.99</v>
      </c>
      <c r="I159" s="9" t="n">
        <v>4</v>
      </c>
      <c r="J159" s="10" t="n">
        <v>0.2</v>
      </c>
      <c r="K159" s="9" t="n">
        <f aca="false">G159*H159*(1-J159)</f>
        <v>207.84</v>
      </c>
      <c r="L159" s="9" t="n">
        <f aca="false">G159*I159</f>
        <v>80</v>
      </c>
      <c r="M159" s="9" t="n">
        <f aca="false">K159-L159</f>
        <v>127.84</v>
      </c>
      <c r="N159" s="11" t="n">
        <f aca="false">IF(K159=0,0,M159/K159)</f>
        <v>0.615088529638183</v>
      </c>
      <c r="O159" s="9" t="n">
        <f aca="false">(G159*H159)-K159</f>
        <v>51.96</v>
      </c>
      <c r="P159" s="8" t="s">
        <v>21</v>
      </c>
    </row>
    <row r="160" customFormat="false" ht="15" hidden="false" customHeight="false" outlineLevel="0" collapsed="false">
      <c r="A160" s="2" t="n">
        <v>46099</v>
      </c>
      <c r="B160" s="3" t="s">
        <v>64</v>
      </c>
      <c r="C160" s="3" t="s">
        <v>65</v>
      </c>
      <c r="D160" s="3" t="s">
        <v>46</v>
      </c>
      <c r="E160" s="3" t="s">
        <v>47</v>
      </c>
      <c r="F160" s="3" t="s">
        <v>20</v>
      </c>
      <c r="G160" s="3" t="n">
        <v>8</v>
      </c>
      <c r="H160" s="4" t="n">
        <v>44.99</v>
      </c>
      <c r="I160" s="4" t="n">
        <v>18</v>
      </c>
      <c r="J160" s="5" t="n">
        <v>0.1</v>
      </c>
      <c r="K160" s="4" t="n">
        <f aca="false">G160*H160*(1-J160)</f>
        <v>323.928</v>
      </c>
      <c r="L160" s="4" t="n">
        <f aca="false">G160*I160</f>
        <v>144</v>
      </c>
      <c r="M160" s="4" t="n">
        <f aca="false">K160-L160</f>
        <v>179.928</v>
      </c>
      <c r="N160" s="6" t="n">
        <f aca="false">IF(K160=0,0,M160/K160)</f>
        <v>0.555456768170705</v>
      </c>
      <c r="O160" s="4" t="n">
        <f aca="false">(G160*H160)-K160</f>
        <v>35.992</v>
      </c>
      <c r="P160" s="3" t="s">
        <v>21</v>
      </c>
    </row>
    <row r="161" customFormat="false" ht="15" hidden="false" customHeight="false" outlineLevel="0" collapsed="false">
      <c r="A161" s="7" t="n">
        <v>46024</v>
      </c>
      <c r="B161" s="8" t="s">
        <v>27</v>
      </c>
      <c r="C161" s="8" t="s">
        <v>28</v>
      </c>
      <c r="D161" s="8" t="s">
        <v>72</v>
      </c>
      <c r="E161" s="8" t="s">
        <v>73</v>
      </c>
      <c r="F161" s="8" t="s">
        <v>57</v>
      </c>
      <c r="G161" s="8" t="n">
        <v>4</v>
      </c>
      <c r="H161" s="9" t="n">
        <v>19.99</v>
      </c>
      <c r="I161" s="9" t="n">
        <v>7</v>
      </c>
      <c r="J161" s="10" t="n">
        <v>0.15</v>
      </c>
      <c r="K161" s="9" t="n">
        <f aca="false">G161*H161*(1-J161)</f>
        <v>67.966</v>
      </c>
      <c r="L161" s="9" t="n">
        <f aca="false">G161*I161</f>
        <v>28</v>
      </c>
      <c r="M161" s="9" t="n">
        <f aca="false">K161-L161</f>
        <v>39.966</v>
      </c>
      <c r="N161" s="11" t="n">
        <f aca="false">IF(K161=0,0,M161/K161)</f>
        <v>0.588029308772033</v>
      </c>
      <c r="O161" s="9" t="n">
        <f aca="false">(G161*H161)-K161</f>
        <v>11.994</v>
      </c>
      <c r="P161" s="8" t="s">
        <v>21</v>
      </c>
    </row>
    <row r="162" customFormat="false" ht="15" hidden="false" customHeight="false" outlineLevel="0" collapsed="false">
      <c r="A162" s="2" t="n">
        <v>46121</v>
      </c>
      <c r="B162" s="3" t="s">
        <v>37</v>
      </c>
      <c r="C162" s="3" t="s">
        <v>17</v>
      </c>
      <c r="D162" s="3" t="s">
        <v>59</v>
      </c>
      <c r="E162" s="3" t="s">
        <v>60</v>
      </c>
      <c r="F162" s="3" t="s">
        <v>50</v>
      </c>
      <c r="G162" s="3" t="n">
        <v>25</v>
      </c>
      <c r="H162" s="4" t="n">
        <v>24.99</v>
      </c>
      <c r="I162" s="4" t="n">
        <v>8.5</v>
      </c>
      <c r="J162" s="5" t="n">
        <v>0.15</v>
      </c>
      <c r="K162" s="4" t="n">
        <f aca="false">G162*H162*(1-J162)</f>
        <v>531.0375</v>
      </c>
      <c r="L162" s="4" t="n">
        <f aca="false">G162*I162</f>
        <v>212.5</v>
      </c>
      <c r="M162" s="4" t="n">
        <f aca="false">K162-L162</f>
        <v>318.5375</v>
      </c>
      <c r="N162" s="6" t="n">
        <f aca="false">IF(K162=0,0,M162/K162)</f>
        <v>0.59983993597439</v>
      </c>
      <c r="O162" s="4" t="n">
        <f aca="false">(G162*H162)-K162</f>
        <v>93.7125</v>
      </c>
      <c r="P162" s="3" t="s">
        <v>21</v>
      </c>
    </row>
    <row r="163" customFormat="false" ht="15" hidden="false" customHeight="false" outlineLevel="0" collapsed="false">
      <c r="A163" s="7" t="n">
        <v>46098</v>
      </c>
      <c r="B163" s="8" t="s">
        <v>22</v>
      </c>
      <c r="C163" s="8" t="s">
        <v>23</v>
      </c>
      <c r="D163" s="8" t="s">
        <v>18</v>
      </c>
      <c r="E163" s="8" t="s">
        <v>19</v>
      </c>
      <c r="F163" s="8" t="s">
        <v>20</v>
      </c>
      <c r="G163" s="8" t="n">
        <v>9</v>
      </c>
      <c r="H163" s="9" t="n">
        <v>26.99</v>
      </c>
      <c r="I163" s="9" t="n">
        <v>10.5</v>
      </c>
      <c r="J163" s="10" t="n">
        <v>0</v>
      </c>
      <c r="K163" s="9" t="n">
        <f aca="false">G163*H163*(1-J163)</f>
        <v>242.91</v>
      </c>
      <c r="L163" s="9" t="n">
        <f aca="false">G163*I163</f>
        <v>94.5</v>
      </c>
      <c r="M163" s="9" t="n">
        <f aca="false">K163-L163</f>
        <v>148.41</v>
      </c>
      <c r="N163" s="11" t="n">
        <f aca="false">IF(K163=0,0,M163/K163)</f>
        <v>0.610967024824009</v>
      </c>
      <c r="O163" s="9" t="n">
        <f aca="false">(G163*H163)-K163</f>
        <v>0</v>
      </c>
      <c r="P163" s="8" t="s">
        <v>21</v>
      </c>
    </row>
    <row r="164" customFormat="false" ht="15" hidden="false" customHeight="false" outlineLevel="0" collapsed="false">
      <c r="A164" s="2" t="n">
        <v>46071</v>
      </c>
      <c r="B164" s="3" t="s">
        <v>16</v>
      </c>
      <c r="C164" s="3" t="s">
        <v>17</v>
      </c>
      <c r="D164" s="3" t="s">
        <v>95</v>
      </c>
      <c r="E164" s="3" t="s">
        <v>96</v>
      </c>
      <c r="F164" s="3" t="s">
        <v>50</v>
      </c>
      <c r="G164" s="3" t="n">
        <v>14</v>
      </c>
      <c r="H164" s="4" t="n">
        <v>34.99</v>
      </c>
      <c r="I164" s="4" t="n">
        <v>12</v>
      </c>
      <c r="J164" s="5" t="n">
        <v>0.5</v>
      </c>
      <c r="K164" s="4" t="n">
        <f aca="false">G164*H164*(1-J164)</f>
        <v>244.93</v>
      </c>
      <c r="L164" s="4" t="n">
        <f aca="false">G164*I164</f>
        <v>168</v>
      </c>
      <c r="M164" s="4" t="n">
        <f aca="false">K164-L164</f>
        <v>76.93</v>
      </c>
      <c r="N164" s="6" t="n">
        <f aca="false">IF(K164=0,0,M164/K164)</f>
        <v>0.314089739925693</v>
      </c>
      <c r="O164" s="4" t="n">
        <f aca="false">(G164*H164)-K164</f>
        <v>244.93</v>
      </c>
      <c r="P164" s="14" t="s">
        <v>97</v>
      </c>
    </row>
    <row r="165" customFormat="false" ht="15" hidden="false" customHeight="false" outlineLevel="0" collapsed="false">
      <c r="A165" s="7" t="n">
        <v>46043</v>
      </c>
      <c r="B165" s="8" t="s">
        <v>27</v>
      </c>
      <c r="C165" s="8" t="s">
        <v>28</v>
      </c>
      <c r="D165" s="8" t="s">
        <v>84</v>
      </c>
      <c r="E165" s="8" t="s">
        <v>85</v>
      </c>
      <c r="F165" s="8" t="s">
        <v>20</v>
      </c>
      <c r="G165" s="8" t="n">
        <v>21</v>
      </c>
      <c r="H165" s="9" t="n">
        <v>34.99</v>
      </c>
      <c r="I165" s="9" t="n">
        <v>13</v>
      </c>
      <c r="J165" s="10" t="n">
        <v>0.1</v>
      </c>
      <c r="K165" s="9" t="n">
        <f aca="false">G165*H165*(1-J165)</f>
        <v>661.311</v>
      </c>
      <c r="L165" s="9" t="n">
        <f aca="false">G165*I165</f>
        <v>273</v>
      </c>
      <c r="M165" s="9" t="n">
        <f aca="false">K165-L165</f>
        <v>388.311</v>
      </c>
      <c r="N165" s="11" t="n">
        <f aca="false">IF(K165=0,0,M165/K165)</f>
        <v>0.587183639770093</v>
      </c>
      <c r="O165" s="9" t="n">
        <f aca="false">(G165*H165)-K165</f>
        <v>73.479</v>
      </c>
      <c r="P165" s="8" t="s">
        <v>21</v>
      </c>
    </row>
    <row r="166" customFormat="false" ht="15" hidden="false" customHeight="false" outlineLevel="0" collapsed="false">
      <c r="A166" s="2" t="n">
        <v>46105</v>
      </c>
      <c r="B166" s="3" t="s">
        <v>64</v>
      </c>
      <c r="C166" s="3" t="s">
        <v>65</v>
      </c>
      <c r="D166" s="3" t="s">
        <v>59</v>
      </c>
      <c r="E166" s="3" t="s">
        <v>60</v>
      </c>
      <c r="F166" s="3" t="s">
        <v>50</v>
      </c>
      <c r="G166" s="3" t="n">
        <v>27</v>
      </c>
      <c r="H166" s="4" t="n">
        <v>24.99</v>
      </c>
      <c r="I166" s="4" t="n">
        <v>8.5</v>
      </c>
      <c r="J166" s="5" t="n">
        <v>0</v>
      </c>
      <c r="K166" s="4" t="n">
        <f aca="false">G166*H166*(1-J166)</f>
        <v>674.73</v>
      </c>
      <c r="L166" s="4" t="n">
        <f aca="false">G166*I166</f>
        <v>229.5</v>
      </c>
      <c r="M166" s="4" t="n">
        <f aca="false">K166-L166</f>
        <v>445.23</v>
      </c>
      <c r="N166" s="6" t="n">
        <f aca="false">IF(K166=0,0,M166/K166)</f>
        <v>0.659863945578231</v>
      </c>
      <c r="O166" s="4" t="n">
        <f aca="false">(G166*H166)-K166</f>
        <v>0</v>
      </c>
      <c r="P166" s="3" t="s">
        <v>21</v>
      </c>
    </row>
    <row r="167" customFormat="false" ht="15" hidden="false" customHeight="false" outlineLevel="0" collapsed="false">
      <c r="A167" s="7" t="n">
        <v>46081</v>
      </c>
      <c r="B167" s="8" t="s">
        <v>58</v>
      </c>
      <c r="C167" s="8" t="s">
        <v>58</v>
      </c>
      <c r="D167" s="8" t="s">
        <v>86</v>
      </c>
      <c r="E167" s="8" t="s">
        <v>87</v>
      </c>
      <c r="F167" s="8" t="s">
        <v>40</v>
      </c>
      <c r="G167" s="8" t="n">
        <v>5</v>
      </c>
      <c r="H167" s="9" t="n">
        <v>16.99</v>
      </c>
      <c r="I167" s="9" t="n">
        <v>5.5</v>
      </c>
      <c r="J167" s="10" t="n">
        <v>0.2</v>
      </c>
      <c r="K167" s="9" t="n">
        <f aca="false">G167*H167*(1-J167)</f>
        <v>67.96</v>
      </c>
      <c r="L167" s="9" t="n">
        <f aca="false">G167*I167</f>
        <v>27.5</v>
      </c>
      <c r="M167" s="9" t="n">
        <f aca="false">K167-L167</f>
        <v>40.46</v>
      </c>
      <c r="N167" s="11" t="n">
        <f aca="false">IF(K167=0,0,M167/K167)</f>
        <v>0.595350206003532</v>
      </c>
      <c r="O167" s="9" t="n">
        <f aca="false">(G167*H167)-K167</f>
        <v>16.99</v>
      </c>
      <c r="P167" s="8" t="s">
        <v>21</v>
      </c>
    </row>
    <row r="168" customFormat="false" ht="15" hidden="false" customHeight="false" outlineLevel="0" collapsed="false">
      <c r="A168" s="2" t="n">
        <v>46081</v>
      </c>
      <c r="B168" s="3" t="s">
        <v>37</v>
      </c>
      <c r="C168" s="3" t="s">
        <v>17</v>
      </c>
      <c r="D168" s="3" t="s">
        <v>55</v>
      </c>
      <c r="E168" s="3" t="s">
        <v>56</v>
      </c>
      <c r="F168" s="3" t="s">
        <v>57</v>
      </c>
      <c r="G168" s="3" t="n">
        <v>16</v>
      </c>
      <c r="H168" s="4" t="n">
        <v>29.99</v>
      </c>
      <c r="I168" s="4" t="n">
        <v>11</v>
      </c>
      <c r="J168" s="5" t="n">
        <v>0.1</v>
      </c>
      <c r="K168" s="4" t="n">
        <f aca="false">G168*H168*(1-J168)</f>
        <v>431.856</v>
      </c>
      <c r="L168" s="4" t="n">
        <f aca="false">G168*I168</f>
        <v>176</v>
      </c>
      <c r="M168" s="4" t="n">
        <f aca="false">K168-L168</f>
        <v>255.856</v>
      </c>
      <c r="N168" s="6" t="n">
        <f aca="false">IF(K168=0,0,M168/K168)</f>
        <v>0.592456744840873</v>
      </c>
      <c r="O168" s="4" t="n">
        <f aca="false">(G168*H168)-K168</f>
        <v>47.984</v>
      </c>
      <c r="P168" s="3" t="s">
        <v>21</v>
      </c>
    </row>
    <row r="169" customFormat="false" ht="15" hidden="false" customHeight="false" outlineLevel="0" collapsed="false">
      <c r="A169" s="7" t="n">
        <v>46058</v>
      </c>
      <c r="B169" s="8" t="s">
        <v>58</v>
      </c>
      <c r="C169" s="8" t="s">
        <v>58</v>
      </c>
      <c r="D169" s="8" t="s">
        <v>32</v>
      </c>
      <c r="E169" s="8" t="s">
        <v>33</v>
      </c>
      <c r="F169" s="8" t="s">
        <v>34</v>
      </c>
      <c r="G169" s="8" t="n">
        <v>27</v>
      </c>
      <c r="H169" s="9" t="n">
        <v>18.99</v>
      </c>
      <c r="I169" s="9" t="n">
        <v>6</v>
      </c>
      <c r="J169" s="10" t="n">
        <v>0.1</v>
      </c>
      <c r="K169" s="9" t="n">
        <f aca="false">G169*H169*(1-J169)</f>
        <v>461.457</v>
      </c>
      <c r="L169" s="9" t="n">
        <f aca="false">G169*I169</f>
        <v>162</v>
      </c>
      <c r="M169" s="9" t="n">
        <f aca="false">K169-L169</f>
        <v>299.457</v>
      </c>
      <c r="N169" s="11" t="n">
        <f aca="false">IF(K169=0,0,M169/K169)</f>
        <v>0.64893803756363</v>
      </c>
      <c r="O169" s="9" t="n">
        <f aca="false">(G169*H169)-K169</f>
        <v>51.273</v>
      </c>
      <c r="P169" s="8" t="s">
        <v>21</v>
      </c>
    </row>
    <row r="170" customFormat="false" ht="15" hidden="false" customHeight="false" outlineLevel="0" collapsed="false">
      <c r="A170" s="2" t="n">
        <v>46051</v>
      </c>
      <c r="B170" s="3" t="s">
        <v>64</v>
      </c>
      <c r="C170" s="3" t="s">
        <v>65</v>
      </c>
      <c r="D170" s="3" t="s">
        <v>51</v>
      </c>
      <c r="E170" s="3" t="s">
        <v>52</v>
      </c>
      <c r="F170" s="3" t="s">
        <v>50</v>
      </c>
      <c r="G170" s="3" t="n">
        <v>27</v>
      </c>
      <c r="H170" s="4" t="n">
        <v>19.99</v>
      </c>
      <c r="I170" s="4" t="n">
        <v>7</v>
      </c>
      <c r="J170" s="5" t="n">
        <v>0.1</v>
      </c>
      <c r="K170" s="4" t="n">
        <f aca="false">G170*H170*(1-J170)</f>
        <v>485.757</v>
      </c>
      <c r="L170" s="4" t="n">
        <f aca="false">G170*I170</f>
        <v>189</v>
      </c>
      <c r="M170" s="4" t="n">
        <f aca="false">K170-L170</f>
        <v>296.757</v>
      </c>
      <c r="N170" s="6" t="n">
        <f aca="false">IF(K170=0,0,M170/K170)</f>
        <v>0.610916569395809</v>
      </c>
      <c r="O170" s="4" t="n">
        <f aca="false">(G170*H170)-K170</f>
        <v>53.973</v>
      </c>
      <c r="P170" s="3" t="s">
        <v>21</v>
      </c>
    </row>
    <row r="171" customFormat="false" ht="15" hidden="false" customHeight="false" outlineLevel="0" collapsed="false">
      <c r="A171" s="7" t="n">
        <v>46036</v>
      </c>
      <c r="B171" s="8" t="s">
        <v>22</v>
      </c>
      <c r="C171" s="8" t="s">
        <v>23</v>
      </c>
      <c r="D171" s="8" t="s">
        <v>55</v>
      </c>
      <c r="E171" s="8" t="s">
        <v>56</v>
      </c>
      <c r="F171" s="8" t="s">
        <v>57</v>
      </c>
      <c r="G171" s="8" t="n">
        <v>5</v>
      </c>
      <c r="H171" s="9" t="n">
        <v>29.99</v>
      </c>
      <c r="I171" s="9" t="n">
        <v>11</v>
      </c>
      <c r="J171" s="10" t="n">
        <v>0</v>
      </c>
      <c r="K171" s="9" t="n">
        <f aca="false">G171*H171*(1-J171)</f>
        <v>149.95</v>
      </c>
      <c r="L171" s="9" t="n">
        <f aca="false">G171*I171</f>
        <v>55</v>
      </c>
      <c r="M171" s="9" t="n">
        <f aca="false">K171-L171</f>
        <v>94.95</v>
      </c>
      <c r="N171" s="11" t="n">
        <f aca="false">IF(K171=0,0,M171/K171)</f>
        <v>0.633211070356786</v>
      </c>
      <c r="O171" s="9" t="n">
        <f aca="false">(G171*H171)-K171</f>
        <v>0</v>
      </c>
      <c r="P171" s="8" t="s">
        <v>21</v>
      </c>
    </row>
    <row r="172" customFormat="false" ht="15" hidden="false" customHeight="false" outlineLevel="0" collapsed="false">
      <c r="A172" s="2" t="n">
        <v>46077</v>
      </c>
      <c r="B172" s="3" t="s">
        <v>58</v>
      </c>
      <c r="C172" s="3" t="s">
        <v>58</v>
      </c>
      <c r="D172" s="3" t="s">
        <v>59</v>
      </c>
      <c r="E172" s="3" t="s">
        <v>60</v>
      </c>
      <c r="F172" s="3" t="s">
        <v>50</v>
      </c>
      <c r="G172" s="3" t="n">
        <v>1</v>
      </c>
      <c r="H172" s="4" t="n">
        <v>24.99</v>
      </c>
      <c r="I172" s="4" t="n">
        <v>8.5</v>
      </c>
      <c r="J172" s="5" t="n">
        <v>0</v>
      </c>
      <c r="K172" s="4" t="n">
        <f aca="false">G172*H172*(1-J172)</f>
        <v>24.99</v>
      </c>
      <c r="L172" s="4" t="n">
        <f aca="false">G172*I172</f>
        <v>8.5</v>
      </c>
      <c r="M172" s="4" t="n">
        <f aca="false">K172-L172</f>
        <v>16.49</v>
      </c>
      <c r="N172" s="6" t="n">
        <f aca="false">IF(K172=0,0,M172/K172)</f>
        <v>0.659863945578231</v>
      </c>
      <c r="O172" s="4" t="n">
        <f aca="false">(G172*H172)-K172</f>
        <v>0</v>
      </c>
      <c r="P172" s="3" t="s">
        <v>21</v>
      </c>
    </row>
    <row r="173" customFormat="false" ht="15" hidden="false" customHeight="false" outlineLevel="0" collapsed="false">
      <c r="A173" s="7" t="n">
        <v>46098</v>
      </c>
      <c r="B173" s="8" t="s">
        <v>58</v>
      </c>
      <c r="C173" s="8" t="s">
        <v>58</v>
      </c>
      <c r="D173" s="8" t="s">
        <v>80</v>
      </c>
      <c r="E173" s="8" t="s">
        <v>81</v>
      </c>
      <c r="F173" s="8" t="s">
        <v>57</v>
      </c>
      <c r="G173" s="8" t="n">
        <v>12</v>
      </c>
      <c r="H173" s="9" t="n">
        <v>17.99</v>
      </c>
      <c r="I173" s="9" t="n">
        <v>6.5</v>
      </c>
      <c r="J173" s="10" t="n">
        <v>0.05</v>
      </c>
      <c r="K173" s="9" t="n">
        <f aca="false">G173*H173*(1-J173)</f>
        <v>205.086</v>
      </c>
      <c r="L173" s="9" t="n">
        <f aca="false">G173*I173</f>
        <v>78</v>
      </c>
      <c r="M173" s="9" t="n">
        <f aca="false">K173-L173</f>
        <v>127.086</v>
      </c>
      <c r="N173" s="11" t="n">
        <f aca="false">IF(K173=0,0,M173/K173)</f>
        <v>0.61967174746204</v>
      </c>
      <c r="O173" s="9" t="n">
        <f aca="false">(G173*H173)-K173</f>
        <v>10.794</v>
      </c>
      <c r="P173" s="8" t="s">
        <v>21</v>
      </c>
    </row>
    <row r="174" customFormat="false" ht="15" hidden="false" customHeight="false" outlineLevel="0" collapsed="false">
      <c r="A174" s="2" t="n">
        <v>46061</v>
      </c>
      <c r="B174" s="3" t="s">
        <v>27</v>
      </c>
      <c r="C174" s="3" t="s">
        <v>28</v>
      </c>
      <c r="D174" s="3" t="s">
        <v>24</v>
      </c>
      <c r="E174" s="3" t="s">
        <v>25</v>
      </c>
      <c r="F174" s="3" t="s">
        <v>26</v>
      </c>
      <c r="G174" s="3" t="n">
        <v>14</v>
      </c>
      <c r="H174" s="4" t="n">
        <v>54.99</v>
      </c>
      <c r="I174" s="4" t="n">
        <v>24</v>
      </c>
      <c r="J174" s="5" t="n">
        <v>0.25</v>
      </c>
      <c r="K174" s="4" t="n">
        <f aca="false">G174*H174*(1-J174)</f>
        <v>577.395</v>
      </c>
      <c r="L174" s="4" t="n">
        <f aca="false">G174*I174</f>
        <v>336</v>
      </c>
      <c r="M174" s="4" t="n">
        <f aca="false">K174-L174</f>
        <v>241.395</v>
      </c>
      <c r="N174" s="6" t="n">
        <f aca="false">IF(K174=0,0,M174/K174)</f>
        <v>0.418076013820695</v>
      </c>
      <c r="O174" s="4" t="n">
        <f aca="false">(G174*H174)-K174</f>
        <v>192.465</v>
      </c>
      <c r="P174" s="3" t="s">
        <v>21</v>
      </c>
    </row>
    <row r="175" customFormat="false" ht="15" hidden="false" customHeight="false" outlineLevel="0" collapsed="false">
      <c r="A175" s="7" t="n">
        <v>46030</v>
      </c>
      <c r="B175" s="8" t="s">
        <v>64</v>
      </c>
      <c r="C175" s="8" t="s">
        <v>65</v>
      </c>
      <c r="D175" s="8" t="s">
        <v>76</v>
      </c>
      <c r="E175" s="8" t="s">
        <v>77</v>
      </c>
      <c r="F175" s="8" t="s">
        <v>34</v>
      </c>
      <c r="G175" s="8" t="n">
        <v>5</v>
      </c>
      <c r="H175" s="9" t="n">
        <v>44.99</v>
      </c>
      <c r="I175" s="9" t="n">
        <v>14</v>
      </c>
      <c r="J175" s="10" t="n">
        <v>0</v>
      </c>
      <c r="K175" s="9" t="n">
        <f aca="false">G175*H175*(1-J175)</f>
        <v>224.95</v>
      </c>
      <c r="L175" s="9" t="n">
        <f aca="false">G175*I175</f>
        <v>70</v>
      </c>
      <c r="M175" s="9" t="n">
        <f aca="false">K175-L175</f>
        <v>154.95</v>
      </c>
      <c r="N175" s="11" t="n">
        <f aca="false">IF(K175=0,0,M175/K175)</f>
        <v>0.688819737719493</v>
      </c>
      <c r="O175" s="9" t="n">
        <f aca="false">(G175*H175)-K175</f>
        <v>0</v>
      </c>
      <c r="P175" s="8" t="s">
        <v>21</v>
      </c>
    </row>
    <row r="176" customFormat="false" ht="15" hidden="false" customHeight="false" outlineLevel="0" collapsed="false">
      <c r="A176" s="2" t="n">
        <v>46103</v>
      </c>
      <c r="B176" s="3" t="s">
        <v>31</v>
      </c>
      <c r="C176" s="3" t="s">
        <v>23</v>
      </c>
      <c r="D176" s="3" t="s">
        <v>44</v>
      </c>
      <c r="E176" s="3" t="s">
        <v>45</v>
      </c>
      <c r="F176" s="3" t="s">
        <v>40</v>
      </c>
      <c r="G176" s="3" t="n">
        <v>19</v>
      </c>
      <c r="H176" s="4" t="n">
        <v>29.99</v>
      </c>
      <c r="I176" s="4" t="n">
        <v>11</v>
      </c>
      <c r="J176" s="5" t="n">
        <v>0.25</v>
      </c>
      <c r="K176" s="4" t="n">
        <f aca="false">G176*H176*(1-J176)</f>
        <v>427.3575</v>
      </c>
      <c r="L176" s="4" t="n">
        <f aca="false">G176*I176</f>
        <v>209</v>
      </c>
      <c r="M176" s="4" t="n">
        <f aca="false">K176-L176</f>
        <v>218.3575</v>
      </c>
      <c r="N176" s="6" t="n">
        <f aca="false">IF(K176=0,0,M176/K176)</f>
        <v>0.510948093809047</v>
      </c>
      <c r="O176" s="4" t="n">
        <f aca="false">(G176*H176)-K176</f>
        <v>142.4525</v>
      </c>
      <c r="P176" s="3" t="s">
        <v>21</v>
      </c>
    </row>
    <row r="177" customFormat="false" ht="15" hidden="false" customHeight="false" outlineLevel="0" collapsed="false">
      <c r="A177" s="7" t="n">
        <v>46105</v>
      </c>
      <c r="B177" s="8" t="s">
        <v>58</v>
      </c>
      <c r="C177" s="8" t="s">
        <v>58</v>
      </c>
      <c r="D177" s="8" t="s">
        <v>74</v>
      </c>
      <c r="E177" s="8" t="s">
        <v>75</v>
      </c>
      <c r="F177" s="8" t="s">
        <v>40</v>
      </c>
      <c r="G177" s="8" t="n">
        <v>5</v>
      </c>
      <c r="H177" s="9" t="n">
        <v>29.99</v>
      </c>
      <c r="I177" s="9" t="n">
        <v>13</v>
      </c>
      <c r="J177" s="10" t="n">
        <v>0</v>
      </c>
      <c r="K177" s="9" t="n">
        <f aca="false">G177*H177*(1-J177)</f>
        <v>149.95</v>
      </c>
      <c r="L177" s="9" t="n">
        <f aca="false">G177*I177</f>
        <v>65</v>
      </c>
      <c r="M177" s="9" t="n">
        <f aca="false">K177-L177</f>
        <v>84.95</v>
      </c>
      <c r="N177" s="11" t="n">
        <f aca="false">IF(K177=0,0,M177/K177)</f>
        <v>0.566522174058019</v>
      </c>
      <c r="O177" s="9" t="n">
        <f aca="false">(G177*H177)-K177</f>
        <v>0</v>
      </c>
      <c r="P177" s="8" t="s">
        <v>21</v>
      </c>
    </row>
    <row r="178" customFormat="false" ht="15" hidden="false" customHeight="false" outlineLevel="0" collapsed="false">
      <c r="A178" s="2" t="n">
        <v>46035</v>
      </c>
      <c r="B178" s="3" t="s">
        <v>37</v>
      </c>
      <c r="C178" s="3" t="s">
        <v>17</v>
      </c>
      <c r="D178" s="3" t="s">
        <v>55</v>
      </c>
      <c r="E178" s="3" t="s">
        <v>56</v>
      </c>
      <c r="F178" s="3" t="s">
        <v>57</v>
      </c>
      <c r="G178" s="3" t="n">
        <v>13</v>
      </c>
      <c r="H178" s="4" t="n">
        <v>29.99</v>
      </c>
      <c r="I178" s="4" t="n">
        <v>11</v>
      </c>
      <c r="J178" s="5" t="n">
        <v>0.1</v>
      </c>
      <c r="K178" s="4" t="n">
        <f aca="false">G178*H178*(1-J178)</f>
        <v>350.883</v>
      </c>
      <c r="L178" s="4" t="n">
        <f aca="false">G178*I178</f>
        <v>143</v>
      </c>
      <c r="M178" s="4" t="n">
        <f aca="false">K178-L178</f>
        <v>207.883</v>
      </c>
      <c r="N178" s="6" t="n">
        <f aca="false">IF(K178=0,0,M178/K178)</f>
        <v>0.592456744840873</v>
      </c>
      <c r="O178" s="4" t="n">
        <f aca="false">(G178*H178)-K178</f>
        <v>38.987</v>
      </c>
      <c r="P178" s="3" t="s">
        <v>21</v>
      </c>
    </row>
    <row r="179" customFormat="false" ht="15" hidden="false" customHeight="false" outlineLevel="0" collapsed="false">
      <c r="A179" s="7" t="n">
        <v>46046</v>
      </c>
      <c r="B179" s="8" t="s">
        <v>64</v>
      </c>
      <c r="C179" s="8" t="s">
        <v>65</v>
      </c>
      <c r="D179" s="8" t="s">
        <v>66</v>
      </c>
      <c r="E179" s="8" t="s">
        <v>67</v>
      </c>
      <c r="F179" s="8" t="s">
        <v>57</v>
      </c>
      <c r="G179" s="8" t="n">
        <v>16</v>
      </c>
      <c r="H179" s="9" t="n">
        <v>14.99</v>
      </c>
      <c r="I179" s="9" t="n">
        <v>5.5</v>
      </c>
      <c r="J179" s="10" t="n">
        <v>0</v>
      </c>
      <c r="K179" s="9" t="n">
        <f aca="false">G179*H179*(1-J179)</f>
        <v>239.84</v>
      </c>
      <c r="L179" s="9" t="n">
        <f aca="false">G179*I179</f>
        <v>88</v>
      </c>
      <c r="M179" s="9" t="n">
        <f aca="false">K179-L179</f>
        <v>151.84</v>
      </c>
      <c r="N179" s="11" t="n">
        <f aca="false">IF(K179=0,0,M179/K179)</f>
        <v>0.633088725817211</v>
      </c>
      <c r="O179" s="9" t="n">
        <f aca="false">(G179*H179)-K179</f>
        <v>0</v>
      </c>
      <c r="P179" s="8" t="s">
        <v>21</v>
      </c>
    </row>
    <row r="180" customFormat="false" ht="15" hidden="false" customHeight="false" outlineLevel="0" collapsed="false">
      <c r="A180" s="2" t="n">
        <v>46040</v>
      </c>
      <c r="B180" s="3" t="s">
        <v>31</v>
      </c>
      <c r="C180" s="3" t="s">
        <v>23</v>
      </c>
      <c r="D180" s="3" t="s">
        <v>32</v>
      </c>
      <c r="E180" s="3" t="s">
        <v>33</v>
      </c>
      <c r="F180" s="3" t="s">
        <v>34</v>
      </c>
      <c r="G180" s="3" t="n">
        <v>16</v>
      </c>
      <c r="H180" s="4" t="n">
        <v>18.99</v>
      </c>
      <c r="I180" s="4" t="n">
        <v>6</v>
      </c>
      <c r="J180" s="5" t="n">
        <v>0.05</v>
      </c>
      <c r="K180" s="4" t="n">
        <f aca="false">G180*H180*(1-J180)</f>
        <v>288.648</v>
      </c>
      <c r="L180" s="4" t="n">
        <f aca="false">G180*I180</f>
        <v>96</v>
      </c>
      <c r="M180" s="4" t="n">
        <f aca="false">K180-L180</f>
        <v>192.648</v>
      </c>
      <c r="N180" s="6" t="n">
        <f aca="false">IF(K180=0,0,M180/K180)</f>
        <v>0.667414982955018</v>
      </c>
      <c r="O180" s="4" t="n">
        <f aca="false">(G180*H180)-K180</f>
        <v>15.192</v>
      </c>
      <c r="P180" s="3" t="s">
        <v>21</v>
      </c>
    </row>
    <row r="181" customFormat="false" ht="15" hidden="false" customHeight="false" outlineLevel="0" collapsed="false">
      <c r="A181" s="7" t="n">
        <v>46070</v>
      </c>
      <c r="B181" s="8" t="s">
        <v>58</v>
      </c>
      <c r="C181" s="8" t="s">
        <v>58</v>
      </c>
      <c r="D181" s="8" t="s">
        <v>55</v>
      </c>
      <c r="E181" s="8" t="s">
        <v>56</v>
      </c>
      <c r="F181" s="8" t="s">
        <v>57</v>
      </c>
      <c r="G181" s="8" t="n">
        <v>13</v>
      </c>
      <c r="H181" s="9" t="n">
        <v>29.99</v>
      </c>
      <c r="I181" s="9" t="n">
        <v>11</v>
      </c>
      <c r="J181" s="10" t="n">
        <v>0.3</v>
      </c>
      <c r="K181" s="9" t="n">
        <f aca="false">G181*H181*(1-J181)</f>
        <v>272.909</v>
      </c>
      <c r="L181" s="9" t="n">
        <f aca="false">G181*I181</f>
        <v>143</v>
      </c>
      <c r="M181" s="9" t="n">
        <f aca="false">K181-L181</f>
        <v>129.909</v>
      </c>
      <c r="N181" s="11" t="n">
        <f aca="false">IF(K181=0,0,M181/K181)</f>
        <v>0.476015814795408</v>
      </c>
      <c r="O181" s="9" t="n">
        <f aca="false">(G181*H181)-K181</f>
        <v>116.961</v>
      </c>
      <c r="P181" s="8" t="s">
        <v>21</v>
      </c>
    </row>
    <row r="182" customFormat="false" ht="15" hidden="false" customHeight="false" outlineLevel="0" collapsed="false">
      <c r="A182" s="2" t="n">
        <v>46039</v>
      </c>
      <c r="B182" s="3" t="s">
        <v>37</v>
      </c>
      <c r="C182" s="3" t="s">
        <v>17</v>
      </c>
      <c r="D182" s="3" t="s">
        <v>76</v>
      </c>
      <c r="E182" s="3" t="s">
        <v>77</v>
      </c>
      <c r="F182" s="3" t="s">
        <v>34</v>
      </c>
      <c r="G182" s="3" t="n">
        <v>9</v>
      </c>
      <c r="H182" s="4" t="n">
        <v>44.99</v>
      </c>
      <c r="I182" s="4" t="n">
        <v>14</v>
      </c>
      <c r="J182" s="5" t="n">
        <v>0</v>
      </c>
      <c r="K182" s="4" t="n">
        <f aca="false">G182*H182*(1-J182)</f>
        <v>404.91</v>
      </c>
      <c r="L182" s="4" t="n">
        <f aca="false">G182*I182</f>
        <v>126</v>
      </c>
      <c r="M182" s="4" t="n">
        <f aca="false">K182-L182</f>
        <v>278.91</v>
      </c>
      <c r="N182" s="6" t="n">
        <f aca="false">IF(K182=0,0,M182/K182)</f>
        <v>0.688819737719493</v>
      </c>
      <c r="O182" s="4" t="n">
        <f aca="false">(G182*H182)-K182</f>
        <v>0</v>
      </c>
      <c r="P182" s="3" t="s">
        <v>21</v>
      </c>
    </row>
    <row r="183" customFormat="false" ht="15" hidden="false" customHeight="false" outlineLevel="0" collapsed="false">
      <c r="A183" s="7" t="n">
        <v>46118</v>
      </c>
      <c r="B183" s="8" t="s">
        <v>22</v>
      </c>
      <c r="C183" s="8" t="s">
        <v>23</v>
      </c>
      <c r="D183" s="8" t="s">
        <v>61</v>
      </c>
      <c r="E183" s="8" t="s">
        <v>62</v>
      </c>
      <c r="F183" s="8" t="s">
        <v>34</v>
      </c>
      <c r="G183" s="8" t="n">
        <v>28</v>
      </c>
      <c r="H183" s="9" t="n">
        <v>12.99</v>
      </c>
      <c r="I183" s="9" t="n">
        <v>4.5</v>
      </c>
      <c r="J183" s="10" t="n">
        <v>0.25</v>
      </c>
      <c r="K183" s="9" t="n">
        <f aca="false">G183*H183*(1-J183)</f>
        <v>272.79</v>
      </c>
      <c r="L183" s="9" t="n">
        <f aca="false">G183*I183</f>
        <v>126</v>
      </c>
      <c r="M183" s="9" t="n">
        <f aca="false">K183-L183</f>
        <v>146.79</v>
      </c>
      <c r="N183" s="11" t="n">
        <f aca="false">IF(K183=0,0,M183/K183)</f>
        <v>0.53810623556582</v>
      </c>
      <c r="O183" s="9" t="n">
        <f aca="false">(G183*H183)-K183</f>
        <v>90.93</v>
      </c>
      <c r="P183" s="8" t="s">
        <v>21</v>
      </c>
    </row>
    <row r="184" customFormat="false" ht="15" hidden="false" customHeight="false" outlineLevel="0" collapsed="false">
      <c r="A184" s="2" t="n">
        <v>46023</v>
      </c>
      <c r="B184" s="3" t="s">
        <v>22</v>
      </c>
      <c r="C184" s="3" t="s">
        <v>23</v>
      </c>
      <c r="D184" s="3" t="s">
        <v>38</v>
      </c>
      <c r="E184" s="3" t="s">
        <v>39</v>
      </c>
      <c r="F184" s="3" t="s">
        <v>40</v>
      </c>
      <c r="G184" s="3" t="n">
        <v>7</v>
      </c>
      <c r="H184" s="4" t="n">
        <v>12.99</v>
      </c>
      <c r="I184" s="4" t="n">
        <v>4</v>
      </c>
      <c r="J184" s="5" t="n">
        <v>0.2</v>
      </c>
      <c r="K184" s="4" t="n">
        <f aca="false">G184*H184*(1-J184)</f>
        <v>72.744</v>
      </c>
      <c r="L184" s="4" t="n">
        <f aca="false">G184*I184</f>
        <v>28</v>
      </c>
      <c r="M184" s="4" t="n">
        <f aca="false">K184-L184</f>
        <v>44.744</v>
      </c>
      <c r="N184" s="6" t="n">
        <f aca="false">IF(K184=0,0,M184/K184)</f>
        <v>0.615088529638183</v>
      </c>
      <c r="O184" s="4" t="n">
        <f aca="false">(G184*H184)-K184</f>
        <v>18.186</v>
      </c>
      <c r="P184" s="3" t="s">
        <v>21</v>
      </c>
    </row>
    <row r="185" customFormat="false" ht="15" hidden="false" customHeight="false" outlineLevel="0" collapsed="false">
      <c r="A185" s="7" t="n">
        <v>46099</v>
      </c>
      <c r="B185" s="8" t="s">
        <v>58</v>
      </c>
      <c r="C185" s="8" t="s">
        <v>58</v>
      </c>
      <c r="D185" s="8" t="s">
        <v>29</v>
      </c>
      <c r="E185" s="8" t="s">
        <v>30</v>
      </c>
      <c r="F185" s="8" t="s">
        <v>20</v>
      </c>
      <c r="G185" s="8" t="n">
        <v>28</v>
      </c>
      <c r="H185" s="9" t="n">
        <v>79.99</v>
      </c>
      <c r="I185" s="9" t="n">
        <v>42</v>
      </c>
      <c r="J185" s="10" t="n">
        <v>0.15</v>
      </c>
      <c r="K185" s="9" t="n">
        <f aca="false">G185*H185*(1-J185)</f>
        <v>1903.762</v>
      </c>
      <c r="L185" s="9" t="n">
        <f aca="false">G185*I185</f>
        <v>1176</v>
      </c>
      <c r="M185" s="9" t="n">
        <f aca="false">K185-L185</f>
        <v>727.762</v>
      </c>
      <c r="N185" s="11" t="n">
        <f aca="false">IF(K185=0,0,M185/K185)</f>
        <v>0.382275725642176</v>
      </c>
      <c r="O185" s="9" t="n">
        <f aca="false">(G185*H185)-K185</f>
        <v>335.958</v>
      </c>
      <c r="P185" s="8" t="s">
        <v>21</v>
      </c>
    </row>
    <row r="186" customFormat="false" ht="15" hidden="false" customHeight="false" outlineLevel="0" collapsed="false">
      <c r="A186" s="2" t="n">
        <v>46068</v>
      </c>
      <c r="B186" s="3" t="s">
        <v>64</v>
      </c>
      <c r="C186" s="3" t="s">
        <v>65</v>
      </c>
      <c r="D186" s="3" t="s">
        <v>59</v>
      </c>
      <c r="E186" s="3" t="s">
        <v>60</v>
      </c>
      <c r="F186" s="3" t="s">
        <v>50</v>
      </c>
      <c r="G186" s="3" t="n">
        <v>19</v>
      </c>
      <c r="H186" s="4" t="n">
        <v>24.99</v>
      </c>
      <c r="I186" s="4" t="n">
        <v>8.5</v>
      </c>
      <c r="J186" s="5" t="n">
        <v>0</v>
      </c>
      <c r="K186" s="4" t="n">
        <f aca="false">G186*H186*(1-J186)</f>
        <v>474.81</v>
      </c>
      <c r="L186" s="4" t="n">
        <f aca="false">G186*I186</f>
        <v>161.5</v>
      </c>
      <c r="M186" s="4" t="n">
        <f aca="false">K186-L186</f>
        <v>313.31</v>
      </c>
      <c r="N186" s="6" t="n">
        <f aca="false">IF(K186=0,0,M186/K186)</f>
        <v>0.659863945578231</v>
      </c>
      <c r="O186" s="4" t="n">
        <f aca="false">(G186*H186)-K186</f>
        <v>0</v>
      </c>
      <c r="P186" s="3" t="s">
        <v>21</v>
      </c>
    </row>
    <row r="187" customFormat="false" ht="15" hidden="false" customHeight="false" outlineLevel="0" collapsed="false">
      <c r="A187" s="7" t="n">
        <v>46085</v>
      </c>
      <c r="B187" s="8" t="s">
        <v>58</v>
      </c>
      <c r="C187" s="8" t="s">
        <v>58</v>
      </c>
      <c r="D187" s="8" t="s">
        <v>86</v>
      </c>
      <c r="E187" s="8" t="s">
        <v>87</v>
      </c>
      <c r="F187" s="8" t="s">
        <v>40</v>
      </c>
      <c r="G187" s="8" t="n">
        <v>20</v>
      </c>
      <c r="H187" s="9" t="n">
        <v>16.99</v>
      </c>
      <c r="I187" s="9" t="n">
        <v>5.5</v>
      </c>
      <c r="J187" s="10" t="n">
        <v>0</v>
      </c>
      <c r="K187" s="9" t="n">
        <f aca="false">G187*H187*(1-J187)</f>
        <v>339.8</v>
      </c>
      <c r="L187" s="9" t="n">
        <f aca="false">G187*I187</f>
        <v>110</v>
      </c>
      <c r="M187" s="9" t="n">
        <f aca="false">K187-L187</f>
        <v>229.8</v>
      </c>
      <c r="N187" s="11" t="n">
        <f aca="false">IF(K187=0,0,M187/K187)</f>
        <v>0.676280164802825</v>
      </c>
      <c r="O187" s="9" t="n">
        <f aca="false">(G187*H187)-K187</f>
        <v>0</v>
      </c>
      <c r="P187" s="8" t="s">
        <v>21</v>
      </c>
    </row>
    <row r="188" customFormat="false" ht="15" hidden="false" customHeight="false" outlineLevel="0" collapsed="false">
      <c r="A188" s="2" t="n">
        <v>46082</v>
      </c>
      <c r="B188" s="3" t="s">
        <v>31</v>
      </c>
      <c r="C188" s="3" t="s">
        <v>23</v>
      </c>
      <c r="D188" s="3" t="s">
        <v>51</v>
      </c>
      <c r="E188" s="3" t="s">
        <v>52</v>
      </c>
      <c r="F188" s="3" t="s">
        <v>50</v>
      </c>
      <c r="G188" s="3" t="n">
        <v>18</v>
      </c>
      <c r="H188" s="4" t="n">
        <v>19.99</v>
      </c>
      <c r="I188" s="4" t="n">
        <v>7</v>
      </c>
      <c r="J188" s="5" t="n">
        <v>0.1</v>
      </c>
      <c r="K188" s="4" t="n">
        <f aca="false">G188*H188*(1-J188)</f>
        <v>323.838</v>
      </c>
      <c r="L188" s="4" t="n">
        <f aca="false">G188*I188</f>
        <v>126</v>
      </c>
      <c r="M188" s="4" t="n">
        <f aca="false">K188-L188</f>
        <v>197.838</v>
      </c>
      <c r="N188" s="6" t="n">
        <f aca="false">IF(K188=0,0,M188/K188)</f>
        <v>0.610916569395809</v>
      </c>
      <c r="O188" s="4" t="n">
        <f aca="false">(G188*H188)-K188</f>
        <v>35.982</v>
      </c>
      <c r="P188" s="3" t="s">
        <v>21</v>
      </c>
    </row>
    <row r="189" customFormat="false" ht="15" hidden="false" customHeight="false" outlineLevel="0" collapsed="false">
      <c r="A189" s="7" t="n">
        <v>46118</v>
      </c>
      <c r="B189" s="8" t="s">
        <v>64</v>
      </c>
      <c r="C189" s="8" t="s">
        <v>65</v>
      </c>
      <c r="D189" s="8" t="s">
        <v>74</v>
      </c>
      <c r="E189" s="8" t="s">
        <v>75</v>
      </c>
      <c r="F189" s="8" t="s">
        <v>40</v>
      </c>
      <c r="G189" s="8" t="n">
        <v>26</v>
      </c>
      <c r="H189" s="9" t="n">
        <v>29.99</v>
      </c>
      <c r="I189" s="9" t="n">
        <v>13</v>
      </c>
      <c r="J189" s="10" t="n">
        <v>0.2</v>
      </c>
      <c r="K189" s="9" t="n">
        <f aca="false">G189*H189*(1-J189)</f>
        <v>623.792</v>
      </c>
      <c r="L189" s="9" t="n">
        <f aca="false">G189*I189</f>
        <v>338</v>
      </c>
      <c r="M189" s="9" t="n">
        <f aca="false">K189-L189</f>
        <v>285.792</v>
      </c>
      <c r="N189" s="11" t="n">
        <f aca="false">IF(K189=0,0,M189/K189)</f>
        <v>0.458152717572524</v>
      </c>
      <c r="O189" s="9" t="n">
        <f aca="false">(G189*H189)-K189</f>
        <v>155.948</v>
      </c>
      <c r="P189" s="8" t="s">
        <v>21</v>
      </c>
    </row>
    <row r="190" customFormat="false" ht="15" hidden="false" customHeight="false" outlineLevel="0" collapsed="false">
      <c r="A190" s="2" t="n">
        <v>46070</v>
      </c>
      <c r="B190" s="3" t="s">
        <v>22</v>
      </c>
      <c r="C190" s="3" t="s">
        <v>23</v>
      </c>
      <c r="D190" s="3" t="s">
        <v>88</v>
      </c>
      <c r="E190" s="3" t="s">
        <v>89</v>
      </c>
      <c r="F190" s="3" t="s">
        <v>57</v>
      </c>
      <c r="G190" s="3" t="n">
        <v>19</v>
      </c>
      <c r="H190" s="4" t="n">
        <v>12.99</v>
      </c>
      <c r="I190" s="4" t="n">
        <v>4.5</v>
      </c>
      <c r="J190" s="5" t="n">
        <v>0.05</v>
      </c>
      <c r="K190" s="4" t="n">
        <f aca="false">G190*H190*(1-J190)</f>
        <v>234.4695</v>
      </c>
      <c r="L190" s="4" t="n">
        <f aca="false">G190*I190</f>
        <v>85.5</v>
      </c>
      <c r="M190" s="4" t="n">
        <f aca="false">K190-L190</f>
        <v>148.9695</v>
      </c>
      <c r="N190" s="6" t="n">
        <f aca="false">IF(K190=0,0,M190/K190)</f>
        <v>0.635347028078279</v>
      </c>
      <c r="O190" s="4" t="n">
        <f aca="false">(G190*H190)-K190</f>
        <v>12.3405</v>
      </c>
      <c r="P190" s="3" t="s">
        <v>21</v>
      </c>
    </row>
    <row r="191" customFormat="false" ht="15" hidden="false" customHeight="false" outlineLevel="0" collapsed="false">
      <c r="A191" s="7" t="n">
        <v>46044</v>
      </c>
      <c r="B191" s="8" t="s">
        <v>16</v>
      </c>
      <c r="C191" s="8" t="s">
        <v>17</v>
      </c>
      <c r="D191" s="8" t="s">
        <v>84</v>
      </c>
      <c r="E191" s="8" t="s">
        <v>85</v>
      </c>
      <c r="F191" s="8" t="s">
        <v>20</v>
      </c>
      <c r="G191" s="8" t="n">
        <v>20</v>
      </c>
      <c r="H191" s="9" t="n">
        <v>34.99</v>
      </c>
      <c r="I191" s="9" t="n">
        <v>13</v>
      </c>
      <c r="J191" s="10" t="n">
        <v>0.1</v>
      </c>
      <c r="K191" s="9" t="n">
        <f aca="false">G191*H191*(1-J191)</f>
        <v>629.82</v>
      </c>
      <c r="L191" s="9" t="n">
        <f aca="false">G191*I191</f>
        <v>260</v>
      </c>
      <c r="M191" s="9" t="n">
        <f aca="false">K191-L191</f>
        <v>369.82</v>
      </c>
      <c r="N191" s="11" t="n">
        <f aca="false">IF(K191=0,0,M191/K191)</f>
        <v>0.587183639770093</v>
      </c>
      <c r="O191" s="9" t="n">
        <f aca="false">(G191*H191)-K191</f>
        <v>69.98</v>
      </c>
      <c r="P191" s="8" t="s">
        <v>21</v>
      </c>
    </row>
    <row r="192" customFormat="false" ht="15" hidden="false" customHeight="false" outlineLevel="0" collapsed="false">
      <c r="A192" s="2" t="n">
        <v>46105</v>
      </c>
      <c r="B192" s="3" t="s">
        <v>31</v>
      </c>
      <c r="C192" s="3" t="s">
        <v>23</v>
      </c>
      <c r="D192" s="3" t="s">
        <v>90</v>
      </c>
      <c r="E192" s="3" t="s">
        <v>91</v>
      </c>
      <c r="F192" s="3" t="s">
        <v>26</v>
      </c>
      <c r="G192" s="3" t="n">
        <v>26</v>
      </c>
      <c r="H192" s="4" t="n">
        <v>24.99</v>
      </c>
      <c r="I192" s="4" t="n">
        <v>11</v>
      </c>
      <c r="J192" s="5" t="n">
        <v>0.15</v>
      </c>
      <c r="K192" s="4" t="n">
        <f aca="false">G192*H192*(1-J192)</f>
        <v>552.279</v>
      </c>
      <c r="L192" s="4" t="n">
        <f aca="false">G192*I192</f>
        <v>286</v>
      </c>
      <c r="M192" s="4" t="n">
        <f aca="false">K192-L192</f>
        <v>266.279</v>
      </c>
      <c r="N192" s="6" t="n">
        <f aca="false">IF(K192=0,0,M192/K192)</f>
        <v>0.482145799496269</v>
      </c>
      <c r="O192" s="4" t="n">
        <f aca="false">(G192*H192)-K192</f>
        <v>97.461</v>
      </c>
      <c r="P192" s="3" t="s">
        <v>21</v>
      </c>
    </row>
    <row r="193" customFormat="false" ht="15" hidden="false" customHeight="false" outlineLevel="0" collapsed="false">
      <c r="A193" s="7" t="n">
        <v>46054</v>
      </c>
      <c r="B193" s="8" t="s">
        <v>27</v>
      </c>
      <c r="C193" s="8" t="s">
        <v>28</v>
      </c>
      <c r="D193" s="8" t="s">
        <v>93</v>
      </c>
      <c r="E193" s="8" t="s">
        <v>94</v>
      </c>
      <c r="F193" s="8" t="s">
        <v>34</v>
      </c>
      <c r="G193" s="8" t="n">
        <v>19</v>
      </c>
      <c r="H193" s="9" t="n">
        <v>29.99</v>
      </c>
      <c r="I193" s="9" t="n">
        <v>9</v>
      </c>
      <c r="J193" s="10" t="n">
        <v>0.1</v>
      </c>
      <c r="K193" s="9" t="n">
        <f aca="false">G193*H193*(1-J193)</f>
        <v>512.829</v>
      </c>
      <c r="L193" s="9" t="n">
        <f aca="false">G193*I193</f>
        <v>171</v>
      </c>
      <c r="M193" s="9" t="n">
        <f aca="false">K193-L193</f>
        <v>341.829</v>
      </c>
      <c r="N193" s="11" t="n">
        <f aca="false">IF(K193=0,0,M193/K193)</f>
        <v>0.666555518506169</v>
      </c>
      <c r="O193" s="9" t="n">
        <f aca="false">(G193*H193)-K193</f>
        <v>56.981</v>
      </c>
      <c r="P193" s="8" t="s">
        <v>21</v>
      </c>
    </row>
    <row r="194" customFormat="false" ht="15" hidden="false" customHeight="false" outlineLevel="0" collapsed="false">
      <c r="A194" s="2" t="n">
        <v>46104</v>
      </c>
      <c r="B194" s="3" t="s">
        <v>22</v>
      </c>
      <c r="C194" s="3" t="s">
        <v>23</v>
      </c>
      <c r="D194" s="3" t="s">
        <v>18</v>
      </c>
      <c r="E194" s="3" t="s">
        <v>19</v>
      </c>
      <c r="F194" s="3" t="s">
        <v>20</v>
      </c>
      <c r="G194" s="3" t="n">
        <v>24</v>
      </c>
      <c r="H194" s="4" t="n">
        <v>26.99</v>
      </c>
      <c r="I194" s="4" t="n">
        <v>10.5</v>
      </c>
      <c r="J194" s="5" t="n">
        <v>0.05</v>
      </c>
      <c r="K194" s="4" t="n">
        <f aca="false">G194*H194*(1-J194)</f>
        <v>615.372</v>
      </c>
      <c r="L194" s="4" t="n">
        <f aca="false">G194*I194</f>
        <v>252</v>
      </c>
      <c r="M194" s="4" t="n">
        <f aca="false">K194-L194</f>
        <v>363.372</v>
      </c>
      <c r="N194" s="6" t="n">
        <f aca="false">IF(K194=0,0,M194/K194)</f>
        <v>0.590491605077904</v>
      </c>
      <c r="O194" s="4" t="n">
        <f aca="false">(G194*H194)-K194</f>
        <v>32.388</v>
      </c>
      <c r="P194" s="3" t="s">
        <v>21</v>
      </c>
    </row>
    <row r="195" customFormat="false" ht="15" hidden="false" customHeight="false" outlineLevel="0" collapsed="false">
      <c r="A195" s="7" t="n">
        <v>46023</v>
      </c>
      <c r="B195" s="8" t="s">
        <v>37</v>
      </c>
      <c r="C195" s="8" t="s">
        <v>17</v>
      </c>
      <c r="D195" s="8" t="s">
        <v>90</v>
      </c>
      <c r="E195" s="8" t="s">
        <v>91</v>
      </c>
      <c r="F195" s="8" t="s">
        <v>26</v>
      </c>
      <c r="G195" s="8" t="n">
        <v>7</v>
      </c>
      <c r="H195" s="9" t="n">
        <v>29.99</v>
      </c>
      <c r="I195" s="9" t="n">
        <v>11</v>
      </c>
      <c r="J195" s="10" t="n">
        <v>0</v>
      </c>
      <c r="K195" s="9" t="n">
        <f aca="false">G195*H195*(1-J195)</f>
        <v>209.93</v>
      </c>
      <c r="L195" s="9" t="n">
        <f aca="false">G195*I195</f>
        <v>77</v>
      </c>
      <c r="M195" s="9" t="n">
        <f aca="false">K195-L195</f>
        <v>132.93</v>
      </c>
      <c r="N195" s="11" t="n">
        <f aca="false">IF(K195=0,0,M195/K195)</f>
        <v>0.633211070356786</v>
      </c>
      <c r="O195" s="9" t="n">
        <f aca="false">(G195*H195)-K195</f>
        <v>0</v>
      </c>
      <c r="P195" s="8" t="s">
        <v>21</v>
      </c>
    </row>
    <row r="196" customFormat="false" ht="15" hidden="false" customHeight="false" outlineLevel="0" collapsed="false">
      <c r="A196" s="2" t="n">
        <v>46114</v>
      </c>
      <c r="B196" s="3" t="s">
        <v>27</v>
      </c>
      <c r="C196" s="3" t="s">
        <v>28</v>
      </c>
      <c r="D196" s="3" t="s">
        <v>59</v>
      </c>
      <c r="E196" s="3" t="s">
        <v>60</v>
      </c>
      <c r="F196" s="3" t="s">
        <v>50</v>
      </c>
      <c r="G196" s="3" t="n">
        <v>22</v>
      </c>
      <c r="H196" s="4" t="n">
        <v>24.99</v>
      </c>
      <c r="I196" s="4" t="n">
        <v>8.5</v>
      </c>
      <c r="J196" s="5" t="n">
        <v>0.3</v>
      </c>
      <c r="K196" s="4" t="n">
        <f aca="false">G196*H196*(1-J196)</f>
        <v>384.846</v>
      </c>
      <c r="L196" s="4" t="n">
        <f aca="false">G196*I196</f>
        <v>187</v>
      </c>
      <c r="M196" s="4" t="n">
        <f aca="false">K196-L196</f>
        <v>197.846</v>
      </c>
      <c r="N196" s="6" t="n">
        <f aca="false">IF(K196=0,0,M196/K196)</f>
        <v>0.514091350826045</v>
      </c>
      <c r="O196" s="4" t="n">
        <f aca="false">(G196*H196)-K196</f>
        <v>164.934</v>
      </c>
      <c r="P196" s="3" t="s">
        <v>21</v>
      </c>
    </row>
    <row r="197" customFormat="false" ht="15" hidden="false" customHeight="false" outlineLevel="0" collapsed="false">
      <c r="A197" s="7" t="n">
        <v>46060</v>
      </c>
      <c r="B197" s="8" t="s">
        <v>31</v>
      </c>
      <c r="C197" s="8" t="s">
        <v>23</v>
      </c>
      <c r="D197" s="8" t="s">
        <v>72</v>
      </c>
      <c r="E197" s="8" t="s">
        <v>73</v>
      </c>
      <c r="F197" s="8" t="s">
        <v>57</v>
      </c>
      <c r="G197" s="8" t="n">
        <v>1</v>
      </c>
      <c r="H197" s="9" t="n">
        <v>22.66</v>
      </c>
      <c r="I197" s="9" t="n">
        <v>7</v>
      </c>
      <c r="J197" s="10" t="n">
        <v>0</v>
      </c>
      <c r="K197" s="9" t="n">
        <f aca="false">G197*H197*(1-J197)</f>
        <v>22.66</v>
      </c>
      <c r="L197" s="9" t="n">
        <f aca="false">G197*I197</f>
        <v>7</v>
      </c>
      <c r="M197" s="9" t="n">
        <f aca="false">K197-L197</f>
        <v>15.66</v>
      </c>
      <c r="N197" s="11" t="n">
        <f aca="false">IF(K197=0,0,M197/K197)</f>
        <v>0.691085613415711</v>
      </c>
      <c r="O197" s="9" t="n">
        <f aca="false">(G197*H197)-K197</f>
        <v>0</v>
      </c>
      <c r="P197" s="12" t="s">
        <v>63</v>
      </c>
    </row>
    <row r="198" customFormat="false" ht="15" hidden="false" customHeight="false" outlineLevel="0" collapsed="false">
      <c r="A198" s="2" t="n">
        <v>46065</v>
      </c>
      <c r="B198" s="3" t="s">
        <v>37</v>
      </c>
      <c r="C198" s="3" t="s">
        <v>17</v>
      </c>
      <c r="D198" s="3" t="s">
        <v>59</v>
      </c>
      <c r="E198" s="3" t="s">
        <v>60</v>
      </c>
      <c r="F198" s="3" t="s">
        <v>50</v>
      </c>
      <c r="G198" s="3" t="n">
        <v>19</v>
      </c>
      <c r="H198" s="4" t="n">
        <v>24.99</v>
      </c>
      <c r="I198" s="4" t="n">
        <v>8.5</v>
      </c>
      <c r="J198" s="5" t="n">
        <v>0</v>
      </c>
      <c r="K198" s="4" t="n">
        <f aca="false">G198*H198*(1-J198)</f>
        <v>474.81</v>
      </c>
      <c r="L198" s="4" t="n">
        <f aca="false">G198*I198</f>
        <v>161.5</v>
      </c>
      <c r="M198" s="4" t="n">
        <f aca="false">K198-L198</f>
        <v>313.31</v>
      </c>
      <c r="N198" s="6" t="n">
        <f aca="false">IF(K198=0,0,M198/K198)</f>
        <v>0.659863945578231</v>
      </c>
      <c r="O198" s="4" t="n">
        <f aca="false">(G198*H198)-K198</f>
        <v>0</v>
      </c>
      <c r="P198" s="3" t="s">
        <v>21</v>
      </c>
    </row>
    <row r="199" customFormat="false" ht="15" hidden="false" customHeight="false" outlineLevel="0" collapsed="false">
      <c r="A199" s="7" t="n">
        <v>46027</v>
      </c>
      <c r="B199" s="8" t="s">
        <v>41</v>
      </c>
      <c r="C199" s="8" t="s">
        <v>28</v>
      </c>
      <c r="D199" s="8" t="s">
        <v>93</v>
      </c>
      <c r="E199" s="8" t="s">
        <v>94</v>
      </c>
      <c r="F199" s="8" t="s">
        <v>34</v>
      </c>
      <c r="G199" s="8" t="n">
        <v>5</v>
      </c>
      <c r="H199" s="9" t="n">
        <v>29.99</v>
      </c>
      <c r="I199" s="9" t="n">
        <v>9</v>
      </c>
      <c r="J199" s="10" t="n">
        <v>0</v>
      </c>
      <c r="K199" s="9" t="n">
        <f aca="false">G199*H199*(1-J199)</f>
        <v>149.95</v>
      </c>
      <c r="L199" s="9" t="n">
        <f aca="false">G199*I199</f>
        <v>45</v>
      </c>
      <c r="M199" s="9" t="n">
        <f aca="false">K199-L199</f>
        <v>104.95</v>
      </c>
      <c r="N199" s="11" t="n">
        <f aca="false">IF(K199=0,0,M199/K199)</f>
        <v>0.699899966655552</v>
      </c>
      <c r="O199" s="9" t="n">
        <f aca="false">(G199*H199)-K199</f>
        <v>0</v>
      </c>
      <c r="P199" s="8" t="s">
        <v>21</v>
      </c>
    </row>
    <row r="200" customFormat="false" ht="15" hidden="false" customHeight="false" outlineLevel="0" collapsed="false">
      <c r="A200" s="2" t="n">
        <v>46099</v>
      </c>
      <c r="B200" s="3" t="s">
        <v>31</v>
      </c>
      <c r="C200" s="3" t="s">
        <v>23</v>
      </c>
      <c r="D200" s="3" t="s">
        <v>42</v>
      </c>
      <c r="E200" s="3" t="s">
        <v>43</v>
      </c>
      <c r="F200" s="3" t="s">
        <v>34</v>
      </c>
      <c r="G200" s="3" t="n">
        <v>10</v>
      </c>
      <c r="H200" s="4" t="n">
        <v>11.99</v>
      </c>
      <c r="I200" s="4" t="n">
        <v>3.5</v>
      </c>
      <c r="J200" s="5" t="n">
        <v>0</v>
      </c>
      <c r="K200" s="4" t="n">
        <f aca="false">G200*H200*(1-J200)</f>
        <v>119.9</v>
      </c>
      <c r="L200" s="4" t="n">
        <f aca="false">G200*I200</f>
        <v>35</v>
      </c>
      <c r="M200" s="4" t="n">
        <f aca="false">K200-L200</f>
        <v>84.9</v>
      </c>
      <c r="N200" s="6" t="n">
        <f aca="false">IF(K200=0,0,M200/K200)</f>
        <v>0.708090075062552</v>
      </c>
      <c r="O200" s="4" t="n">
        <f aca="false">(G200*H200)-K200</f>
        <v>0</v>
      </c>
      <c r="P200" s="3" t="s">
        <v>21</v>
      </c>
    </row>
    <row r="201" customFormat="false" ht="15" hidden="false" customHeight="false" outlineLevel="0" collapsed="false">
      <c r="A201" s="7" t="n">
        <v>46051</v>
      </c>
      <c r="B201" s="8" t="s">
        <v>27</v>
      </c>
      <c r="C201" s="8" t="s">
        <v>28</v>
      </c>
      <c r="D201" s="8" t="s">
        <v>80</v>
      </c>
      <c r="E201" s="8" t="s">
        <v>81</v>
      </c>
      <c r="F201" s="8" t="s">
        <v>57</v>
      </c>
      <c r="G201" s="8" t="n">
        <v>6</v>
      </c>
      <c r="H201" s="9" t="n">
        <v>17.99</v>
      </c>
      <c r="I201" s="9" t="n">
        <v>6.5</v>
      </c>
      <c r="J201" s="10" t="n">
        <v>0.3</v>
      </c>
      <c r="K201" s="9" t="n">
        <f aca="false">G201*H201*(1-J201)</f>
        <v>75.558</v>
      </c>
      <c r="L201" s="9" t="n">
        <f aca="false">G201*I201</f>
        <v>39</v>
      </c>
      <c r="M201" s="9" t="n">
        <f aca="false">K201-L201</f>
        <v>36.558</v>
      </c>
      <c r="N201" s="11" t="n">
        <f aca="false">IF(K201=0,0,M201/K201)</f>
        <v>0.483840228698483</v>
      </c>
      <c r="O201" s="9" t="n">
        <f aca="false">(G201*H201)-K201</f>
        <v>32.382</v>
      </c>
      <c r="P201" s="8" t="s">
        <v>21</v>
      </c>
    </row>
    <row r="202" customFormat="false" ht="15" hidden="false" customHeight="false" outlineLevel="0" collapsed="false">
      <c r="A202" s="2" t="n">
        <v>46091</v>
      </c>
      <c r="B202" s="3" t="s">
        <v>31</v>
      </c>
      <c r="C202" s="3" t="s">
        <v>23</v>
      </c>
      <c r="D202" s="3" t="s">
        <v>38</v>
      </c>
      <c r="E202" s="3" t="s">
        <v>39</v>
      </c>
      <c r="F202" s="3" t="s">
        <v>40</v>
      </c>
      <c r="G202" s="3" t="n">
        <v>30</v>
      </c>
      <c r="H202" s="4" t="n">
        <v>12.99</v>
      </c>
      <c r="I202" s="4" t="n">
        <v>4</v>
      </c>
      <c r="J202" s="5" t="n">
        <v>0</v>
      </c>
      <c r="K202" s="4" t="n">
        <f aca="false">G202*H202*(1-J202)</f>
        <v>389.7</v>
      </c>
      <c r="L202" s="4" t="n">
        <f aca="false">G202*I202</f>
        <v>120</v>
      </c>
      <c r="M202" s="4" t="n">
        <f aca="false">K202-L202</f>
        <v>269.7</v>
      </c>
      <c r="N202" s="6" t="n">
        <f aca="false">IF(K202=0,0,M202/K202)</f>
        <v>0.692070823710547</v>
      </c>
      <c r="O202" s="4" t="n">
        <f aca="false">(G202*H202)-K202</f>
        <v>0</v>
      </c>
      <c r="P202" s="3" t="s">
        <v>21</v>
      </c>
    </row>
    <row r="203" customFormat="false" ht="15" hidden="false" customHeight="false" outlineLevel="0" collapsed="false">
      <c r="A203" s="7" t="n">
        <v>46042</v>
      </c>
      <c r="B203" s="8" t="s">
        <v>16</v>
      </c>
      <c r="C203" s="8" t="s">
        <v>17</v>
      </c>
      <c r="D203" s="8" t="s">
        <v>38</v>
      </c>
      <c r="E203" s="8" t="s">
        <v>39</v>
      </c>
      <c r="F203" s="8" t="s">
        <v>40</v>
      </c>
      <c r="G203" s="8" t="n">
        <v>28</v>
      </c>
      <c r="H203" s="9" t="n">
        <v>12.99</v>
      </c>
      <c r="I203" s="9" t="n">
        <v>4</v>
      </c>
      <c r="J203" s="10" t="n">
        <v>0</v>
      </c>
      <c r="K203" s="9" t="n">
        <f aca="false">G203*H203*(1-J203)</f>
        <v>363.72</v>
      </c>
      <c r="L203" s="9" t="n">
        <f aca="false">G203*I203</f>
        <v>112</v>
      </c>
      <c r="M203" s="9" t="n">
        <f aca="false">K203-L203</f>
        <v>251.72</v>
      </c>
      <c r="N203" s="11" t="n">
        <f aca="false">IF(K203=0,0,M203/K203)</f>
        <v>0.692070823710547</v>
      </c>
      <c r="O203" s="9" t="n">
        <f aca="false">(G203*H203)-K203</f>
        <v>0</v>
      </c>
      <c r="P203" s="8" t="s">
        <v>21</v>
      </c>
    </row>
    <row r="204" customFormat="false" ht="15" hidden="false" customHeight="false" outlineLevel="0" collapsed="false">
      <c r="A204" s="2" t="n">
        <v>46037</v>
      </c>
      <c r="B204" s="3" t="s">
        <v>41</v>
      </c>
      <c r="C204" s="3" t="s">
        <v>28</v>
      </c>
      <c r="D204" s="3" t="s">
        <v>66</v>
      </c>
      <c r="E204" s="3" t="s">
        <v>67</v>
      </c>
      <c r="F204" s="3" t="s">
        <v>57</v>
      </c>
      <c r="G204" s="3" t="n">
        <v>15</v>
      </c>
      <c r="H204" s="4" t="n">
        <v>14.99</v>
      </c>
      <c r="I204" s="4" t="n">
        <v>5.5</v>
      </c>
      <c r="J204" s="5" t="n">
        <v>0</v>
      </c>
      <c r="K204" s="4" t="n">
        <f aca="false">G204*H204*(1-J204)</f>
        <v>224.85</v>
      </c>
      <c r="L204" s="4" t="n">
        <f aca="false">G204*I204</f>
        <v>82.5</v>
      </c>
      <c r="M204" s="4" t="n">
        <f aca="false">K204-L204</f>
        <v>142.35</v>
      </c>
      <c r="N204" s="6" t="n">
        <f aca="false">IF(K204=0,0,M204/K204)</f>
        <v>0.633088725817211</v>
      </c>
      <c r="O204" s="4" t="n">
        <f aca="false">(G204*H204)-K204</f>
        <v>0</v>
      </c>
      <c r="P204" s="3" t="s">
        <v>21</v>
      </c>
    </row>
    <row r="205" customFormat="false" ht="15" hidden="false" customHeight="false" outlineLevel="0" collapsed="false">
      <c r="A205" s="7" t="n">
        <v>46111</v>
      </c>
      <c r="B205" s="8" t="s">
        <v>37</v>
      </c>
      <c r="C205" s="8" t="s">
        <v>17</v>
      </c>
      <c r="D205" s="8" t="s">
        <v>78</v>
      </c>
      <c r="E205" s="8" t="s">
        <v>79</v>
      </c>
      <c r="F205" s="8" t="s">
        <v>20</v>
      </c>
      <c r="G205" s="8" t="n">
        <v>22</v>
      </c>
      <c r="H205" s="9" t="n">
        <v>39.99</v>
      </c>
      <c r="I205" s="9" t="n">
        <v>16</v>
      </c>
      <c r="J205" s="10" t="n">
        <v>0</v>
      </c>
      <c r="K205" s="9" t="n">
        <f aca="false">G205*H205*(1-J205)</f>
        <v>879.78</v>
      </c>
      <c r="L205" s="9" t="n">
        <f aca="false">G205*I205</f>
        <v>352</v>
      </c>
      <c r="M205" s="9" t="n">
        <f aca="false">K205-L205</f>
        <v>527.78</v>
      </c>
      <c r="N205" s="11" t="n">
        <f aca="false">IF(K205=0,0,M205/K205)</f>
        <v>0.599899974993749</v>
      </c>
      <c r="O205" s="9" t="n">
        <f aca="false">(G205*H205)-K205</f>
        <v>0</v>
      </c>
      <c r="P205" s="8" t="s">
        <v>21</v>
      </c>
    </row>
    <row r="206" customFormat="false" ht="15" hidden="false" customHeight="false" outlineLevel="0" collapsed="false">
      <c r="A206" s="2" t="n">
        <v>46090</v>
      </c>
      <c r="B206" s="3" t="s">
        <v>41</v>
      </c>
      <c r="C206" s="3" t="s">
        <v>28</v>
      </c>
      <c r="D206" s="3" t="s">
        <v>42</v>
      </c>
      <c r="E206" s="3" t="s">
        <v>43</v>
      </c>
      <c r="F206" s="3" t="s">
        <v>34</v>
      </c>
      <c r="G206" s="3" t="n">
        <v>19</v>
      </c>
      <c r="H206" s="4" t="n">
        <v>11.99</v>
      </c>
      <c r="I206" s="4" t="n">
        <v>3.5</v>
      </c>
      <c r="J206" s="5" t="n">
        <v>0</v>
      </c>
      <c r="K206" s="4" t="n">
        <f aca="false">G206*H206*(1-J206)</f>
        <v>227.81</v>
      </c>
      <c r="L206" s="4" t="n">
        <f aca="false">G206*I206</f>
        <v>66.5</v>
      </c>
      <c r="M206" s="4" t="n">
        <f aca="false">K206-L206</f>
        <v>161.31</v>
      </c>
      <c r="N206" s="6" t="n">
        <f aca="false">IF(K206=0,0,M206/K206)</f>
        <v>0.708090075062552</v>
      </c>
      <c r="O206" s="4" t="n">
        <f aca="false">(G206*H206)-K206</f>
        <v>0</v>
      </c>
      <c r="P206" s="3" t="s">
        <v>21</v>
      </c>
    </row>
    <row r="207" customFormat="false" ht="15" hidden="false" customHeight="false" outlineLevel="0" collapsed="false">
      <c r="A207" s="7" t="n">
        <v>46132</v>
      </c>
      <c r="B207" s="8" t="s">
        <v>16</v>
      </c>
      <c r="C207" s="8" t="s">
        <v>17</v>
      </c>
      <c r="D207" s="8" t="s">
        <v>59</v>
      </c>
      <c r="E207" s="8" t="s">
        <v>60</v>
      </c>
      <c r="F207" s="8" t="s">
        <v>50</v>
      </c>
      <c r="G207" s="8" t="n">
        <v>22</v>
      </c>
      <c r="H207" s="9" t="n">
        <v>24.99</v>
      </c>
      <c r="I207" s="9" t="n">
        <v>8.5</v>
      </c>
      <c r="J207" s="10" t="n">
        <v>0.3</v>
      </c>
      <c r="K207" s="9" t="n">
        <f aca="false">G207*H207*(1-J207)</f>
        <v>384.846</v>
      </c>
      <c r="L207" s="9" t="n">
        <f aca="false">G207*I207</f>
        <v>187</v>
      </c>
      <c r="M207" s="9" t="n">
        <f aca="false">K207-L207</f>
        <v>197.846</v>
      </c>
      <c r="N207" s="11" t="n">
        <f aca="false">IF(K207=0,0,M207/K207)</f>
        <v>0.514091350826045</v>
      </c>
      <c r="O207" s="9" t="n">
        <f aca="false">(G207*H207)-K207</f>
        <v>164.934</v>
      </c>
      <c r="P207" s="8" t="s">
        <v>21</v>
      </c>
    </row>
    <row r="208" customFormat="false" ht="15" hidden="false" customHeight="false" outlineLevel="0" collapsed="false">
      <c r="A208" s="2" t="n">
        <v>46059</v>
      </c>
      <c r="B208" s="3" t="s">
        <v>16</v>
      </c>
      <c r="C208" s="3" t="s">
        <v>17</v>
      </c>
      <c r="D208" s="3" t="s">
        <v>86</v>
      </c>
      <c r="E208" s="3" t="s">
        <v>87</v>
      </c>
      <c r="F208" s="3" t="s">
        <v>40</v>
      </c>
      <c r="G208" s="3" t="n">
        <v>25</v>
      </c>
      <c r="H208" s="4" t="n">
        <v>16.99</v>
      </c>
      <c r="I208" s="4" t="n">
        <v>5.5</v>
      </c>
      <c r="J208" s="5" t="n">
        <v>0.2</v>
      </c>
      <c r="K208" s="4" t="n">
        <f aca="false">G208*H208*(1-J208)</f>
        <v>339.8</v>
      </c>
      <c r="L208" s="4" t="n">
        <f aca="false">G208*I208</f>
        <v>137.5</v>
      </c>
      <c r="M208" s="4" t="n">
        <f aca="false">K208-L208</f>
        <v>202.3</v>
      </c>
      <c r="N208" s="6" t="n">
        <f aca="false">IF(K208=0,0,M208/K208)</f>
        <v>0.595350206003531</v>
      </c>
      <c r="O208" s="4" t="n">
        <f aca="false">(G208*H208)-K208</f>
        <v>84.95</v>
      </c>
      <c r="P208" s="3" t="s">
        <v>21</v>
      </c>
    </row>
    <row r="209" customFormat="false" ht="15" hidden="false" customHeight="false" outlineLevel="0" collapsed="false">
      <c r="A209" s="7" t="n">
        <v>46034</v>
      </c>
      <c r="B209" s="8" t="s">
        <v>64</v>
      </c>
      <c r="C209" s="8" t="s">
        <v>65</v>
      </c>
      <c r="D209" s="8" t="s">
        <v>72</v>
      </c>
      <c r="E209" s="8" t="s">
        <v>73</v>
      </c>
      <c r="F209" s="8" t="s">
        <v>57</v>
      </c>
      <c r="G209" s="8" t="n">
        <v>13</v>
      </c>
      <c r="H209" s="9" t="n">
        <v>19.99</v>
      </c>
      <c r="I209" s="9" t="n">
        <v>7</v>
      </c>
      <c r="J209" s="10" t="n">
        <v>0.2</v>
      </c>
      <c r="K209" s="9" t="n">
        <f aca="false">G209*H209*(1-J209)</f>
        <v>207.896</v>
      </c>
      <c r="L209" s="9" t="n">
        <f aca="false">G209*I209</f>
        <v>91</v>
      </c>
      <c r="M209" s="9" t="n">
        <f aca="false">K209-L209</f>
        <v>116.896</v>
      </c>
      <c r="N209" s="11" t="n">
        <f aca="false">IF(K209=0,0,M209/K209)</f>
        <v>0.562281140570285</v>
      </c>
      <c r="O209" s="9" t="n">
        <f aca="false">(G209*H209)-K209</f>
        <v>51.974</v>
      </c>
      <c r="P209" s="8" t="s">
        <v>21</v>
      </c>
    </row>
    <row r="210" customFormat="false" ht="15" hidden="false" customHeight="false" outlineLevel="0" collapsed="false">
      <c r="A210" s="2" t="n">
        <v>46030</v>
      </c>
      <c r="B210" s="3" t="s">
        <v>64</v>
      </c>
      <c r="C210" s="3" t="s">
        <v>65</v>
      </c>
      <c r="D210" s="3" t="s">
        <v>76</v>
      </c>
      <c r="E210" s="3" t="s">
        <v>77</v>
      </c>
      <c r="F210" s="3" t="s">
        <v>34</v>
      </c>
      <c r="G210" s="3" t="n">
        <v>11</v>
      </c>
      <c r="H210" s="4" t="n">
        <v>44.99</v>
      </c>
      <c r="I210" s="4" t="n">
        <v>14</v>
      </c>
      <c r="J210" s="5" t="n">
        <v>0.3</v>
      </c>
      <c r="K210" s="4" t="n">
        <f aca="false">G210*H210*(1-J210)</f>
        <v>346.423</v>
      </c>
      <c r="L210" s="4" t="n">
        <f aca="false">G210*I210</f>
        <v>154</v>
      </c>
      <c r="M210" s="4" t="n">
        <f aca="false">K210-L210</f>
        <v>192.423</v>
      </c>
      <c r="N210" s="6" t="n">
        <f aca="false">IF(K210=0,0,M210/K210)</f>
        <v>0.555456768170705</v>
      </c>
      <c r="O210" s="4" t="n">
        <f aca="false">(G210*H210)-K210</f>
        <v>148.467</v>
      </c>
      <c r="P210" s="3" t="s">
        <v>21</v>
      </c>
    </row>
    <row r="211" customFormat="false" ht="15" hidden="false" customHeight="false" outlineLevel="0" collapsed="false">
      <c r="A211" s="7" t="n">
        <v>46071</v>
      </c>
      <c r="B211" s="8" t="s">
        <v>31</v>
      </c>
      <c r="C211" s="8" t="s">
        <v>23</v>
      </c>
      <c r="D211" s="8" t="s">
        <v>95</v>
      </c>
      <c r="E211" s="8" t="s">
        <v>96</v>
      </c>
      <c r="F211" s="8" t="s">
        <v>50</v>
      </c>
      <c r="G211" s="8" t="n">
        <v>9</v>
      </c>
      <c r="H211" s="9" t="n">
        <v>34.99</v>
      </c>
      <c r="I211" s="9" t="n">
        <v>12</v>
      </c>
      <c r="J211" s="10" t="n">
        <v>0.2</v>
      </c>
      <c r="K211" s="9" t="n">
        <f aca="false">G211*H211*(1-J211)</f>
        <v>251.928</v>
      </c>
      <c r="L211" s="9" t="n">
        <f aca="false">G211*I211</f>
        <v>108</v>
      </c>
      <c r="M211" s="9" t="n">
        <f aca="false">K211-L211</f>
        <v>143.928</v>
      </c>
      <c r="N211" s="11" t="n">
        <f aca="false">IF(K211=0,0,M211/K211)</f>
        <v>0.571306087453558</v>
      </c>
      <c r="O211" s="9" t="n">
        <f aca="false">(G211*H211)-K211</f>
        <v>62.982</v>
      </c>
      <c r="P211" s="8" t="s">
        <v>21</v>
      </c>
    </row>
    <row r="212" customFormat="false" ht="15" hidden="false" customHeight="false" outlineLevel="0" collapsed="false">
      <c r="A212" s="2" t="n">
        <v>46093</v>
      </c>
      <c r="B212" s="3" t="s">
        <v>41</v>
      </c>
      <c r="C212" s="3" t="s">
        <v>28</v>
      </c>
      <c r="D212" s="3" t="s">
        <v>42</v>
      </c>
      <c r="E212" s="3" t="s">
        <v>43</v>
      </c>
      <c r="F212" s="3" t="s">
        <v>34</v>
      </c>
      <c r="G212" s="3" t="n">
        <v>10</v>
      </c>
      <c r="H212" s="4" t="n">
        <v>11.99</v>
      </c>
      <c r="I212" s="4" t="n">
        <v>3.5</v>
      </c>
      <c r="J212" s="5" t="n">
        <v>0.1</v>
      </c>
      <c r="K212" s="4" t="n">
        <f aca="false">G212*H212*(1-J212)</f>
        <v>107.91</v>
      </c>
      <c r="L212" s="4" t="n">
        <f aca="false">G212*I212</f>
        <v>35</v>
      </c>
      <c r="M212" s="4" t="n">
        <f aca="false">K212-L212</f>
        <v>72.91</v>
      </c>
      <c r="N212" s="6" t="n">
        <f aca="false">IF(K212=0,0,M212/K212)</f>
        <v>0.675655638958391</v>
      </c>
      <c r="O212" s="4" t="n">
        <f aca="false">(G212*H212)-K212</f>
        <v>11.99</v>
      </c>
      <c r="P212" s="3" t="s">
        <v>21</v>
      </c>
    </row>
    <row r="213" customFormat="false" ht="15" hidden="false" customHeight="false" outlineLevel="0" collapsed="false">
      <c r="A213" s="7" t="n">
        <v>46120</v>
      </c>
      <c r="B213" s="8" t="s">
        <v>16</v>
      </c>
      <c r="C213" s="8" t="s">
        <v>17</v>
      </c>
      <c r="D213" s="8" t="s">
        <v>66</v>
      </c>
      <c r="E213" s="8" t="s">
        <v>67</v>
      </c>
      <c r="F213" s="8" t="s">
        <v>57</v>
      </c>
      <c r="G213" s="8" t="n">
        <v>18</v>
      </c>
      <c r="H213" s="9" t="n">
        <v>14.99</v>
      </c>
      <c r="I213" s="9" t="n">
        <v>5.5</v>
      </c>
      <c r="J213" s="10" t="n">
        <v>0</v>
      </c>
      <c r="K213" s="9" t="n">
        <f aca="false">G213*H213*(1-J213)</f>
        <v>269.82</v>
      </c>
      <c r="L213" s="9" t="n">
        <f aca="false">G213*I213</f>
        <v>99</v>
      </c>
      <c r="M213" s="9" t="n">
        <f aca="false">K213-L213</f>
        <v>170.82</v>
      </c>
      <c r="N213" s="11" t="n">
        <f aca="false">IF(K213=0,0,M213/K213)</f>
        <v>0.633088725817211</v>
      </c>
      <c r="O213" s="9" t="n">
        <f aca="false">(G213*H213)-K213</f>
        <v>0</v>
      </c>
      <c r="P213" s="8" t="s">
        <v>21</v>
      </c>
    </row>
    <row r="214" customFormat="false" ht="15" hidden="false" customHeight="false" outlineLevel="0" collapsed="false">
      <c r="A214" s="2" t="n">
        <v>46119</v>
      </c>
      <c r="B214" s="3" t="s">
        <v>22</v>
      </c>
      <c r="C214" s="3" t="s">
        <v>23</v>
      </c>
      <c r="D214" s="3" t="s">
        <v>55</v>
      </c>
      <c r="E214" s="3" t="s">
        <v>56</v>
      </c>
      <c r="F214" s="3" t="s">
        <v>57</v>
      </c>
      <c r="G214" s="3" t="n">
        <v>15</v>
      </c>
      <c r="H214" s="4" t="n">
        <v>29.99</v>
      </c>
      <c r="I214" s="4" t="n">
        <v>11</v>
      </c>
      <c r="J214" s="5" t="n">
        <v>0.2</v>
      </c>
      <c r="K214" s="4" t="n">
        <f aca="false">G214*H214*(1-J214)</f>
        <v>359.88</v>
      </c>
      <c r="L214" s="4" t="n">
        <f aca="false">G214*I214</f>
        <v>165</v>
      </c>
      <c r="M214" s="4" t="n">
        <f aca="false">K214-L214</f>
        <v>194.88</v>
      </c>
      <c r="N214" s="6" t="n">
        <f aca="false">IF(K214=0,0,M214/K214)</f>
        <v>0.541513837945982</v>
      </c>
      <c r="O214" s="4" t="n">
        <f aca="false">(G214*H214)-K214</f>
        <v>89.97</v>
      </c>
      <c r="P214" s="3" t="s">
        <v>21</v>
      </c>
    </row>
    <row r="215" customFormat="false" ht="15" hidden="false" customHeight="false" outlineLevel="0" collapsed="false">
      <c r="A215" s="7" t="n">
        <v>46113</v>
      </c>
      <c r="B215" s="8" t="s">
        <v>31</v>
      </c>
      <c r="C215" s="8" t="s">
        <v>23</v>
      </c>
      <c r="D215" s="8" t="s">
        <v>95</v>
      </c>
      <c r="E215" s="8" t="s">
        <v>96</v>
      </c>
      <c r="F215" s="8" t="s">
        <v>50</v>
      </c>
      <c r="G215" s="8" t="n">
        <v>21</v>
      </c>
      <c r="H215" s="9" t="n">
        <v>34.99</v>
      </c>
      <c r="I215" s="9" t="n">
        <v>12</v>
      </c>
      <c r="J215" s="10" t="n">
        <v>0</v>
      </c>
      <c r="K215" s="9" t="n">
        <f aca="false">G215*H215*(1-J215)</f>
        <v>734.79</v>
      </c>
      <c r="L215" s="9" t="n">
        <f aca="false">G215*I215</f>
        <v>252</v>
      </c>
      <c r="M215" s="9" t="n">
        <f aca="false">K215-L215</f>
        <v>482.79</v>
      </c>
      <c r="N215" s="11" t="n">
        <f aca="false">IF(K215=0,0,M215/K215)</f>
        <v>0.657044869962847</v>
      </c>
      <c r="O215" s="9" t="n">
        <f aca="false">(G215*H215)-K215</f>
        <v>0</v>
      </c>
      <c r="P215" s="8" t="s">
        <v>21</v>
      </c>
    </row>
    <row r="216" customFormat="false" ht="15" hidden="false" customHeight="false" outlineLevel="0" collapsed="false">
      <c r="A216" s="2" t="n">
        <v>46067</v>
      </c>
      <c r="B216" s="3" t="s">
        <v>64</v>
      </c>
      <c r="C216" s="3" t="s">
        <v>65</v>
      </c>
      <c r="D216" s="3" t="s">
        <v>18</v>
      </c>
      <c r="E216" s="3" t="s">
        <v>19</v>
      </c>
      <c r="F216" s="3" t="s">
        <v>20</v>
      </c>
      <c r="G216" s="3" t="n">
        <v>18</v>
      </c>
      <c r="H216" s="4" t="n">
        <v>26.99</v>
      </c>
      <c r="I216" s="4" t="n">
        <v>10.5</v>
      </c>
      <c r="J216" s="5" t="n">
        <v>0</v>
      </c>
      <c r="K216" s="4" t="n">
        <f aca="false">G216*H216*(1-J216)</f>
        <v>485.82</v>
      </c>
      <c r="L216" s="4" t="n">
        <f aca="false">G216*I216</f>
        <v>189</v>
      </c>
      <c r="M216" s="4" t="n">
        <f aca="false">K216-L216</f>
        <v>296.82</v>
      </c>
      <c r="N216" s="6" t="n">
        <f aca="false">IF(K216=0,0,M216/K216)</f>
        <v>0.610967024824009</v>
      </c>
      <c r="O216" s="4" t="n">
        <f aca="false">(G216*H216)-K216</f>
        <v>0</v>
      </c>
      <c r="P216" s="3" t="s">
        <v>21</v>
      </c>
    </row>
    <row r="217" customFormat="false" ht="15" hidden="false" customHeight="false" outlineLevel="0" collapsed="false">
      <c r="A217" s="7" t="n">
        <v>46058</v>
      </c>
      <c r="B217" s="8" t="s">
        <v>37</v>
      </c>
      <c r="C217" s="8" t="s">
        <v>17</v>
      </c>
      <c r="D217" s="8" t="s">
        <v>46</v>
      </c>
      <c r="E217" s="8" t="s">
        <v>47</v>
      </c>
      <c r="F217" s="8" t="s">
        <v>20</v>
      </c>
      <c r="G217" s="8" t="n">
        <v>1</v>
      </c>
      <c r="H217" s="9" t="n">
        <v>44.99</v>
      </c>
      <c r="I217" s="9" t="n">
        <v>18</v>
      </c>
      <c r="J217" s="10" t="n">
        <v>0</v>
      </c>
      <c r="K217" s="9" t="n">
        <f aca="false">G217*H217*(1-J217)</f>
        <v>44.99</v>
      </c>
      <c r="L217" s="9" t="n">
        <f aca="false">G217*I217</f>
        <v>18</v>
      </c>
      <c r="M217" s="9" t="n">
        <f aca="false">K217-L217</f>
        <v>26.99</v>
      </c>
      <c r="N217" s="11" t="n">
        <f aca="false">IF(K217=0,0,M217/K217)</f>
        <v>0.599911091353634</v>
      </c>
      <c r="O217" s="9" t="n">
        <f aca="false">(G217*H217)-K217</f>
        <v>0</v>
      </c>
      <c r="P217" s="8" t="s">
        <v>21</v>
      </c>
    </row>
    <row r="218" customFormat="false" ht="15" hidden="false" customHeight="false" outlineLevel="0" collapsed="false">
      <c r="A218" s="2" t="n">
        <v>46089</v>
      </c>
      <c r="B218" s="3" t="s">
        <v>27</v>
      </c>
      <c r="C218" s="3" t="s">
        <v>28</v>
      </c>
      <c r="D218" s="3" t="s">
        <v>29</v>
      </c>
      <c r="E218" s="3" t="s">
        <v>30</v>
      </c>
      <c r="F218" s="3" t="s">
        <v>20</v>
      </c>
      <c r="G218" s="3" t="n">
        <v>12</v>
      </c>
      <c r="H218" s="4" t="n">
        <v>79.99</v>
      </c>
      <c r="I218" s="4" t="n">
        <v>42</v>
      </c>
      <c r="J218" s="5" t="n">
        <v>0</v>
      </c>
      <c r="K218" s="4" t="n">
        <f aca="false">G218*H218*(1-J218)</f>
        <v>959.88</v>
      </c>
      <c r="L218" s="4" t="n">
        <f aca="false">G218*I218</f>
        <v>504</v>
      </c>
      <c r="M218" s="4" t="n">
        <f aca="false">K218-L218</f>
        <v>455.88</v>
      </c>
      <c r="N218" s="6" t="n">
        <f aca="false">IF(K218=0,0,M218/K218)</f>
        <v>0.474934366795849</v>
      </c>
      <c r="O218" s="4" t="n">
        <f aca="false">(G218*H218)-K218</f>
        <v>0</v>
      </c>
      <c r="P218" s="3" t="s">
        <v>21</v>
      </c>
    </row>
    <row r="219" customFormat="false" ht="15" hidden="false" customHeight="false" outlineLevel="0" collapsed="false">
      <c r="A219" s="7" t="n">
        <v>46075</v>
      </c>
      <c r="B219" s="8" t="s">
        <v>31</v>
      </c>
      <c r="C219" s="8" t="s">
        <v>23</v>
      </c>
      <c r="D219" s="8" t="s">
        <v>48</v>
      </c>
      <c r="E219" s="8" t="s">
        <v>49</v>
      </c>
      <c r="F219" s="8" t="s">
        <v>50</v>
      </c>
      <c r="G219" s="8" t="n">
        <v>12</v>
      </c>
      <c r="H219" s="9" t="n">
        <v>54.99</v>
      </c>
      <c r="I219" s="9" t="n">
        <v>20</v>
      </c>
      <c r="J219" s="10" t="n">
        <v>0.2</v>
      </c>
      <c r="K219" s="9" t="n">
        <f aca="false">G219*H219*(1-J219)</f>
        <v>527.904</v>
      </c>
      <c r="L219" s="9" t="n">
        <f aca="false">G219*I219</f>
        <v>240</v>
      </c>
      <c r="M219" s="9" t="n">
        <f aca="false">K219-L219</f>
        <v>287.904</v>
      </c>
      <c r="N219" s="11" t="n">
        <f aca="false">IF(K219=0,0,M219/K219)</f>
        <v>0.545371885797418</v>
      </c>
      <c r="O219" s="9" t="n">
        <f aca="false">(G219*H219)-K219</f>
        <v>131.976</v>
      </c>
      <c r="P219" s="8" t="s">
        <v>21</v>
      </c>
    </row>
    <row r="220" customFormat="false" ht="15" hidden="false" customHeight="false" outlineLevel="0" collapsed="false">
      <c r="A220" s="2" t="n">
        <v>46040</v>
      </c>
      <c r="B220" s="3" t="s">
        <v>58</v>
      </c>
      <c r="C220" s="3" t="s">
        <v>58</v>
      </c>
      <c r="D220" s="3" t="s">
        <v>70</v>
      </c>
      <c r="E220" s="3" t="s">
        <v>71</v>
      </c>
      <c r="F220" s="3" t="s">
        <v>20</v>
      </c>
      <c r="G220" s="3" t="n">
        <v>15</v>
      </c>
      <c r="H220" s="4" t="n">
        <v>49.99</v>
      </c>
      <c r="I220" s="4" t="n">
        <v>19</v>
      </c>
      <c r="J220" s="5" t="n">
        <v>0.25</v>
      </c>
      <c r="K220" s="4" t="n">
        <f aca="false">G220*H220*(1-J220)</f>
        <v>562.3875</v>
      </c>
      <c r="L220" s="4" t="n">
        <f aca="false">G220*I220</f>
        <v>285</v>
      </c>
      <c r="M220" s="4" t="n">
        <f aca="false">K220-L220</f>
        <v>277.3875</v>
      </c>
      <c r="N220" s="6" t="n">
        <f aca="false">IF(K220=0,0,M220/K220)</f>
        <v>0.493231979729279</v>
      </c>
      <c r="O220" s="4" t="n">
        <f aca="false">(G220*H220)-K220</f>
        <v>187.4625</v>
      </c>
      <c r="P220" s="3" t="s">
        <v>21</v>
      </c>
    </row>
    <row r="221" customFormat="false" ht="15" hidden="false" customHeight="false" outlineLevel="0" collapsed="false">
      <c r="A221" s="7" t="n">
        <v>46033</v>
      </c>
      <c r="B221" s="8" t="s">
        <v>16</v>
      </c>
      <c r="C221" s="8" t="s">
        <v>17</v>
      </c>
      <c r="D221" s="8" t="s">
        <v>70</v>
      </c>
      <c r="E221" s="8" t="s">
        <v>71</v>
      </c>
      <c r="F221" s="8" t="s">
        <v>20</v>
      </c>
      <c r="G221" s="8" t="n">
        <v>8</v>
      </c>
      <c r="H221" s="9" t="n">
        <v>49.99</v>
      </c>
      <c r="I221" s="9" t="n">
        <v>19</v>
      </c>
      <c r="J221" s="10" t="n">
        <v>0.1</v>
      </c>
      <c r="K221" s="9" t="n">
        <f aca="false">G221*H221*(1-J221)</f>
        <v>359.928</v>
      </c>
      <c r="L221" s="9" t="n">
        <f aca="false">G221*I221</f>
        <v>152</v>
      </c>
      <c r="M221" s="9" t="n">
        <f aca="false">K221-L221</f>
        <v>207.928</v>
      </c>
      <c r="N221" s="11" t="n">
        <f aca="false">IF(K221=0,0,M221/K221)</f>
        <v>0.577693316441066</v>
      </c>
      <c r="O221" s="9" t="n">
        <f aca="false">(G221*H221)-K221</f>
        <v>39.992</v>
      </c>
      <c r="P221" s="8" t="s">
        <v>21</v>
      </c>
    </row>
    <row r="222" customFormat="false" ht="15" hidden="false" customHeight="false" outlineLevel="0" collapsed="false">
      <c r="A222" s="2" t="n">
        <v>46046</v>
      </c>
      <c r="B222" s="3" t="s">
        <v>58</v>
      </c>
      <c r="C222" s="3" t="s">
        <v>58</v>
      </c>
      <c r="D222" s="3" t="s">
        <v>76</v>
      </c>
      <c r="E222" s="3" t="s">
        <v>77</v>
      </c>
      <c r="F222" s="3" t="s">
        <v>34</v>
      </c>
      <c r="G222" s="3" t="n">
        <v>4</v>
      </c>
      <c r="H222" s="4" t="n">
        <v>44.99</v>
      </c>
      <c r="I222" s="4" t="n">
        <v>14</v>
      </c>
      <c r="J222" s="5" t="n">
        <v>0</v>
      </c>
      <c r="K222" s="4" t="n">
        <f aca="false">G222*H222*(1-J222)</f>
        <v>179.96</v>
      </c>
      <c r="L222" s="4" t="n">
        <f aca="false">G222*I222</f>
        <v>56</v>
      </c>
      <c r="M222" s="4" t="n">
        <f aca="false">K222-L222</f>
        <v>123.96</v>
      </c>
      <c r="N222" s="6" t="n">
        <f aca="false">IF(K222=0,0,M222/K222)</f>
        <v>0.688819737719493</v>
      </c>
      <c r="O222" s="4" t="n">
        <f aca="false">(G222*H222)-K222</f>
        <v>0</v>
      </c>
      <c r="P222" s="3" t="s">
        <v>21</v>
      </c>
    </row>
    <row r="223" customFormat="false" ht="15" hidden="false" customHeight="false" outlineLevel="0" collapsed="false">
      <c r="A223" s="7" t="n">
        <v>46040</v>
      </c>
      <c r="B223" s="8" t="s">
        <v>41</v>
      </c>
      <c r="C223" s="8" t="s">
        <v>28</v>
      </c>
      <c r="D223" s="8" t="s">
        <v>82</v>
      </c>
      <c r="E223" s="8" t="s">
        <v>83</v>
      </c>
      <c r="F223" s="8" t="s">
        <v>26</v>
      </c>
      <c r="G223" s="8" t="n">
        <v>18</v>
      </c>
      <c r="H223" s="9" t="n">
        <v>44.99</v>
      </c>
      <c r="I223" s="9" t="n">
        <v>18</v>
      </c>
      <c r="J223" s="10" t="n">
        <v>0</v>
      </c>
      <c r="K223" s="9" t="n">
        <f aca="false">G223*H223*(1-J223)</f>
        <v>809.82</v>
      </c>
      <c r="L223" s="9" t="n">
        <f aca="false">G223*I223</f>
        <v>324</v>
      </c>
      <c r="M223" s="9" t="n">
        <f aca="false">K223-L223</f>
        <v>485.82</v>
      </c>
      <c r="N223" s="11" t="n">
        <f aca="false">IF(K223=0,0,M223/K223)</f>
        <v>0.599911091353634</v>
      </c>
      <c r="O223" s="9" t="n">
        <f aca="false">(G223*H223)-K223</f>
        <v>0</v>
      </c>
      <c r="P223" s="8" t="s">
        <v>21</v>
      </c>
    </row>
    <row r="224" customFormat="false" ht="15" hidden="false" customHeight="false" outlineLevel="0" collapsed="false">
      <c r="A224" s="2" t="n">
        <v>46034</v>
      </c>
      <c r="B224" s="3" t="s">
        <v>27</v>
      </c>
      <c r="C224" s="3" t="s">
        <v>28</v>
      </c>
      <c r="D224" s="3" t="s">
        <v>82</v>
      </c>
      <c r="E224" s="3" t="s">
        <v>83</v>
      </c>
      <c r="F224" s="3" t="s">
        <v>26</v>
      </c>
      <c r="G224" s="3" t="n">
        <v>13</v>
      </c>
      <c r="H224" s="4" t="n">
        <v>44.99</v>
      </c>
      <c r="I224" s="4" t="n">
        <v>18</v>
      </c>
      <c r="J224" s="5" t="n">
        <v>0</v>
      </c>
      <c r="K224" s="4" t="n">
        <f aca="false">G224*H224*(1-J224)</f>
        <v>584.87</v>
      </c>
      <c r="L224" s="4" t="n">
        <f aca="false">G224*I224</f>
        <v>234</v>
      </c>
      <c r="M224" s="4" t="n">
        <f aca="false">K224-L224</f>
        <v>350.87</v>
      </c>
      <c r="N224" s="6" t="n">
        <f aca="false">IF(K224=0,0,M224/K224)</f>
        <v>0.599911091353634</v>
      </c>
      <c r="O224" s="4" t="n">
        <f aca="false">(G224*H224)-K224</f>
        <v>0</v>
      </c>
      <c r="P224" s="3" t="s">
        <v>21</v>
      </c>
    </row>
    <row r="225" customFormat="false" ht="15" hidden="false" customHeight="false" outlineLevel="0" collapsed="false">
      <c r="A225" s="7" t="n">
        <v>46083</v>
      </c>
      <c r="B225" s="8" t="s">
        <v>37</v>
      </c>
      <c r="C225" s="8" t="s">
        <v>17</v>
      </c>
      <c r="D225" s="8" t="s">
        <v>35</v>
      </c>
      <c r="E225" s="8" t="s">
        <v>36</v>
      </c>
      <c r="F225" s="8" t="s">
        <v>26</v>
      </c>
      <c r="G225" s="8" t="n">
        <v>29</v>
      </c>
      <c r="H225" s="9" t="n">
        <v>69.99</v>
      </c>
      <c r="I225" s="9" t="n">
        <v>30</v>
      </c>
      <c r="J225" s="10" t="n">
        <v>0</v>
      </c>
      <c r="K225" s="9" t="n">
        <f aca="false">G225*H225*(1-J225)</f>
        <v>2029.71</v>
      </c>
      <c r="L225" s="9" t="n">
        <f aca="false">G225*I225</f>
        <v>870</v>
      </c>
      <c r="M225" s="9" t="n">
        <f aca="false">K225-L225</f>
        <v>1159.71</v>
      </c>
      <c r="N225" s="11" t="n">
        <f aca="false">IF(K225=0,0,M225/K225)</f>
        <v>0.57136733819117</v>
      </c>
      <c r="O225" s="9" t="n">
        <f aca="false">(G225*H225)-K225</f>
        <v>0</v>
      </c>
      <c r="P225" s="8" t="s">
        <v>21</v>
      </c>
    </row>
    <row r="226" customFormat="false" ht="15" hidden="false" customHeight="false" outlineLevel="0" collapsed="false">
      <c r="A226" s="2" t="n">
        <v>46089</v>
      </c>
      <c r="B226" s="3" t="s">
        <v>58</v>
      </c>
      <c r="C226" s="3" t="s">
        <v>58</v>
      </c>
      <c r="D226" s="3" t="s">
        <v>70</v>
      </c>
      <c r="E226" s="3" t="s">
        <v>71</v>
      </c>
      <c r="F226" s="3" t="s">
        <v>20</v>
      </c>
      <c r="G226" s="3" t="n">
        <v>20</v>
      </c>
      <c r="H226" s="4" t="n">
        <v>49.99</v>
      </c>
      <c r="I226" s="4" t="n">
        <v>19</v>
      </c>
      <c r="J226" s="5" t="n">
        <v>0.2</v>
      </c>
      <c r="K226" s="4" t="n">
        <f aca="false">G226*H226*(1-J226)</f>
        <v>799.84</v>
      </c>
      <c r="L226" s="4" t="n">
        <f aca="false">G226*I226</f>
        <v>380</v>
      </c>
      <c r="M226" s="4" t="n">
        <f aca="false">K226-L226</f>
        <v>419.84</v>
      </c>
      <c r="N226" s="6" t="n">
        <f aca="false">IF(K226=0,0,M226/K226)</f>
        <v>0.524904980996199</v>
      </c>
      <c r="O226" s="4" t="n">
        <f aca="false">(G226*H226)-K226</f>
        <v>199.96</v>
      </c>
      <c r="P226" s="3" t="s">
        <v>21</v>
      </c>
    </row>
    <row r="227" customFormat="false" ht="15" hidden="false" customHeight="false" outlineLevel="0" collapsed="false">
      <c r="A227" s="7" t="n">
        <v>46125</v>
      </c>
      <c r="B227" s="8" t="s">
        <v>27</v>
      </c>
      <c r="C227" s="8" t="s">
        <v>28</v>
      </c>
      <c r="D227" s="8" t="s">
        <v>24</v>
      </c>
      <c r="E227" s="8" t="s">
        <v>25</v>
      </c>
      <c r="F227" s="8" t="s">
        <v>26</v>
      </c>
      <c r="G227" s="8" t="n">
        <v>6</v>
      </c>
      <c r="H227" s="9" t="n">
        <v>15.11</v>
      </c>
      <c r="I227" s="9" t="n">
        <v>24</v>
      </c>
      <c r="J227" s="10" t="n">
        <v>0</v>
      </c>
      <c r="K227" s="9" t="n">
        <f aca="false">G227*H227*(1-J227)</f>
        <v>90.66</v>
      </c>
      <c r="L227" s="9" t="n">
        <f aca="false">G227*I227</f>
        <v>144</v>
      </c>
      <c r="M227" s="9" t="n">
        <f aca="false">K227-L227</f>
        <v>-53.34</v>
      </c>
      <c r="N227" s="11" t="n">
        <f aca="false">IF(K227=0,0,M227/K227)</f>
        <v>-0.588352084712111</v>
      </c>
      <c r="O227" s="9" t="n">
        <f aca="false">(G227*H227)-K227</f>
        <v>0</v>
      </c>
      <c r="P227" s="15" t="s">
        <v>98</v>
      </c>
    </row>
    <row r="228" customFormat="false" ht="15" hidden="false" customHeight="false" outlineLevel="0" collapsed="false">
      <c r="A228" s="2" t="n">
        <v>46121</v>
      </c>
      <c r="B228" s="3" t="s">
        <v>37</v>
      </c>
      <c r="C228" s="3" t="s">
        <v>17</v>
      </c>
      <c r="D228" s="3" t="s">
        <v>95</v>
      </c>
      <c r="E228" s="3" t="s">
        <v>96</v>
      </c>
      <c r="F228" s="3" t="s">
        <v>50</v>
      </c>
      <c r="G228" s="3" t="n">
        <v>15</v>
      </c>
      <c r="H228" s="4" t="n">
        <v>34.99</v>
      </c>
      <c r="I228" s="4" t="n">
        <v>12</v>
      </c>
      <c r="J228" s="5" t="n">
        <v>0</v>
      </c>
      <c r="K228" s="4" t="n">
        <f aca="false">G228*H228*(1-J228)</f>
        <v>524.85</v>
      </c>
      <c r="L228" s="4" t="n">
        <f aca="false">G228*I228</f>
        <v>180</v>
      </c>
      <c r="M228" s="4" t="n">
        <f aca="false">K228-L228</f>
        <v>344.85</v>
      </c>
      <c r="N228" s="6" t="n">
        <f aca="false">IF(K228=0,0,M228/K228)</f>
        <v>0.657044869962847</v>
      </c>
      <c r="O228" s="4" t="n">
        <f aca="false">(G228*H228)-K228</f>
        <v>0</v>
      </c>
      <c r="P228" s="3" t="s">
        <v>21</v>
      </c>
    </row>
    <row r="229" customFormat="false" ht="15" hidden="false" customHeight="false" outlineLevel="0" collapsed="false">
      <c r="A229" s="7" t="n">
        <v>46076</v>
      </c>
      <c r="B229" s="8" t="s">
        <v>22</v>
      </c>
      <c r="C229" s="8" t="s">
        <v>23</v>
      </c>
      <c r="D229" s="8" t="s">
        <v>42</v>
      </c>
      <c r="E229" s="8" t="s">
        <v>43</v>
      </c>
      <c r="F229" s="8" t="s">
        <v>34</v>
      </c>
      <c r="G229" s="8" t="n">
        <v>21</v>
      </c>
      <c r="H229" s="9" t="n">
        <v>11.99</v>
      </c>
      <c r="I229" s="9" t="n">
        <v>3.5</v>
      </c>
      <c r="J229" s="10" t="n">
        <v>0.25</v>
      </c>
      <c r="K229" s="9" t="n">
        <f aca="false">G229*H229*(1-J229)</f>
        <v>188.8425</v>
      </c>
      <c r="L229" s="9" t="n">
        <f aca="false">G229*I229</f>
        <v>73.5</v>
      </c>
      <c r="M229" s="9" t="n">
        <f aca="false">K229-L229</f>
        <v>115.3425</v>
      </c>
      <c r="N229" s="11" t="n">
        <f aca="false">IF(K229=0,0,M229/K229)</f>
        <v>0.61078676675007</v>
      </c>
      <c r="O229" s="9" t="n">
        <f aca="false">(G229*H229)-K229</f>
        <v>62.9475</v>
      </c>
      <c r="P229" s="8" t="s">
        <v>21</v>
      </c>
    </row>
    <row r="230" customFormat="false" ht="15" hidden="false" customHeight="false" outlineLevel="0" collapsed="false">
      <c r="A230" s="2" t="n">
        <v>46041</v>
      </c>
      <c r="B230" s="3" t="s">
        <v>22</v>
      </c>
      <c r="C230" s="3" t="s">
        <v>23</v>
      </c>
      <c r="D230" s="3" t="s">
        <v>38</v>
      </c>
      <c r="E230" s="3" t="s">
        <v>39</v>
      </c>
      <c r="F230" s="3" t="s">
        <v>40</v>
      </c>
      <c r="G230" s="3" t="n">
        <v>4</v>
      </c>
      <c r="H230" s="4" t="n">
        <v>12.99</v>
      </c>
      <c r="I230" s="4" t="n">
        <v>4</v>
      </c>
      <c r="J230" s="5" t="n">
        <v>0.25</v>
      </c>
      <c r="K230" s="4" t="n">
        <f aca="false">G230*H230*(1-J230)</f>
        <v>38.97</v>
      </c>
      <c r="L230" s="4" t="n">
        <f aca="false">G230*I230</f>
        <v>16</v>
      </c>
      <c r="M230" s="4" t="n">
        <f aca="false">K230-L230</f>
        <v>22.97</v>
      </c>
      <c r="N230" s="6" t="n">
        <f aca="false">IF(K230=0,0,M230/K230)</f>
        <v>0.589427764947396</v>
      </c>
      <c r="O230" s="4" t="n">
        <f aca="false">(G230*H230)-K230</f>
        <v>12.99</v>
      </c>
      <c r="P230" s="3" t="s">
        <v>21</v>
      </c>
    </row>
    <row r="231" customFormat="false" ht="15" hidden="false" customHeight="false" outlineLevel="0" collapsed="false">
      <c r="A231" s="7" t="n">
        <v>46067</v>
      </c>
      <c r="B231" s="8" t="s">
        <v>16</v>
      </c>
      <c r="C231" s="8" t="s">
        <v>17</v>
      </c>
      <c r="D231" s="8" t="s">
        <v>86</v>
      </c>
      <c r="E231" s="8" t="s">
        <v>87</v>
      </c>
      <c r="F231" s="8" t="s">
        <v>40</v>
      </c>
      <c r="G231" s="8" t="n">
        <v>27</v>
      </c>
      <c r="H231" s="9" t="n">
        <v>16.99</v>
      </c>
      <c r="I231" s="9" t="n">
        <v>5.5</v>
      </c>
      <c r="J231" s="10" t="n">
        <v>0.2</v>
      </c>
      <c r="K231" s="9" t="n">
        <f aca="false">G231*H231*(1-J231)</f>
        <v>366.984</v>
      </c>
      <c r="L231" s="9" t="n">
        <f aca="false">G231*I231</f>
        <v>148.5</v>
      </c>
      <c r="M231" s="9" t="n">
        <f aca="false">K231-L231</f>
        <v>218.484</v>
      </c>
      <c r="N231" s="11" t="n">
        <f aca="false">IF(K231=0,0,M231/K231)</f>
        <v>0.595350206003532</v>
      </c>
      <c r="O231" s="9" t="n">
        <f aca="false">(G231*H231)-K231</f>
        <v>91.746</v>
      </c>
      <c r="P231" s="8" t="s">
        <v>21</v>
      </c>
    </row>
    <row r="232" customFormat="false" ht="15" hidden="false" customHeight="false" outlineLevel="0" collapsed="false">
      <c r="A232" s="2" t="n">
        <v>46069</v>
      </c>
      <c r="B232" s="3" t="s">
        <v>41</v>
      </c>
      <c r="C232" s="3" t="s">
        <v>28</v>
      </c>
      <c r="D232" s="3" t="s">
        <v>70</v>
      </c>
      <c r="E232" s="3" t="s">
        <v>71</v>
      </c>
      <c r="F232" s="3" t="s">
        <v>20</v>
      </c>
      <c r="G232" s="3" t="n">
        <v>13</v>
      </c>
      <c r="H232" s="4" t="n">
        <v>49.99</v>
      </c>
      <c r="I232" s="4" t="n">
        <v>19</v>
      </c>
      <c r="J232" s="5" t="n">
        <v>0.25</v>
      </c>
      <c r="K232" s="4" t="n">
        <f aca="false">G232*H232*(1-J232)</f>
        <v>487.4025</v>
      </c>
      <c r="L232" s="4" t="n">
        <f aca="false">G232*I232</f>
        <v>247</v>
      </c>
      <c r="M232" s="4" t="n">
        <f aca="false">K232-L232</f>
        <v>240.4025</v>
      </c>
      <c r="N232" s="6" t="n">
        <f aca="false">IF(K232=0,0,M232/K232)</f>
        <v>0.493231979729279</v>
      </c>
      <c r="O232" s="4" t="n">
        <f aca="false">(G232*H232)-K232</f>
        <v>162.4675</v>
      </c>
      <c r="P232" s="3" t="s">
        <v>21</v>
      </c>
    </row>
    <row r="233" customFormat="false" ht="15" hidden="false" customHeight="false" outlineLevel="0" collapsed="false">
      <c r="A233" s="7" t="n">
        <v>46066</v>
      </c>
      <c r="B233" s="8" t="s">
        <v>64</v>
      </c>
      <c r="C233" s="8" t="s">
        <v>65</v>
      </c>
      <c r="D233" s="8" t="s">
        <v>42</v>
      </c>
      <c r="E233" s="8" t="s">
        <v>43</v>
      </c>
      <c r="F233" s="8" t="s">
        <v>34</v>
      </c>
      <c r="G233" s="8" t="n">
        <v>11</v>
      </c>
      <c r="H233" s="9" t="n">
        <v>11.99</v>
      </c>
      <c r="I233" s="9" t="n">
        <v>3.5</v>
      </c>
      <c r="J233" s="10" t="n">
        <v>0</v>
      </c>
      <c r="K233" s="9" t="n">
        <f aca="false">G233*H233*(1-J233)</f>
        <v>131.89</v>
      </c>
      <c r="L233" s="9" t="n">
        <f aca="false">G233*I233</f>
        <v>38.5</v>
      </c>
      <c r="M233" s="9" t="n">
        <f aca="false">K233-L233</f>
        <v>93.39</v>
      </c>
      <c r="N233" s="11" t="n">
        <f aca="false">IF(K233=0,0,M233/K233)</f>
        <v>0.708090075062552</v>
      </c>
      <c r="O233" s="9" t="n">
        <f aca="false">(G233*H233)-K233</f>
        <v>0</v>
      </c>
      <c r="P233" s="8" t="s">
        <v>21</v>
      </c>
    </row>
    <row r="234" customFormat="false" ht="15" hidden="false" customHeight="false" outlineLevel="0" collapsed="false">
      <c r="A234" s="2" t="n">
        <v>46077</v>
      </c>
      <c r="B234" s="3" t="s">
        <v>64</v>
      </c>
      <c r="C234" s="3" t="s">
        <v>65</v>
      </c>
      <c r="D234" s="3" t="s">
        <v>35</v>
      </c>
      <c r="E234" s="3" t="s">
        <v>36</v>
      </c>
      <c r="F234" s="3" t="s">
        <v>26</v>
      </c>
      <c r="G234" s="3" t="n">
        <v>1</v>
      </c>
      <c r="H234" s="4" t="n">
        <v>69.99</v>
      </c>
      <c r="I234" s="4" t="n">
        <v>30</v>
      </c>
      <c r="J234" s="5" t="n">
        <v>0.15</v>
      </c>
      <c r="K234" s="4" t="n">
        <f aca="false">G234*H234*(1-J234)</f>
        <v>59.4915</v>
      </c>
      <c r="L234" s="4" t="n">
        <f aca="false">G234*I234</f>
        <v>30</v>
      </c>
      <c r="M234" s="4" t="n">
        <f aca="false">K234-L234</f>
        <v>29.4915</v>
      </c>
      <c r="N234" s="6" t="n">
        <f aca="false">IF(K234=0,0,M234/K234)</f>
        <v>0.495726280224906</v>
      </c>
      <c r="O234" s="4" t="n">
        <f aca="false">(G234*H234)-K234</f>
        <v>10.4985</v>
      </c>
      <c r="P234" s="3" t="s">
        <v>21</v>
      </c>
    </row>
    <row r="235" customFormat="false" ht="15" hidden="false" customHeight="false" outlineLevel="0" collapsed="false">
      <c r="A235" s="7" t="n">
        <v>46066</v>
      </c>
      <c r="B235" s="8" t="s">
        <v>64</v>
      </c>
      <c r="C235" s="8" t="s">
        <v>65</v>
      </c>
      <c r="D235" s="8" t="s">
        <v>35</v>
      </c>
      <c r="E235" s="8" t="s">
        <v>36</v>
      </c>
      <c r="F235" s="8" t="s">
        <v>26</v>
      </c>
      <c r="G235" s="8" t="n">
        <v>25</v>
      </c>
      <c r="H235" s="9" t="n">
        <v>69.99</v>
      </c>
      <c r="I235" s="9" t="n">
        <v>30</v>
      </c>
      <c r="J235" s="10" t="n">
        <v>0.1</v>
      </c>
      <c r="K235" s="9" t="n">
        <f aca="false">G235*H235*(1-J235)</f>
        <v>1574.775</v>
      </c>
      <c r="L235" s="9" t="n">
        <f aca="false">G235*I235</f>
        <v>750</v>
      </c>
      <c r="M235" s="9" t="n">
        <f aca="false">K235-L235</f>
        <v>824.775</v>
      </c>
      <c r="N235" s="11" t="n">
        <f aca="false">IF(K235=0,0,M235/K235)</f>
        <v>0.523741486879078</v>
      </c>
      <c r="O235" s="9" t="n">
        <f aca="false">(G235*H235)-K235</f>
        <v>174.975</v>
      </c>
      <c r="P235" s="8" t="s">
        <v>21</v>
      </c>
    </row>
    <row r="236" customFormat="false" ht="15" hidden="false" customHeight="false" outlineLevel="0" collapsed="false">
      <c r="A236" s="2" t="n">
        <v>46099</v>
      </c>
      <c r="B236" s="3" t="s">
        <v>41</v>
      </c>
      <c r="C236" s="3" t="s">
        <v>28</v>
      </c>
      <c r="D236" s="3" t="s">
        <v>95</v>
      </c>
      <c r="E236" s="3" t="s">
        <v>96</v>
      </c>
      <c r="F236" s="3" t="s">
        <v>50</v>
      </c>
      <c r="G236" s="3" t="n">
        <v>29</v>
      </c>
      <c r="H236" s="4" t="n">
        <v>34.99</v>
      </c>
      <c r="I236" s="4" t="n">
        <v>12</v>
      </c>
      <c r="J236" s="5" t="n">
        <v>0.3</v>
      </c>
      <c r="K236" s="4" t="n">
        <f aca="false">G236*H236*(1-J236)</f>
        <v>710.297</v>
      </c>
      <c r="L236" s="4" t="n">
        <f aca="false">G236*I236</f>
        <v>348</v>
      </c>
      <c r="M236" s="4" t="n">
        <f aca="false">K236-L236</f>
        <v>362.297</v>
      </c>
      <c r="N236" s="6" t="n">
        <f aca="false">IF(K236=0,0,M236/K236)</f>
        <v>0.510064099946924</v>
      </c>
      <c r="O236" s="4" t="n">
        <f aca="false">(G236*H236)-K236</f>
        <v>304.413</v>
      </c>
      <c r="P236" s="3" t="s">
        <v>21</v>
      </c>
    </row>
    <row r="237" customFormat="false" ht="15" hidden="false" customHeight="false" outlineLevel="0" collapsed="false">
      <c r="A237" s="7" t="n">
        <v>46079</v>
      </c>
      <c r="B237" s="8" t="s">
        <v>22</v>
      </c>
      <c r="C237" s="8" t="s">
        <v>23</v>
      </c>
      <c r="D237" s="8" t="s">
        <v>66</v>
      </c>
      <c r="E237" s="8" t="s">
        <v>67</v>
      </c>
      <c r="F237" s="8" t="s">
        <v>57</v>
      </c>
      <c r="G237" s="8" t="n">
        <v>30</v>
      </c>
      <c r="H237" s="9" t="n">
        <v>14.99</v>
      </c>
      <c r="I237" s="9" t="n">
        <v>5.5</v>
      </c>
      <c r="J237" s="10" t="n">
        <v>0</v>
      </c>
      <c r="K237" s="9" t="n">
        <f aca="false">G237*H237*(1-J237)</f>
        <v>449.7</v>
      </c>
      <c r="L237" s="9" t="n">
        <f aca="false">G237*I237</f>
        <v>165</v>
      </c>
      <c r="M237" s="9" t="n">
        <f aca="false">K237-L237</f>
        <v>284.7</v>
      </c>
      <c r="N237" s="11" t="n">
        <f aca="false">IF(K237=0,0,M237/K237)</f>
        <v>0.633088725817211</v>
      </c>
      <c r="O237" s="9" t="n">
        <f aca="false">(G237*H237)-K237</f>
        <v>0</v>
      </c>
      <c r="P237" s="8" t="s">
        <v>21</v>
      </c>
    </row>
    <row r="238" customFormat="false" ht="15" hidden="false" customHeight="false" outlineLevel="0" collapsed="false">
      <c r="A238" s="2" t="n">
        <v>46046</v>
      </c>
      <c r="B238" s="3" t="s">
        <v>58</v>
      </c>
      <c r="C238" s="3" t="s">
        <v>58</v>
      </c>
      <c r="D238" s="3" t="s">
        <v>24</v>
      </c>
      <c r="E238" s="3" t="s">
        <v>25</v>
      </c>
      <c r="F238" s="3" t="s">
        <v>26</v>
      </c>
      <c r="G238" s="3" t="n">
        <v>22</v>
      </c>
      <c r="H238" s="4" t="n">
        <v>54.99</v>
      </c>
      <c r="I238" s="4" t="n">
        <v>24</v>
      </c>
      <c r="J238" s="5" t="n">
        <v>0.15</v>
      </c>
      <c r="K238" s="4" t="n">
        <f aca="false">G238*H238*(1-J238)</f>
        <v>1028.313</v>
      </c>
      <c r="L238" s="4" t="n">
        <f aca="false">G238*I238</f>
        <v>528</v>
      </c>
      <c r="M238" s="4" t="n">
        <f aca="false">K238-L238</f>
        <v>500.313</v>
      </c>
      <c r="N238" s="6" t="n">
        <f aca="false">IF(K238=0,0,M238/K238)</f>
        <v>0.486537659253554</v>
      </c>
      <c r="O238" s="4" t="n">
        <f aca="false">(G238*H238)-K238</f>
        <v>181.467</v>
      </c>
      <c r="P238" s="3" t="s">
        <v>21</v>
      </c>
    </row>
    <row r="239" customFormat="false" ht="15" hidden="false" customHeight="false" outlineLevel="0" collapsed="false">
      <c r="A239" s="7" t="n">
        <v>46132</v>
      </c>
      <c r="B239" s="8" t="s">
        <v>27</v>
      </c>
      <c r="C239" s="8" t="s">
        <v>28</v>
      </c>
      <c r="D239" s="8" t="s">
        <v>53</v>
      </c>
      <c r="E239" s="8" t="s">
        <v>54</v>
      </c>
      <c r="F239" s="8" t="s">
        <v>50</v>
      </c>
      <c r="G239" s="8" t="n">
        <v>17</v>
      </c>
      <c r="H239" s="9" t="n">
        <v>22.99</v>
      </c>
      <c r="I239" s="9" t="n">
        <v>8</v>
      </c>
      <c r="J239" s="10" t="n">
        <v>0</v>
      </c>
      <c r="K239" s="9" t="n">
        <f aca="false">G239*H239*(1-J239)</f>
        <v>390.83</v>
      </c>
      <c r="L239" s="9" t="n">
        <f aca="false">G239*I239</f>
        <v>136</v>
      </c>
      <c r="M239" s="9" t="n">
        <f aca="false">K239-L239</f>
        <v>254.83</v>
      </c>
      <c r="N239" s="11" t="n">
        <f aca="false">IF(K239=0,0,M239/K239)</f>
        <v>0.652022618529796</v>
      </c>
      <c r="O239" s="9" t="n">
        <f aca="false">(G239*H239)-K239</f>
        <v>0</v>
      </c>
      <c r="P239" s="8" t="s">
        <v>21</v>
      </c>
    </row>
    <row r="240" customFormat="false" ht="15" hidden="false" customHeight="false" outlineLevel="0" collapsed="false">
      <c r="A240" s="2" t="n">
        <v>46048</v>
      </c>
      <c r="B240" s="3" t="s">
        <v>64</v>
      </c>
      <c r="C240" s="3" t="s">
        <v>65</v>
      </c>
      <c r="D240" s="3" t="s">
        <v>55</v>
      </c>
      <c r="E240" s="3" t="s">
        <v>56</v>
      </c>
      <c r="F240" s="3" t="s">
        <v>57</v>
      </c>
      <c r="G240" s="3" t="n">
        <v>2</v>
      </c>
      <c r="H240" s="4" t="n">
        <v>29.99</v>
      </c>
      <c r="I240" s="4" t="n">
        <v>11</v>
      </c>
      <c r="J240" s="5" t="n">
        <v>0</v>
      </c>
      <c r="K240" s="4" t="n">
        <f aca="false">G240*H240*(1-J240)</f>
        <v>59.98</v>
      </c>
      <c r="L240" s="4" t="n">
        <f aca="false">G240*I240</f>
        <v>22</v>
      </c>
      <c r="M240" s="4" t="n">
        <f aca="false">K240-L240</f>
        <v>37.98</v>
      </c>
      <c r="N240" s="6" t="n">
        <f aca="false">IF(K240=0,0,M240/K240)</f>
        <v>0.633211070356786</v>
      </c>
      <c r="O240" s="4" t="n">
        <f aca="false">(G240*H240)-K240</f>
        <v>0</v>
      </c>
      <c r="P240" s="3" t="s">
        <v>21</v>
      </c>
    </row>
    <row r="241" customFormat="false" ht="15" hidden="false" customHeight="false" outlineLevel="0" collapsed="false">
      <c r="A241" s="7" t="n">
        <v>46106</v>
      </c>
      <c r="B241" s="8" t="s">
        <v>37</v>
      </c>
      <c r="C241" s="8" t="s">
        <v>17</v>
      </c>
      <c r="D241" s="8" t="s">
        <v>48</v>
      </c>
      <c r="E241" s="8" t="s">
        <v>49</v>
      </c>
      <c r="F241" s="8" t="s">
        <v>50</v>
      </c>
      <c r="G241" s="8" t="n">
        <v>20</v>
      </c>
      <c r="H241" s="9" t="n">
        <v>59.99</v>
      </c>
      <c r="I241" s="9" t="n">
        <v>20</v>
      </c>
      <c r="J241" s="10" t="n">
        <v>0.15</v>
      </c>
      <c r="K241" s="9" t="n">
        <f aca="false">G241*H241*(1-J241)</f>
        <v>1019.83</v>
      </c>
      <c r="L241" s="9" t="n">
        <f aca="false">G241*I241</f>
        <v>400</v>
      </c>
      <c r="M241" s="9" t="n">
        <f aca="false">K241-L241</f>
        <v>619.83</v>
      </c>
      <c r="N241" s="11" t="n">
        <f aca="false">IF(K241=0,0,M241/K241)</f>
        <v>0.607777766882716</v>
      </c>
      <c r="O241" s="9" t="n">
        <f aca="false">(G241*H241)-K241</f>
        <v>179.97</v>
      </c>
      <c r="P241" s="8" t="s">
        <v>21</v>
      </c>
    </row>
    <row r="242" customFormat="false" ht="15" hidden="false" customHeight="false" outlineLevel="0" collapsed="false">
      <c r="A242" s="2" t="n">
        <v>46029</v>
      </c>
      <c r="B242" s="3" t="s">
        <v>27</v>
      </c>
      <c r="C242" s="3" t="s">
        <v>28</v>
      </c>
      <c r="D242" s="3" t="s">
        <v>66</v>
      </c>
      <c r="E242" s="3" t="s">
        <v>67</v>
      </c>
      <c r="F242" s="3" t="s">
        <v>57</v>
      </c>
      <c r="G242" s="3" t="n">
        <v>26</v>
      </c>
      <c r="H242" s="4" t="n">
        <v>14.99</v>
      </c>
      <c r="I242" s="4" t="n">
        <v>5.5</v>
      </c>
      <c r="J242" s="5" t="n">
        <v>0.25</v>
      </c>
      <c r="K242" s="4" t="n">
        <f aca="false">G242*H242*(1-J242)</f>
        <v>292.305</v>
      </c>
      <c r="L242" s="4" t="n">
        <f aca="false">G242*I242</f>
        <v>143</v>
      </c>
      <c r="M242" s="4" t="n">
        <f aca="false">K242-L242</f>
        <v>149.305</v>
      </c>
      <c r="N242" s="6" t="n">
        <f aca="false">IF(K242=0,0,M242/K242)</f>
        <v>0.510784967756282</v>
      </c>
      <c r="O242" s="4" t="n">
        <f aca="false">(G242*H242)-K242</f>
        <v>97.435</v>
      </c>
      <c r="P242" s="3" t="s">
        <v>21</v>
      </c>
    </row>
    <row r="243" customFormat="false" ht="15" hidden="false" customHeight="false" outlineLevel="0" collapsed="false">
      <c r="A243" s="7" t="n">
        <v>46129</v>
      </c>
      <c r="B243" s="8" t="s">
        <v>27</v>
      </c>
      <c r="C243" s="8" t="s">
        <v>28</v>
      </c>
      <c r="D243" s="8" t="s">
        <v>42</v>
      </c>
      <c r="E243" s="8" t="s">
        <v>43</v>
      </c>
      <c r="F243" s="8" t="s">
        <v>34</v>
      </c>
      <c r="G243" s="8" t="n">
        <v>26</v>
      </c>
      <c r="H243" s="9" t="n">
        <v>11.99</v>
      </c>
      <c r="I243" s="9" t="n">
        <v>3.5</v>
      </c>
      <c r="J243" s="10" t="n">
        <v>0</v>
      </c>
      <c r="K243" s="9" t="n">
        <f aca="false">G243*H243*(1-J243)</f>
        <v>311.74</v>
      </c>
      <c r="L243" s="9" t="n">
        <f aca="false">G243*I243</f>
        <v>91</v>
      </c>
      <c r="M243" s="9" t="n">
        <f aca="false">K243-L243</f>
        <v>220.74</v>
      </c>
      <c r="N243" s="11" t="n">
        <f aca="false">IF(K243=0,0,M243/K243)</f>
        <v>0.708090075062552</v>
      </c>
      <c r="O243" s="9" t="n">
        <f aca="false">(G243*H243)-K243</f>
        <v>0</v>
      </c>
      <c r="P243" s="8" t="s">
        <v>21</v>
      </c>
    </row>
    <row r="244" customFormat="false" ht="15" hidden="false" customHeight="false" outlineLevel="0" collapsed="false">
      <c r="A244" s="2" t="n">
        <v>46025</v>
      </c>
      <c r="B244" s="3" t="s">
        <v>31</v>
      </c>
      <c r="C244" s="3" t="s">
        <v>23</v>
      </c>
      <c r="D244" s="3" t="s">
        <v>48</v>
      </c>
      <c r="E244" s="3" t="s">
        <v>49</v>
      </c>
      <c r="F244" s="3" t="s">
        <v>50</v>
      </c>
      <c r="G244" s="3" t="n">
        <v>2</v>
      </c>
      <c r="H244" s="4" t="n">
        <v>54.99</v>
      </c>
      <c r="I244" s="4" t="n">
        <v>20</v>
      </c>
      <c r="J244" s="5" t="n">
        <v>0.1</v>
      </c>
      <c r="K244" s="4" t="n">
        <f aca="false">G244*H244*(1-J244)</f>
        <v>98.982</v>
      </c>
      <c r="L244" s="4" t="n">
        <f aca="false">G244*I244</f>
        <v>40</v>
      </c>
      <c r="M244" s="4" t="n">
        <f aca="false">K244-L244</f>
        <v>58.982</v>
      </c>
      <c r="N244" s="6" t="n">
        <f aca="false">IF(K244=0,0,M244/K244)</f>
        <v>0.595886120708816</v>
      </c>
      <c r="O244" s="4" t="n">
        <f aca="false">(G244*H244)-K244</f>
        <v>10.998</v>
      </c>
      <c r="P244" s="3" t="s">
        <v>21</v>
      </c>
    </row>
    <row r="245" customFormat="false" ht="15" hidden="false" customHeight="false" outlineLevel="0" collapsed="false">
      <c r="A245" s="7" t="n">
        <v>46063</v>
      </c>
      <c r="B245" s="8" t="s">
        <v>64</v>
      </c>
      <c r="C245" s="8" t="s">
        <v>65</v>
      </c>
      <c r="D245" s="8" t="s">
        <v>78</v>
      </c>
      <c r="E245" s="8" t="s">
        <v>79</v>
      </c>
      <c r="F245" s="8" t="s">
        <v>20</v>
      </c>
      <c r="G245" s="8" t="n">
        <v>19</v>
      </c>
      <c r="H245" s="9" t="n">
        <v>39.99</v>
      </c>
      <c r="I245" s="9" t="n">
        <v>16</v>
      </c>
      <c r="J245" s="10" t="n">
        <v>0</v>
      </c>
      <c r="K245" s="9" t="n">
        <f aca="false">G245*H245*(1-J245)</f>
        <v>759.81</v>
      </c>
      <c r="L245" s="9" t="n">
        <f aca="false">G245*I245</f>
        <v>304</v>
      </c>
      <c r="M245" s="9" t="n">
        <f aca="false">K245-L245</f>
        <v>455.81</v>
      </c>
      <c r="N245" s="11" t="n">
        <f aca="false">IF(K245=0,0,M245/K245)</f>
        <v>0.599899974993749</v>
      </c>
      <c r="O245" s="9" t="n">
        <f aca="false">(G245*H245)-K245</f>
        <v>0</v>
      </c>
      <c r="P245" s="8" t="s">
        <v>21</v>
      </c>
    </row>
    <row r="246" customFormat="false" ht="15" hidden="false" customHeight="false" outlineLevel="0" collapsed="false">
      <c r="A246" s="2" t="n">
        <v>46093</v>
      </c>
      <c r="B246" s="3" t="s">
        <v>16</v>
      </c>
      <c r="C246" s="3" t="s">
        <v>17</v>
      </c>
      <c r="D246" s="3" t="s">
        <v>35</v>
      </c>
      <c r="E246" s="3" t="s">
        <v>36</v>
      </c>
      <c r="F246" s="3" t="s">
        <v>26</v>
      </c>
      <c r="G246" s="3" t="n">
        <v>17</v>
      </c>
      <c r="H246" s="4" t="n">
        <v>69.99</v>
      </c>
      <c r="I246" s="4" t="n">
        <v>30</v>
      </c>
      <c r="J246" s="5" t="n">
        <v>0.25</v>
      </c>
      <c r="K246" s="4" t="n">
        <f aca="false">G246*H246*(1-J246)</f>
        <v>892.3725</v>
      </c>
      <c r="L246" s="4" t="n">
        <f aca="false">G246*I246</f>
        <v>510</v>
      </c>
      <c r="M246" s="4" t="n">
        <f aca="false">K246-L246</f>
        <v>382.3725</v>
      </c>
      <c r="N246" s="6" t="n">
        <f aca="false">IF(K246=0,0,M246/K246)</f>
        <v>0.428489784254894</v>
      </c>
      <c r="O246" s="4" t="n">
        <f aca="false">(G246*H246)-K246</f>
        <v>297.4575</v>
      </c>
      <c r="P246" s="3" t="s">
        <v>21</v>
      </c>
    </row>
    <row r="247" customFormat="false" ht="15" hidden="false" customHeight="false" outlineLevel="0" collapsed="false">
      <c r="A247" s="7" t="n">
        <v>46062</v>
      </c>
      <c r="B247" s="8" t="s">
        <v>22</v>
      </c>
      <c r="C247" s="8" t="s">
        <v>23</v>
      </c>
      <c r="D247" s="8" t="s">
        <v>48</v>
      </c>
      <c r="E247" s="8" t="s">
        <v>49</v>
      </c>
      <c r="F247" s="8" t="s">
        <v>50</v>
      </c>
      <c r="G247" s="8" t="n">
        <v>6</v>
      </c>
      <c r="H247" s="9" t="n">
        <v>54.99</v>
      </c>
      <c r="I247" s="9" t="n">
        <v>20</v>
      </c>
      <c r="J247" s="10" t="n">
        <v>0</v>
      </c>
      <c r="K247" s="9" t="n">
        <f aca="false">G247*H247*(1-J247)</f>
        <v>329.94</v>
      </c>
      <c r="L247" s="9" t="n">
        <f aca="false">G247*I247</f>
        <v>120</v>
      </c>
      <c r="M247" s="9" t="n">
        <f aca="false">K247-L247</f>
        <v>209.94</v>
      </c>
      <c r="N247" s="11" t="n">
        <f aca="false">IF(K247=0,0,M247/K247)</f>
        <v>0.636297508637934</v>
      </c>
      <c r="O247" s="9" t="n">
        <f aca="false">(G247*H247)-K247</f>
        <v>0</v>
      </c>
      <c r="P247" s="8" t="s">
        <v>21</v>
      </c>
    </row>
    <row r="248" customFormat="false" ht="15" hidden="false" customHeight="false" outlineLevel="0" collapsed="false">
      <c r="A248" s="2" t="n">
        <v>46102</v>
      </c>
      <c r="B248" s="3" t="s">
        <v>58</v>
      </c>
      <c r="C248" s="3" t="s">
        <v>58</v>
      </c>
      <c r="D248" s="3" t="s">
        <v>74</v>
      </c>
      <c r="E248" s="3" t="s">
        <v>75</v>
      </c>
      <c r="F248" s="3" t="s">
        <v>40</v>
      </c>
      <c r="G248" s="3" t="n">
        <v>335</v>
      </c>
      <c r="H248" s="4" t="n">
        <v>29.99</v>
      </c>
      <c r="I248" s="4" t="n">
        <v>13</v>
      </c>
      <c r="J248" s="5" t="n">
        <v>0</v>
      </c>
      <c r="K248" s="4" t="n">
        <f aca="false">G248*H248*(1-J248)</f>
        <v>10046.65</v>
      </c>
      <c r="L248" s="4" t="n">
        <f aca="false">G248*I248</f>
        <v>4355</v>
      </c>
      <c r="M248" s="4" t="n">
        <f aca="false">K248-L248</f>
        <v>5691.65</v>
      </c>
      <c r="N248" s="6" t="n">
        <f aca="false">IF(K248=0,0,M248/K248)</f>
        <v>0.566522174058019</v>
      </c>
      <c r="O248" s="4" t="n">
        <f aca="false">(G248*H248)-K248</f>
        <v>0</v>
      </c>
      <c r="P248" s="13" t="s">
        <v>92</v>
      </c>
    </row>
    <row r="249" customFormat="false" ht="15" hidden="false" customHeight="false" outlineLevel="0" collapsed="false">
      <c r="A249" s="7" t="n">
        <v>46050</v>
      </c>
      <c r="B249" s="8" t="s">
        <v>27</v>
      </c>
      <c r="C249" s="8" t="s">
        <v>28</v>
      </c>
      <c r="D249" s="8" t="s">
        <v>29</v>
      </c>
      <c r="E249" s="8" t="s">
        <v>30</v>
      </c>
      <c r="F249" s="8" t="s">
        <v>20</v>
      </c>
      <c r="G249" s="8" t="n">
        <v>4</v>
      </c>
      <c r="H249" s="9" t="n">
        <v>89.99</v>
      </c>
      <c r="I249" s="9" t="n">
        <v>42</v>
      </c>
      <c r="J249" s="10" t="n">
        <v>0.1</v>
      </c>
      <c r="K249" s="9" t="n">
        <f aca="false">G249*H249*(1-J249)</f>
        <v>323.964</v>
      </c>
      <c r="L249" s="9" t="n">
        <f aca="false">G249*I249</f>
        <v>168</v>
      </c>
      <c r="M249" s="9" t="n">
        <f aca="false">K249-L249</f>
        <v>155.964</v>
      </c>
      <c r="N249" s="11" t="n">
        <f aca="false">IF(K249=0,0,M249/K249)</f>
        <v>0.481423861910583</v>
      </c>
      <c r="O249" s="9" t="n">
        <f aca="false">(G249*H249)-K249</f>
        <v>35.996</v>
      </c>
      <c r="P249" s="8" t="s">
        <v>21</v>
      </c>
    </row>
    <row r="250" customFormat="false" ht="15" hidden="false" customHeight="false" outlineLevel="0" collapsed="false">
      <c r="A250" s="2" t="n">
        <v>46040</v>
      </c>
      <c r="B250" s="3" t="s">
        <v>58</v>
      </c>
      <c r="C250" s="3" t="s">
        <v>58</v>
      </c>
      <c r="D250" s="3" t="s">
        <v>29</v>
      </c>
      <c r="E250" s="3" t="s">
        <v>30</v>
      </c>
      <c r="F250" s="3" t="s">
        <v>20</v>
      </c>
      <c r="G250" s="3" t="n">
        <v>2</v>
      </c>
      <c r="H250" s="4" t="n">
        <v>89.99</v>
      </c>
      <c r="I250" s="4" t="n">
        <v>42</v>
      </c>
      <c r="J250" s="5" t="n">
        <v>0.05</v>
      </c>
      <c r="K250" s="4" t="n">
        <f aca="false">G250*H250*(1-J250)</f>
        <v>170.981</v>
      </c>
      <c r="L250" s="4" t="n">
        <f aca="false">G250*I250</f>
        <v>84</v>
      </c>
      <c r="M250" s="4" t="n">
        <f aca="false">K250-L250</f>
        <v>86.981</v>
      </c>
      <c r="N250" s="6" t="n">
        <f aca="false">IF(K250=0,0,M250/K250)</f>
        <v>0.508717342862657</v>
      </c>
      <c r="O250" s="4" t="n">
        <f aca="false">(G250*H250)-K250</f>
        <v>8.999</v>
      </c>
      <c r="P250" s="3" t="s">
        <v>21</v>
      </c>
    </row>
    <row r="251" customFormat="false" ht="15" hidden="false" customHeight="false" outlineLevel="0" collapsed="false">
      <c r="A251" s="7" t="n">
        <v>46024</v>
      </c>
      <c r="B251" s="8" t="s">
        <v>64</v>
      </c>
      <c r="C251" s="8" t="s">
        <v>65</v>
      </c>
      <c r="D251" s="8" t="s">
        <v>74</v>
      </c>
      <c r="E251" s="8" t="s">
        <v>75</v>
      </c>
      <c r="F251" s="8" t="s">
        <v>40</v>
      </c>
      <c r="G251" s="8" t="n">
        <v>10</v>
      </c>
      <c r="H251" s="9" t="n">
        <v>34.99</v>
      </c>
      <c r="I251" s="9" t="n">
        <v>13</v>
      </c>
      <c r="J251" s="10" t="n">
        <v>0.25</v>
      </c>
      <c r="K251" s="9" t="n">
        <f aca="false">G251*H251*(1-J251)</f>
        <v>262.425</v>
      </c>
      <c r="L251" s="9" t="n">
        <f aca="false">G251*I251</f>
        <v>130</v>
      </c>
      <c r="M251" s="9" t="n">
        <f aca="false">K251-L251</f>
        <v>132.425</v>
      </c>
      <c r="N251" s="11" t="n">
        <f aca="false">IF(K251=0,0,M251/K251)</f>
        <v>0.504620367724112</v>
      </c>
      <c r="O251" s="9" t="n">
        <f aca="false">(G251*H251)-K251</f>
        <v>87.475</v>
      </c>
      <c r="P251" s="8" t="s">
        <v>21</v>
      </c>
    </row>
    <row r="252" customFormat="false" ht="15" hidden="false" customHeight="false" outlineLevel="0" collapsed="false">
      <c r="A252" s="2" t="n">
        <v>46092</v>
      </c>
      <c r="B252" s="3" t="s">
        <v>37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n">
        <v>13</v>
      </c>
      <c r="H252" s="4" t="n">
        <v>26.99</v>
      </c>
      <c r="I252" s="4" t="n">
        <v>10.5</v>
      </c>
      <c r="J252" s="5" t="n">
        <v>0.15</v>
      </c>
      <c r="K252" s="4" t="n">
        <f aca="false">G252*H252*(1-J252)</f>
        <v>298.2395</v>
      </c>
      <c r="L252" s="4" t="n">
        <f aca="false">G252*I252</f>
        <v>136.5</v>
      </c>
      <c r="M252" s="4" t="n">
        <f aca="false">K252-L252</f>
        <v>161.7395</v>
      </c>
      <c r="N252" s="6" t="n">
        <f aca="false">IF(K252=0,0,M252/K252)</f>
        <v>0.542314146851775</v>
      </c>
      <c r="O252" s="4" t="n">
        <f aca="false">(G252*H252)-K252</f>
        <v>52.6305</v>
      </c>
      <c r="P252" s="3" t="s">
        <v>21</v>
      </c>
    </row>
    <row r="253" customFormat="false" ht="15" hidden="false" customHeight="false" outlineLevel="0" collapsed="false">
      <c r="A253" s="7" t="n">
        <v>46096</v>
      </c>
      <c r="B253" s="8" t="s">
        <v>22</v>
      </c>
      <c r="C253" s="8" t="s">
        <v>23</v>
      </c>
      <c r="D253" s="8" t="s">
        <v>35</v>
      </c>
      <c r="E253" s="8" t="s">
        <v>36</v>
      </c>
      <c r="F253" s="8" t="s">
        <v>26</v>
      </c>
      <c r="G253" s="8" t="n">
        <v>25</v>
      </c>
      <c r="H253" s="9" t="n">
        <v>69.99</v>
      </c>
      <c r="I253" s="9" t="n">
        <v>30</v>
      </c>
      <c r="J253" s="10" t="n">
        <v>0.2</v>
      </c>
      <c r="K253" s="9" t="n">
        <f aca="false">G253*H253*(1-J253)</f>
        <v>1399.8</v>
      </c>
      <c r="L253" s="9" t="n">
        <f aca="false">G253*I253</f>
        <v>750</v>
      </c>
      <c r="M253" s="9" t="n">
        <f aca="false">K253-L253</f>
        <v>649.8</v>
      </c>
      <c r="N253" s="11" t="n">
        <f aca="false">IF(K253=0,0,M253/K253)</f>
        <v>0.464209172738963</v>
      </c>
      <c r="O253" s="9" t="n">
        <f aca="false">(G253*H253)-K253</f>
        <v>349.95</v>
      </c>
      <c r="P253" s="8" t="s">
        <v>21</v>
      </c>
    </row>
    <row r="254" customFormat="false" ht="15" hidden="false" customHeight="false" outlineLevel="0" collapsed="false">
      <c r="A254" s="2" t="n">
        <v>46126</v>
      </c>
      <c r="B254" s="3" t="s">
        <v>37</v>
      </c>
      <c r="C254" s="3" t="s">
        <v>17</v>
      </c>
      <c r="D254" s="3" t="s">
        <v>32</v>
      </c>
      <c r="E254" s="3" t="s">
        <v>33</v>
      </c>
      <c r="F254" s="3" t="s">
        <v>34</v>
      </c>
      <c r="G254" s="3" t="n">
        <v>19</v>
      </c>
      <c r="H254" s="4" t="n">
        <v>18.99</v>
      </c>
      <c r="I254" s="4" t="n">
        <v>6</v>
      </c>
      <c r="J254" s="5" t="n">
        <v>0</v>
      </c>
      <c r="K254" s="4" t="n">
        <f aca="false">G254*H254*(1-J254)</f>
        <v>360.81</v>
      </c>
      <c r="L254" s="4" t="n">
        <f aca="false">G254*I254</f>
        <v>114</v>
      </c>
      <c r="M254" s="4" t="n">
        <f aca="false">K254-L254</f>
        <v>246.81</v>
      </c>
      <c r="N254" s="6" t="n">
        <f aca="false">IF(K254=0,0,M254/K254)</f>
        <v>0.684044233807267</v>
      </c>
      <c r="O254" s="4" t="n">
        <f aca="false">(G254*H254)-K254</f>
        <v>0</v>
      </c>
      <c r="P254" s="3" t="s">
        <v>21</v>
      </c>
    </row>
    <row r="255" customFormat="false" ht="15" hidden="false" customHeight="false" outlineLevel="0" collapsed="false">
      <c r="A255" s="7" t="n">
        <v>46079</v>
      </c>
      <c r="B255" s="8" t="s">
        <v>22</v>
      </c>
      <c r="C255" s="8" t="s">
        <v>23</v>
      </c>
      <c r="D255" s="8" t="s">
        <v>76</v>
      </c>
      <c r="E255" s="8" t="s">
        <v>77</v>
      </c>
      <c r="F255" s="8" t="s">
        <v>34</v>
      </c>
      <c r="G255" s="8" t="n">
        <v>7</v>
      </c>
      <c r="H255" s="9" t="n">
        <v>44.99</v>
      </c>
      <c r="I255" s="9" t="n">
        <v>14</v>
      </c>
      <c r="J255" s="10" t="n">
        <v>0.25</v>
      </c>
      <c r="K255" s="9" t="n">
        <f aca="false">G255*H255*(1-J255)</f>
        <v>236.1975</v>
      </c>
      <c r="L255" s="9" t="n">
        <f aca="false">G255*I255</f>
        <v>98</v>
      </c>
      <c r="M255" s="9" t="n">
        <f aca="false">K255-L255</f>
        <v>138.1975</v>
      </c>
      <c r="N255" s="11" t="n">
        <f aca="false">IF(K255=0,0,M255/K255)</f>
        <v>0.585092983625991</v>
      </c>
      <c r="O255" s="9" t="n">
        <f aca="false">(G255*H255)-K255</f>
        <v>78.7325</v>
      </c>
      <c r="P255" s="8" t="s">
        <v>21</v>
      </c>
    </row>
    <row r="256" customFormat="false" ht="15" hidden="false" customHeight="false" outlineLevel="0" collapsed="false">
      <c r="A256" s="2" t="n">
        <v>46060</v>
      </c>
      <c r="B256" s="3" t="s">
        <v>16</v>
      </c>
      <c r="C256" s="3" t="s">
        <v>17</v>
      </c>
      <c r="D256" s="3" t="s">
        <v>90</v>
      </c>
      <c r="E256" s="3" t="s">
        <v>91</v>
      </c>
      <c r="F256" s="3" t="s">
        <v>26</v>
      </c>
      <c r="G256" s="3" t="n">
        <v>22</v>
      </c>
      <c r="H256" s="4" t="n">
        <v>29.99</v>
      </c>
      <c r="I256" s="4" t="n">
        <v>11</v>
      </c>
      <c r="J256" s="5" t="n">
        <v>0.3</v>
      </c>
      <c r="K256" s="4" t="n">
        <f aca="false">G256*H256*(1-J256)</f>
        <v>461.846</v>
      </c>
      <c r="L256" s="4" t="n">
        <f aca="false">G256*I256</f>
        <v>242</v>
      </c>
      <c r="M256" s="4" t="n">
        <f aca="false">K256-L256</f>
        <v>219.846</v>
      </c>
      <c r="N256" s="6" t="n">
        <f aca="false">IF(K256=0,0,M256/K256)</f>
        <v>0.476015814795408</v>
      </c>
      <c r="O256" s="4" t="n">
        <f aca="false">(G256*H256)-K256</f>
        <v>197.934</v>
      </c>
      <c r="P256" s="3" t="s">
        <v>21</v>
      </c>
    </row>
    <row r="257" customFormat="false" ht="15" hidden="false" customHeight="false" outlineLevel="0" collapsed="false">
      <c r="A257" s="7" t="n">
        <v>46120</v>
      </c>
      <c r="B257" s="8" t="s">
        <v>64</v>
      </c>
      <c r="C257" s="8" t="s">
        <v>65</v>
      </c>
      <c r="D257" s="8" t="s">
        <v>44</v>
      </c>
      <c r="E257" s="8" t="s">
        <v>45</v>
      </c>
      <c r="F257" s="8" t="s">
        <v>40</v>
      </c>
      <c r="G257" s="8" t="n">
        <v>18</v>
      </c>
      <c r="H257" s="9" t="n">
        <v>29.99</v>
      </c>
      <c r="I257" s="9" t="n">
        <v>11</v>
      </c>
      <c r="J257" s="10" t="n">
        <v>0</v>
      </c>
      <c r="K257" s="9" t="n">
        <f aca="false">G257*H257*(1-J257)</f>
        <v>539.82</v>
      </c>
      <c r="L257" s="9" t="n">
        <f aca="false">G257*I257</f>
        <v>198</v>
      </c>
      <c r="M257" s="9" t="n">
        <f aca="false">K257-L257</f>
        <v>341.82</v>
      </c>
      <c r="N257" s="11" t="n">
        <f aca="false">IF(K257=0,0,M257/K257)</f>
        <v>0.633211070356786</v>
      </c>
      <c r="O257" s="9" t="n">
        <f aca="false">(G257*H257)-K257</f>
        <v>0</v>
      </c>
      <c r="P257" s="8" t="s">
        <v>21</v>
      </c>
    </row>
    <row r="258" customFormat="false" ht="15" hidden="false" customHeight="false" outlineLevel="0" collapsed="false">
      <c r="A258" s="2" t="n">
        <v>46076</v>
      </c>
      <c r="B258" s="3" t="s">
        <v>27</v>
      </c>
      <c r="C258" s="3" t="s">
        <v>28</v>
      </c>
      <c r="D258" s="3" t="s">
        <v>66</v>
      </c>
      <c r="E258" s="3" t="s">
        <v>67</v>
      </c>
      <c r="F258" s="3" t="s">
        <v>57</v>
      </c>
      <c r="G258" s="3" t="n">
        <v>26</v>
      </c>
      <c r="H258" s="4" t="n">
        <v>14.99</v>
      </c>
      <c r="I258" s="4" t="n">
        <v>5.5</v>
      </c>
      <c r="J258" s="5" t="n">
        <v>0</v>
      </c>
      <c r="K258" s="4" t="n">
        <f aca="false">G258*H258*(1-J258)</f>
        <v>389.74</v>
      </c>
      <c r="L258" s="4" t="n">
        <f aca="false">G258*I258</f>
        <v>143</v>
      </c>
      <c r="M258" s="4" t="n">
        <f aca="false">K258-L258</f>
        <v>246.74</v>
      </c>
      <c r="N258" s="6" t="n">
        <f aca="false">IF(K258=0,0,M258/K258)</f>
        <v>0.633088725817211</v>
      </c>
      <c r="O258" s="4" t="n">
        <f aca="false">(G258*H258)-K258</f>
        <v>0</v>
      </c>
      <c r="P258" s="3" t="s">
        <v>21</v>
      </c>
    </row>
    <row r="259" customFormat="false" ht="15" hidden="false" customHeight="false" outlineLevel="0" collapsed="false">
      <c r="A259" s="7" t="n">
        <v>46131</v>
      </c>
      <c r="B259" s="8" t="s">
        <v>16</v>
      </c>
      <c r="C259" s="8" t="s">
        <v>17</v>
      </c>
      <c r="D259" s="8" t="s">
        <v>46</v>
      </c>
      <c r="E259" s="8" t="s">
        <v>47</v>
      </c>
      <c r="F259" s="8" t="s">
        <v>20</v>
      </c>
      <c r="G259" s="8" t="n">
        <v>14</v>
      </c>
      <c r="H259" s="9" t="n">
        <v>44.99</v>
      </c>
      <c r="I259" s="9" t="n">
        <v>18</v>
      </c>
      <c r="J259" s="10" t="n">
        <v>0.25</v>
      </c>
      <c r="K259" s="9" t="n">
        <f aca="false">G259*H259*(1-J259)</f>
        <v>472.395</v>
      </c>
      <c r="L259" s="9" t="n">
        <f aca="false">G259*I259</f>
        <v>252</v>
      </c>
      <c r="M259" s="9" t="n">
        <f aca="false">K259-L259</f>
        <v>220.395</v>
      </c>
      <c r="N259" s="11" t="n">
        <f aca="false">IF(K259=0,0,M259/K259)</f>
        <v>0.466548121804846</v>
      </c>
      <c r="O259" s="9" t="n">
        <f aca="false">(G259*H259)-K259</f>
        <v>157.465</v>
      </c>
      <c r="P259" s="8" t="s">
        <v>21</v>
      </c>
    </row>
    <row r="260" customFormat="false" ht="15" hidden="false" customHeight="false" outlineLevel="0" collapsed="false">
      <c r="A260" s="2" t="n">
        <v>46028</v>
      </c>
      <c r="B260" s="3" t="s">
        <v>31</v>
      </c>
      <c r="C260" s="3" t="s">
        <v>23</v>
      </c>
      <c r="D260" s="3" t="s">
        <v>74</v>
      </c>
      <c r="E260" s="3" t="s">
        <v>75</v>
      </c>
      <c r="F260" s="3" t="s">
        <v>40</v>
      </c>
      <c r="G260" s="3" t="n">
        <v>13</v>
      </c>
      <c r="H260" s="4" t="n">
        <v>29.99</v>
      </c>
      <c r="I260" s="4" t="n">
        <v>13</v>
      </c>
      <c r="J260" s="5" t="n">
        <v>0.2</v>
      </c>
      <c r="K260" s="4" t="n">
        <f aca="false">G260*H260*(1-J260)</f>
        <v>311.896</v>
      </c>
      <c r="L260" s="4" t="n">
        <f aca="false">G260*I260</f>
        <v>169</v>
      </c>
      <c r="M260" s="4" t="n">
        <f aca="false">K260-L260</f>
        <v>142.896</v>
      </c>
      <c r="N260" s="6" t="n">
        <f aca="false">IF(K260=0,0,M260/K260)</f>
        <v>0.458152717572524</v>
      </c>
      <c r="O260" s="4" t="n">
        <f aca="false">(G260*H260)-K260</f>
        <v>77.974</v>
      </c>
      <c r="P260" s="3" t="s">
        <v>21</v>
      </c>
    </row>
    <row r="261" customFormat="false" ht="15" hidden="false" customHeight="false" outlineLevel="0" collapsed="false">
      <c r="A261" s="7" t="n">
        <v>46024</v>
      </c>
      <c r="B261" s="8" t="s">
        <v>16</v>
      </c>
      <c r="C261" s="8" t="s">
        <v>17</v>
      </c>
      <c r="D261" s="8" t="s">
        <v>35</v>
      </c>
      <c r="E261" s="8" t="s">
        <v>36</v>
      </c>
      <c r="F261" s="8" t="s">
        <v>26</v>
      </c>
      <c r="G261" s="8" t="n">
        <v>2</v>
      </c>
      <c r="H261" s="9" t="n">
        <v>69.99</v>
      </c>
      <c r="I261" s="9" t="n">
        <v>30</v>
      </c>
      <c r="J261" s="10" t="n">
        <v>0</v>
      </c>
      <c r="K261" s="9" t="n">
        <f aca="false">G261*H261*(1-J261)</f>
        <v>139.98</v>
      </c>
      <c r="L261" s="9" t="n">
        <f aca="false">G261*I261</f>
        <v>60</v>
      </c>
      <c r="M261" s="9" t="n">
        <f aca="false">K261-L261</f>
        <v>79.98</v>
      </c>
      <c r="N261" s="11" t="n">
        <f aca="false">IF(K261=0,0,M261/K261)</f>
        <v>0.57136733819117</v>
      </c>
      <c r="O261" s="9" t="n">
        <f aca="false">(G261*H261)-K261</f>
        <v>0</v>
      </c>
      <c r="P261" s="8" t="s">
        <v>21</v>
      </c>
    </row>
    <row r="262" customFormat="false" ht="15" hidden="false" customHeight="false" outlineLevel="0" collapsed="false">
      <c r="A262" s="2" t="n">
        <v>46086</v>
      </c>
      <c r="B262" s="3" t="s">
        <v>37</v>
      </c>
      <c r="C262" s="3" t="s">
        <v>17</v>
      </c>
      <c r="D262" s="3" t="s">
        <v>51</v>
      </c>
      <c r="E262" s="3" t="s">
        <v>52</v>
      </c>
      <c r="F262" s="3" t="s">
        <v>50</v>
      </c>
      <c r="G262" s="3" t="n">
        <v>15</v>
      </c>
      <c r="H262" s="4" t="n">
        <v>19.99</v>
      </c>
      <c r="I262" s="4" t="n">
        <v>7</v>
      </c>
      <c r="J262" s="5" t="n">
        <v>0.05</v>
      </c>
      <c r="K262" s="4" t="n">
        <f aca="false">G262*H262*(1-J262)</f>
        <v>284.8575</v>
      </c>
      <c r="L262" s="4" t="n">
        <f aca="false">G262*I262</f>
        <v>105</v>
      </c>
      <c r="M262" s="4" t="n">
        <f aca="false">K262-L262</f>
        <v>179.8575</v>
      </c>
      <c r="N262" s="6" t="n">
        <f aca="false">IF(K262=0,0,M262/K262)</f>
        <v>0.631394644690766</v>
      </c>
      <c r="O262" s="4" t="n">
        <f aca="false">(G262*H262)-K262</f>
        <v>14.9925</v>
      </c>
      <c r="P262" s="3" t="s">
        <v>21</v>
      </c>
    </row>
    <row r="263" customFormat="false" ht="15" hidden="false" customHeight="false" outlineLevel="0" collapsed="false">
      <c r="A263" s="7" t="n">
        <v>46042</v>
      </c>
      <c r="B263" s="8" t="s">
        <v>64</v>
      </c>
      <c r="C263" s="8" t="s">
        <v>65</v>
      </c>
      <c r="D263" s="8" t="s">
        <v>74</v>
      </c>
      <c r="E263" s="8" t="s">
        <v>75</v>
      </c>
      <c r="F263" s="8" t="s">
        <v>40</v>
      </c>
      <c r="G263" s="8" t="n">
        <v>13</v>
      </c>
      <c r="H263" s="9" t="n">
        <v>29.99</v>
      </c>
      <c r="I263" s="9" t="n">
        <v>13</v>
      </c>
      <c r="J263" s="10" t="n">
        <v>0</v>
      </c>
      <c r="K263" s="9" t="n">
        <f aca="false">G263*H263*(1-J263)</f>
        <v>389.87</v>
      </c>
      <c r="L263" s="9" t="n">
        <f aca="false">G263*I263</f>
        <v>169</v>
      </c>
      <c r="M263" s="9" t="n">
        <f aca="false">K263-L263</f>
        <v>220.87</v>
      </c>
      <c r="N263" s="11" t="n">
        <f aca="false">IF(K263=0,0,M263/K263)</f>
        <v>0.566522174058019</v>
      </c>
      <c r="O263" s="9" t="n">
        <f aca="false">(G263*H263)-K263</f>
        <v>0</v>
      </c>
      <c r="P263" s="8" t="s">
        <v>21</v>
      </c>
    </row>
    <row r="264" customFormat="false" ht="15" hidden="false" customHeight="false" outlineLevel="0" collapsed="false">
      <c r="A264" s="2" t="n">
        <v>46091</v>
      </c>
      <c r="B264" s="3" t="s">
        <v>37</v>
      </c>
      <c r="C264" s="3" t="s">
        <v>17</v>
      </c>
      <c r="D264" s="3" t="s">
        <v>93</v>
      </c>
      <c r="E264" s="3" t="s">
        <v>94</v>
      </c>
      <c r="F264" s="3" t="s">
        <v>34</v>
      </c>
      <c r="G264" s="3" t="n">
        <v>12</v>
      </c>
      <c r="H264" s="4" t="n">
        <v>29.99</v>
      </c>
      <c r="I264" s="4" t="n">
        <v>9</v>
      </c>
      <c r="J264" s="5" t="n">
        <v>0</v>
      </c>
      <c r="K264" s="4" t="n">
        <f aca="false">G264*H264*(1-J264)</f>
        <v>359.88</v>
      </c>
      <c r="L264" s="4" t="n">
        <f aca="false">G264*I264</f>
        <v>108</v>
      </c>
      <c r="M264" s="4" t="n">
        <f aca="false">K264-L264</f>
        <v>251.88</v>
      </c>
      <c r="N264" s="6" t="n">
        <f aca="false">IF(K264=0,0,M264/K264)</f>
        <v>0.699899966655552</v>
      </c>
      <c r="O264" s="4" t="n">
        <f aca="false">(G264*H264)-K264</f>
        <v>0</v>
      </c>
      <c r="P264" s="3" t="s">
        <v>21</v>
      </c>
    </row>
    <row r="265" customFormat="false" ht="15" hidden="false" customHeight="false" outlineLevel="0" collapsed="false">
      <c r="A265" s="7" t="n">
        <v>46062</v>
      </c>
      <c r="B265" s="8" t="s">
        <v>37</v>
      </c>
      <c r="C265" s="8" t="s">
        <v>17</v>
      </c>
      <c r="D265" s="8" t="s">
        <v>93</v>
      </c>
      <c r="E265" s="8" t="s">
        <v>94</v>
      </c>
      <c r="F265" s="8" t="s">
        <v>34</v>
      </c>
      <c r="G265" s="8" t="n">
        <v>24</v>
      </c>
      <c r="H265" s="9" t="n">
        <v>29.99</v>
      </c>
      <c r="I265" s="9" t="n">
        <v>9</v>
      </c>
      <c r="J265" s="10" t="n">
        <v>0.1</v>
      </c>
      <c r="K265" s="9" t="n">
        <f aca="false">G265*H265*(1-J265)</f>
        <v>647.784</v>
      </c>
      <c r="L265" s="9" t="n">
        <f aca="false">G265*I265</f>
        <v>216</v>
      </c>
      <c r="M265" s="9" t="n">
        <f aca="false">K265-L265</f>
        <v>431.784</v>
      </c>
      <c r="N265" s="11" t="n">
        <f aca="false">IF(K265=0,0,M265/K265)</f>
        <v>0.666555518506169</v>
      </c>
      <c r="O265" s="9" t="n">
        <f aca="false">(G265*H265)-K265</f>
        <v>71.976</v>
      </c>
      <c r="P265" s="8" t="s">
        <v>21</v>
      </c>
    </row>
    <row r="266" customFormat="false" ht="15" hidden="false" customHeight="false" outlineLevel="0" collapsed="false">
      <c r="A266" s="2" t="n">
        <v>46052</v>
      </c>
      <c r="B266" s="3" t="s">
        <v>22</v>
      </c>
      <c r="C266" s="3" t="s">
        <v>23</v>
      </c>
      <c r="D266" s="3" t="s">
        <v>70</v>
      </c>
      <c r="E266" s="3" t="s">
        <v>71</v>
      </c>
      <c r="F266" s="3" t="s">
        <v>20</v>
      </c>
      <c r="G266" s="3" t="n">
        <v>1</v>
      </c>
      <c r="H266" s="4" t="n">
        <v>49.99</v>
      </c>
      <c r="I266" s="4" t="n">
        <v>19</v>
      </c>
      <c r="J266" s="5" t="n">
        <v>0.15</v>
      </c>
      <c r="K266" s="4" t="n">
        <f aca="false">G266*H266*(1-J266)</f>
        <v>42.4915</v>
      </c>
      <c r="L266" s="4" t="n">
        <f aca="false">G266*I266</f>
        <v>19</v>
      </c>
      <c r="M266" s="4" t="n">
        <f aca="false">K266-L266</f>
        <v>23.4915</v>
      </c>
      <c r="N266" s="6" t="n">
        <f aca="false">IF(K266=0,0,M266/K266)</f>
        <v>0.552851746819952</v>
      </c>
      <c r="O266" s="4" t="n">
        <f aca="false">(G266*H266)-K266</f>
        <v>7.4985</v>
      </c>
      <c r="P266" s="3" t="s">
        <v>21</v>
      </c>
    </row>
    <row r="267" customFormat="false" ht="15" hidden="false" customHeight="false" outlineLevel="0" collapsed="false">
      <c r="A267" s="7" t="n">
        <v>46105</v>
      </c>
      <c r="B267" s="8" t="s">
        <v>16</v>
      </c>
      <c r="C267" s="8" t="s">
        <v>17</v>
      </c>
      <c r="D267" s="8" t="s">
        <v>78</v>
      </c>
      <c r="E267" s="8" t="s">
        <v>79</v>
      </c>
      <c r="F267" s="8" t="s">
        <v>20</v>
      </c>
      <c r="G267" s="8" t="n">
        <v>8</v>
      </c>
      <c r="H267" s="9" t="n">
        <v>39.99</v>
      </c>
      <c r="I267" s="9" t="n">
        <v>16</v>
      </c>
      <c r="J267" s="10" t="n">
        <v>0.15</v>
      </c>
      <c r="K267" s="9" t="n">
        <f aca="false">G267*H267*(1-J267)</f>
        <v>271.932</v>
      </c>
      <c r="L267" s="9" t="n">
        <f aca="false">G267*I267</f>
        <v>128</v>
      </c>
      <c r="M267" s="9" t="n">
        <f aca="false">K267-L267</f>
        <v>143.932</v>
      </c>
      <c r="N267" s="11" t="n">
        <f aca="false">IF(K267=0,0,M267/K267)</f>
        <v>0.529294088227939</v>
      </c>
      <c r="O267" s="9" t="n">
        <f aca="false">(G267*H267)-K267</f>
        <v>47.988</v>
      </c>
      <c r="P267" s="8" t="s">
        <v>21</v>
      </c>
    </row>
    <row r="268" customFormat="false" ht="15" hidden="false" customHeight="false" outlineLevel="0" collapsed="false">
      <c r="A268" s="2" t="n">
        <v>46082</v>
      </c>
      <c r="B268" s="3" t="s">
        <v>27</v>
      </c>
      <c r="C268" s="3" t="s">
        <v>28</v>
      </c>
      <c r="D268" s="3" t="s">
        <v>72</v>
      </c>
      <c r="E268" s="3" t="s">
        <v>73</v>
      </c>
      <c r="F268" s="3" t="s">
        <v>57</v>
      </c>
      <c r="G268" s="3" t="n">
        <v>28</v>
      </c>
      <c r="H268" s="4" t="n">
        <v>19.99</v>
      </c>
      <c r="I268" s="4" t="n">
        <v>7</v>
      </c>
      <c r="J268" s="5" t="n">
        <v>0</v>
      </c>
      <c r="K268" s="4" t="n">
        <f aca="false">G268*H268*(1-J268)</f>
        <v>559.72</v>
      </c>
      <c r="L268" s="4" t="n">
        <f aca="false">G268*I268</f>
        <v>196</v>
      </c>
      <c r="M268" s="4" t="n">
        <f aca="false">K268-L268</f>
        <v>363.72</v>
      </c>
      <c r="N268" s="6" t="n">
        <f aca="false">IF(K268=0,0,M268/K268)</f>
        <v>0.649824912456228</v>
      </c>
      <c r="O268" s="4" t="n">
        <f aca="false">(G268*H268)-K268</f>
        <v>0</v>
      </c>
      <c r="P268" s="3" t="s">
        <v>21</v>
      </c>
    </row>
    <row r="269" customFormat="false" ht="15" hidden="false" customHeight="false" outlineLevel="0" collapsed="false">
      <c r="A269" s="7" t="n">
        <v>46122</v>
      </c>
      <c r="B269" s="8" t="s">
        <v>22</v>
      </c>
      <c r="C269" s="8" t="s">
        <v>23</v>
      </c>
      <c r="D269" s="8" t="s">
        <v>66</v>
      </c>
      <c r="E269" s="8" t="s">
        <v>67</v>
      </c>
      <c r="F269" s="8" t="s">
        <v>57</v>
      </c>
      <c r="G269" s="8" t="n">
        <v>11</v>
      </c>
      <c r="H269" s="9" t="n">
        <v>14.99</v>
      </c>
      <c r="I269" s="9" t="n">
        <v>5.5</v>
      </c>
      <c r="J269" s="10" t="n">
        <v>0.3</v>
      </c>
      <c r="K269" s="9" t="n">
        <f aca="false">G269*H269*(1-J269)</f>
        <v>115.423</v>
      </c>
      <c r="L269" s="9" t="n">
        <f aca="false">G269*I269</f>
        <v>60.5</v>
      </c>
      <c r="M269" s="9" t="n">
        <f aca="false">K269-L269</f>
        <v>54.923</v>
      </c>
      <c r="N269" s="11" t="n">
        <f aca="false">IF(K269=0,0,M269/K269)</f>
        <v>0.475841036881731</v>
      </c>
      <c r="O269" s="9" t="n">
        <f aca="false">(G269*H269)-K269</f>
        <v>49.467</v>
      </c>
      <c r="P269" s="8" t="s">
        <v>21</v>
      </c>
    </row>
    <row r="270" customFormat="false" ht="15" hidden="false" customHeight="false" outlineLevel="0" collapsed="false">
      <c r="A270" s="2" t="n">
        <v>46054</v>
      </c>
      <c r="B270" s="3" t="s">
        <v>64</v>
      </c>
      <c r="C270" s="3" t="s">
        <v>65</v>
      </c>
      <c r="D270" s="3" t="s">
        <v>88</v>
      </c>
      <c r="E270" s="3" t="s">
        <v>89</v>
      </c>
      <c r="F270" s="3" t="s">
        <v>57</v>
      </c>
      <c r="G270" s="3" t="n">
        <v>13</v>
      </c>
      <c r="H270" s="4" t="n">
        <v>12.99</v>
      </c>
      <c r="I270" s="4" t="n">
        <v>4.5</v>
      </c>
      <c r="J270" s="5" t="n">
        <v>0.2</v>
      </c>
      <c r="K270" s="4" t="n">
        <f aca="false">G270*H270*(1-J270)</f>
        <v>135.096</v>
      </c>
      <c r="L270" s="4" t="n">
        <f aca="false">G270*I270</f>
        <v>58.5</v>
      </c>
      <c r="M270" s="4" t="n">
        <f aca="false">K270-L270</f>
        <v>76.596</v>
      </c>
      <c r="N270" s="6" t="n">
        <f aca="false">IF(K270=0,0,M270/K270)</f>
        <v>0.566974595842956</v>
      </c>
      <c r="O270" s="4" t="n">
        <f aca="false">(G270*H270)-K270</f>
        <v>33.774</v>
      </c>
      <c r="P270" s="3" t="s">
        <v>21</v>
      </c>
    </row>
    <row r="271" customFormat="false" ht="15" hidden="false" customHeight="false" outlineLevel="0" collapsed="false">
      <c r="A271" s="7" t="n">
        <v>46092</v>
      </c>
      <c r="B271" s="8" t="s">
        <v>27</v>
      </c>
      <c r="C271" s="8" t="s">
        <v>28</v>
      </c>
      <c r="D271" s="8" t="s">
        <v>29</v>
      </c>
      <c r="E271" s="8" t="s">
        <v>30</v>
      </c>
      <c r="F271" s="8" t="s">
        <v>20</v>
      </c>
      <c r="G271" s="8" t="n">
        <v>16</v>
      </c>
      <c r="H271" s="9" t="n">
        <v>79.99</v>
      </c>
      <c r="I271" s="9" t="n">
        <v>42</v>
      </c>
      <c r="J271" s="10" t="n">
        <v>0</v>
      </c>
      <c r="K271" s="9" t="n">
        <f aca="false">G271*H271*(1-J271)</f>
        <v>1279.84</v>
      </c>
      <c r="L271" s="9" t="n">
        <f aca="false">G271*I271</f>
        <v>672</v>
      </c>
      <c r="M271" s="9" t="n">
        <f aca="false">K271-L271</f>
        <v>607.84</v>
      </c>
      <c r="N271" s="11" t="n">
        <f aca="false">IF(K271=0,0,M271/K271)</f>
        <v>0.474934366795849</v>
      </c>
      <c r="O271" s="9" t="n">
        <f aca="false">(G271*H271)-K271</f>
        <v>0</v>
      </c>
      <c r="P271" s="8" t="s">
        <v>21</v>
      </c>
    </row>
    <row r="272" customFormat="false" ht="15" hidden="false" customHeight="false" outlineLevel="0" collapsed="false">
      <c r="A272" s="2" t="n">
        <v>46029</v>
      </c>
      <c r="B272" s="3" t="s">
        <v>16</v>
      </c>
      <c r="C272" s="3" t="s">
        <v>17</v>
      </c>
      <c r="D272" s="3" t="s">
        <v>53</v>
      </c>
      <c r="E272" s="3" t="s">
        <v>54</v>
      </c>
      <c r="F272" s="3" t="s">
        <v>50</v>
      </c>
      <c r="G272" s="3" t="n">
        <v>13</v>
      </c>
      <c r="H272" s="4" t="n">
        <v>22.99</v>
      </c>
      <c r="I272" s="4" t="n">
        <v>8</v>
      </c>
      <c r="J272" s="5" t="n">
        <v>0.15</v>
      </c>
      <c r="K272" s="4" t="n">
        <f aca="false">G272*H272*(1-J272)</f>
        <v>254.0395</v>
      </c>
      <c r="L272" s="4" t="n">
        <f aca="false">G272*I272</f>
        <v>104</v>
      </c>
      <c r="M272" s="4" t="n">
        <f aca="false">K272-L272</f>
        <v>150.0395</v>
      </c>
      <c r="N272" s="6" t="n">
        <f aca="false">IF(K272=0,0,M272/K272)</f>
        <v>0.590614845329171</v>
      </c>
      <c r="O272" s="4" t="n">
        <f aca="false">(G272*H272)-K272</f>
        <v>44.8305</v>
      </c>
      <c r="P272" s="3" t="s">
        <v>21</v>
      </c>
    </row>
    <row r="273" customFormat="false" ht="15" hidden="false" customHeight="false" outlineLevel="0" collapsed="false">
      <c r="A273" s="7" t="n">
        <v>46115</v>
      </c>
      <c r="B273" s="8" t="s">
        <v>31</v>
      </c>
      <c r="C273" s="8" t="s">
        <v>23</v>
      </c>
      <c r="D273" s="8" t="s">
        <v>84</v>
      </c>
      <c r="E273" s="8" t="s">
        <v>85</v>
      </c>
      <c r="F273" s="8" t="s">
        <v>20</v>
      </c>
      <c r="G273" s="8" t="n">
        <v>11</v>
      </c>
      <c r="H273" s="9" t="n">
        <v>34.99</v>
      </c>
      <c r="I273" s="9" t="n">
        <v>13</v>
      </c>
      <c r="J273" s="10" t="n">
        <v>0.15</v>
      </c>
      <c r="K273" s="9" t="n">
        <f aca="false">G273*H273*(1-J273)</f>
        <v>327.1565</v>
      </c>
      <c r="L273" s="9" t="n">
        <f aca="false">G273*I273</f>
        <v>143</v>
      </c>
      <c r="M273" s="9" t="n">
        <f aca="false">K273-L273</f>
        <v>184.1565</v>
      </c>
      <c r="N273" s="11" t="n">
        <f aca="false">IF(K273=0,0,M273/K273)</f>
        <v>0.562900324462452</v>
      </c>
      <c r="O273" s="9" t="n">
        <f aca="false">(G273*H273)-K273</f>
        <v>57.7335</v>
      </c>
      <c r="P273" s="8" t="s">
        <v>21</v>
      </c>
    </row>
    <row r="274" customFormat="false" ht="15" hidden="false" customHeight="false" outlineLevel="0" collapsed="false">
      <c r="A274" s="2" t="n">
        <v>46073</v>
      </c>
      <c r="B274" s="3" t="s">
        <v>22</v>
      </c>
      <c r="C274" s="3" t="s">
        <v>23</v>
      </c>
      <c r="D274" s="3" t="s">
        <v>48</v>
      </c>
      <c r="E274" s="3" t="s">
        <v>49</v>
      </c>
      <c r="F274" s="3" t="s">
        <v>50</v>
      </c>
      <c r="G274" s="3" t="n">
        <v>10</v>
      </c>
      <c r="H274" s="4" t="n">
        <v>54.99</v>
      </c>
      <c r="I274" s="4" t="n">
        <v>20</v>
      </c>
      <c r="J274" s="5" t="n">
        <v>0.1</v>
      </c>
      <c r="K274" s="4" t="n">
        <f aca="false">G274*H274*(1-J274)</f>
        <v>494.91</v>
      </c>
      <c r="L274" s="4" t="n">
        <f aca="false">G274*I274</f>
        <v>200</v>
      </c>
      <c r="M274" s="4" t="n">
        <f aca="false">K274-L274</f>
        <v>294.91</v>
      </c>
      <c r="N274" s="6" t="n">
        <f aca="false">IF(K274=0,0,M274/K274)</f>
        <v>0.595886120708816</v>
      </c>
      <c r="O274" s="4" t="n">
        <f aca="false">(G274*H274)-K274</f>
        <v>54.99</v>
      </c>
      <c r="P274" s="3" t="s">
        <v>21</v>
      </c>
    </row>
    <row r="275" customFormat="false" ht="15" hidden="false" customHeight="false" outlineLevel="0" collapsed="false">
      <c r="A275" s="7" t="n">
        <v>46086</v>
      </c>
      <c r="B275" s="8" t="s">
        <v>58</v>
      </c>
      <c r="C275" s="8" t="s">
        <v>58</v>
      </c>
      <c r="D275" s="8" t="s">
        <v>74</v>
      </c>
      <c r="E275" s="8" t="s">
        <v>75</v>
      </c>
      <c r="F275" s="8" t="s">
        <v>40</v>
      </c>
      <c r="G275" s="8" t="n">
        <v>6</v>
      </c>
      <c r="H275" s="9" t="n">
        <v>29.99</v>
      </c>
      <c r="I275" s="9" t="n">
        <v>13</v>
      </c>
      <c r="J275" s="10" t="n">
        <v>0.25</v>
      </c>
      <c r="K275" s="9" t="n">
        <f aca="false">G275*H275*(1-J275)</f>
        <v>134.955</v>
      </c>
      <c r="L275" s="9" t="n">
        <f aca="false">G275*I275</f>
        <v>78</v>
      </c>
      <c r="M275" s="9" t="n">
        <f aca="false">K275-L275</f>
        <v>56.955</v>
      </c>
      <c r="N275" s="11" t="n">
        <f aca="false">IF(K275=0,0,M275/K275)</f>
        <v>0.422029565410692</v>
      </c>
      <c r="O275" s="9" t="n">
        <f aca="false">(G275*H275)-K275</f>
        <v>44.985</v>
      </c>
      <c r="P275" s="8" t="s">
        <v>21</v>
      </c>
    </row>
    <row r="276" customFormat="false" ht="15" hidden="false" customHeight="false" outlineLevel="0" collapsed="false">
      <c r="A276" s="2" t="n">
        <v>46045</v>
      </c>
      <c r="B276" s="3" t="s">
        <v>16</v>
      </c>
      <c r="C276" s="3" t="s">
        <v>17</v>
      </c>
      <c r="D276" s="3" t="s">
        <v>24</v>
      </c>
      <c r="E276" s="3" t="s">
        <v>25</v>
      </c>
      <c r="F276" s="3" t="s">
        <v>26</v>
      </c>
      <c r="G276" s="3" t="n">
        <v>26</v>
      </c>
      <c r="H276" s="4" t="n">
        <v>54.99</v>
      </c>
      <c r="I276" s="4" t="n">
        <v>24</v>
      </c>
      <c r="J276" s="5" t="n">
        <v>0</v>
      </c>
      <c r="K276" s="4" t="n">
        <f aca="false">G276*H276*(1-J276)</f>
        <v>1429.74</v>
      </c>
      <c r="L276" s="4" t="n">
        <f aca="false">G276*I276</f>
        <v>624</v>
      </c>
      <c r="M276" s="4" t="n">
        <f aca="false">K276-L276</f>
        <v>805.74</v>
      </c>
      <c r="N276" s="6" t="n">
        <f aca="false">IF(K276=0,0,M276/K276)</f>
        <v>0.563557010365521</v>
      </c>
      <c r="O276" s="4" t="n">
        <f aca="false">(G276*H276)-K276</f>
        <v>0</v>
      </c>
      <c r="P276" s="3" t="s">
        <v>21</v>
      </c>
    </row>
    <row r="277" customFormat="false" ht="15" hidden="false" customHeight="false" outlineLevel="0" collapsed="false">
      <c r="A277" s="7" t="n">
        <v>46050</v>
      </c>
      <c r="B277" s="8" t="s">
        <v>27</v>
      </c>
      <c r="C277" s="8" t="s">
        <v>28</v>
      </c>
      <c r="D277" s="8" t="s">
        <v>76</v>
      </c>
      <c r="E277" s="8" t="s">
        <v>77</v>
      </c>
      <c r="F277" s="8" t="s">
        <v>34</v>
      </c>
      <c r="G277" s="8" t="n">
        <v>3</v>
      </c>
      <c r="H277" s="9" t="n">
        <v>44.99</v>
      </c>
      <c r="I277" s="9" t="n">
        <v>14</v>
      </c>
      <c r="J277" s="10" t="n">
        <v>0</v>
      </c>
      <c r="K277" s="9" t="n">
        <f aca="false">G277*H277*(1-J277)</f>
        <v>134.97</v>
      </c>
      <c r="L277" s="9" t="n">
        <f aca="false">G277*I277</f>
        <v>42</v>
      </c>
      <c r="M277" s="9" t="n">
        <f aca="false">K277-L277</f>
        <v>92.97</v>
      </c>
      <c r="N277" s="11" t="n">
        <f aca="false">IF(K277=0,0,M277/K277)</f>
        <v>0.688819737719493</v>
      </c>
      <c r="O277" s="9" t="n">
        <f aca="false">(G277*H277)-K277</f>
        <v>0</v>
      </c>
      <c r="P277" s="8" t="s">
        <v>21</v>
      </c>
    </row>
    <row r="278" customFormat="false" ht="15" hidden="false" customHeight="false" outlineLevel="0" collapsed="false">
      <c r="A278" s="2" t="n">
        <v>46087</v>
      </c>
      <c r="B278" s="3" t="s">
        <v>58</v>
      </c>
      <c r="C278" s="3" t="s">
        <v>58</v>
      </c>
      <c r="D278" s="3" t="s">
        <v>68</v>
      </c>
      <c r="E278" s="3" t="s">
        <v>69</v>
      </c>
      <c r="F278" s="3" t="s">
        <v>40</v>
      </c>
      <c r="G278" s="3" t="n">
        <v>28</v>
      </c>
      <c r="H278" s="4" t="n">
        <v>24.99</v>
      </c>
      <c r="I278" s="4" t="n">
        <v>9</v>
      </c>
      <c r="J278" s="5" t="n">
        <v>0</v>
      </c>
      <c r="K278" s="4" t="n">
        <f aca="false">G278*H278*(1-J278)</f>
        <v>699.72</v>
      </c>
      <c r="L278" s="4" t="n">
        <f aca="false">G278*I278</f>
        <v>252</v>
      </c>
      <c r="M278" s="4" t="n">
        <f aca="false">K278-L278</f>
        <v>447.72</v>
      </c>
      <c r="N278" s="6" t="n">
        <f aca="false">IF(K278=0,0,M278/K278)</f>
        <v>0.639855942376951</v>
      </c>
      <c r="O278" s="4" t="n">
        <f aca="false">(G278*H278)-K278</f>
        <v>0</v>
      </c>
      <c r="P278" s="3" t="s">
        <v>21</v>
      </c>
    </row>
    <row r="279" customFormat="false" ht="15" hidden="false" customHeight="false" outlineLevel="0" collapsed="false">
      <c r="A279" s="7" t="n">
        <v>46101</v>
      </c>
      <c r="B279" s="8" t="s">
        <v>22</v>
      </c>
      <c r="C279" s="8" t="s">
        <v>23</v>
      </c>
      <c r="D279" s="8" t="s">
        <v>76</v>
      </c>
      <c r="E279" s="8" t="s">
        <v>77</v>
      </c>
      <c r="F279" s="8" t="s">
        <v>34</v>
      </c>
      <c r="G279" s="8" t="n">
        <v>5</v>
      </c>
      <c r="H279" s="9" t="n">
        <v>49.99</v>
      </c>
      <c r="I279" s="9" t="n">
        <v>14</v>
      </c>
      <c r="J279" s="10" t="n">
        <v>0.1</v>
      </c>
      <c r="K279" s="9" t="n">
        <f aca="false">G279*H279*(1-J279)</f>
        <v>224.955</v>
      </c>
      <c r="L279" s="9" t="n">
        <f aca="false">G279*I279</f>
        <v>70</v>
      </c>
      <c r="M279" s="9" t="n">
        <f aca="false">K279-L279</f>
        <v>154.955</v>
      </c>
      <c r="N279" s="11" t="n">
        <f aca="false">IF(K279=0,0,M279/K279)</f>
        <v>0.688826654219733</v>
      </c>
      <c r="O279" s="9" t="n">
        <f aca="false">(G279*H279)-K279</f>
        <v>24.995</v>
      </c>
      <c r="P279" s="8" t="s">
        <v>21</v>
      </c>
    </row>
    <row r="280" customFormat="false" ht="15" hidden="false" customHeight="false" outlineLevel="0" collapsed="false">
      <c r="A280" s="2" t="n">
        <v>46115</v>
      </c>
      <c r="B280" s="3" t="s">
        <v>37</v>
      </c>
      <c r="C280" s="3" t="s">
        <v>17</v>
      </c>
      <c r="D280" s="3" t="s">
        <v>95</v>
      </c>
      <c r="E280" s="3" t="s">
        <v>96</v>
      </c>
      <c r="F280" s="3" t="s">
        <v>50</v>
      </c>
      <c r="G280" s="3" t="n">
        <v>21</v>
      </c>
      <c r="H280" s="4" t="n">
        <v>34.99</v>
      </c>
      <c r="I280" s="4" t="n">
        <v>12</v>
      </c>
      <c r="J280" s="5" t="n">
        <v>0</v>
      </c>
      <c r="K280" s="4" t="n">
        <f aca="false">G280*H280*(1-J280)</f>
        <v>734.79</v>
      </c>
      <c r="L280" s="4" t="n">
        <f aca="false">G280*I280</f>
        <v>252</v>
      </c>
      <c r="M280" s="4" t="n">
        <f aca="false">K280-L280</f>
        <v>482.79</v>
      </c>
      <c r="N280" s="6" t="n">
        <f aca="false">IF(K280=0,0,M280/K280)</f>
        <v>0.657044869962847</v>
      </c>
      <c r="O280" s="4" t="n">
        <f aca="false">(G280*H280)-K280</f>
        <v>0</v>
      </c>
      <c r="P280" s="3" t="s">
        <v>21</v>
      </c>
    </row>
    <row r="281" customFormat="false" ht="15" hidden="false" customHeight="false" outlineLevel="0" collapsed="false">
      <c r="A281" s="7" t="n">
        <v>46037</v>
      </c>
      <c r="B281" s="8" t="s">
        <v>16</v>
      </c>
      <c r="C281" s="8" t="s">
        <v>17</v>
      </c>
      <c r="D281" s="8" t="s">
        <v>66</v>
      </c>
      <c r="E281" s="8" t="s">
        <v>67</v>
      </c>
      <c r="F281" s="8" t="s">
        <v>57</v>
      </c>
      <c r="G281" s="8" t="n">
        <v>5</v>
      </c>
      <c r="H281" s="9" t="n">
        <v>14.99</v>
      </c>
      <c r="I281" s="9" t="n">
        <v>5.5</v>
      </c>
      <c r="J281" s="10" t="n">
        <v>0</v>
      </c>
      <c r="K281" s="9" t="n">
        <f aca="false">G281*H281*(1-J281)</f>
        <v>74.95</v>
      </c>
      <c r="L281" s="9" t="n">
        <f aca="false">G281*I281</f>
        <v>27.5</v>
      </c>
      <c r="M281" s="9" t="n">
        <f aca="false">K281-L281</f>
        <v>47.45</v>
      </c>
      <c r="N281" s="11" t="n">
        <f aca="false">IF(K281=0,0,M281/K281)</f>
        <v>0.633088725817212</v>
      </c>
      <c r="O281" s="9" t="n">
        <f aca="false">(G281*H281)-K281</f>
        <v>0</v>
      </c>
      <c r="P281" s="8" t="s">
        <v>21</v>
      </c>
    </row>
    <row r="282" customFormat="false" ht="15" hidden="false" customHeight="false" outlineLevel="0" collapsed="false">
      <c r="A282" s="2" t="n">
        <v>46115</v>
      </c>
      <c r="B282" s="3" t="s">
        <v>31</v>
      </c>
      <c r="C282" s="3" t="s">
        <v>23</v>
      </c>
      <c r="D282" s="3" t="s">
        <v>35</v>
      </c>
      <c r="E282" s="3" t="s">
        <v>36</v>
      </c>
      <c r="F282" s="3" t="s">
        <v>26</v>
      </c>
      <c r="G282" s="3" t="n">
        <v>21</v>
      </c>
      <c r="H282" s="4" t="n">
        <v>69.99</v>
      </c>
      <c r="I282" s="4" t="n">
        <v>30</v>
      </c>
      <c r="J282" s="5" t="n">
        <v>0.1</v>
      </c>
      <c r="K282" s="4" t="n">
        <f aca="false">G282*H282*(1-J282)</f>
        <v>1322.811</v>
      </c>
      <c r="L282" s="4" t="n">
        <f aca="false">G282*I282</f>
        <v>630</v>
      </c>
      <c r="M282" s="4" t="n">
        <f aca="false">K282-L282</f>
        <v>692.811</v>
      </c>
      <c r="N282" s="6" t="n">
        <f aca="false">IF(K282=0,0,M282/K282)</f>
        <v>0.523741486879078</v>
      </c>
      <c r="O282" s="4" t="n">
        <f aca="false">(G282*H282)-K282</f>
        <v>146.979</v>
      </c>
      <c r="P282" s="3" t="s">
        <v>21</v>
      </c>
    </row>
    <row r="283" customFormat="false" ht="15" hidden="false" customHeight="false" outlineLevel="0" collapsed="false">
      <c r="A283" s="7" t="n">
        <v>46052</v>
      </c>
      <c r="B283" s="8" t="s">
        <v>58</v>
      </c>
      <c r="C283" s="8" t="s">
        <v>58</v>
      </c>
      <c r="D283" s="8" t="s">
        <v>90</v>
      </c>
      <c r="E283" s="8" t="s">
        <v>91</v>
      </c>
      <c r="F283" s="8" t="s">
        <v>26</v>
      </c>
      <c r="G283" s="8" t="n">
        <v>9</v>
      </c>
      <c r="H283" s="9" t="n">
        <v>29.99</v>
      </c>
      <c r="I283" s="9" t="n">
        <v>11</v>
      </c>
      <c r="J283" s="10" t="n">
        <v>0.15</v>
      </c>
      <c r="K283" s="9" t="n">
        <f aca="false">G283*H283*(1-J283)</f>
        <v>229.4235</v>
      </c>
      <c r="L283" s="9" t="n">
        <f aca="false">G283*I283</f>
        <v>99</v>
      </c>
      <c r="M283" s="9" t="n">
        <f aca="false">K283-L283</f>
        <v>130.4235</v>
      </c>
      <c r="N283" s="11" t="n">
        <f aca="false">IF(K283=0,0,M283/K283)</f>
        <v>0.568483612184454</v>
      </c>
      <c r="O283" s="9" t="n">
        <f aca="false">(G283*H283)-K283</f>
        <v>40.4865</v>
      </c>
      <c r="P283" s="8" t="s">
        <v>21</v>
      </c>
    </row>
    <row r="284" customFormat="false" ht="15" hidden="false" customHeight="false" outlineLevel="0" collapsed="false">
      <c r="A284" s="2" t="n">
        <v>46061</v>
      </c>
      <c r="B284" s="3" t="s">
        <v>27</v>
      </c>
      <c r="C284" s="3" t="s">
        <v>28</v>
      </c>
      <c r="D284" s="3" t="s">
        <v>61</v>
      </c>
      <c r="E284" s="3" t="s">
        <v>62</v>
      </c>
      <c r="F284" s="3" t="s">
        <v>34</v>
      </c>
      <c r="G284" s="3" t="n">
        <v>7</v>
      </c>
      <c r="H284" s="4" t="n">
        <v>14.99</v>
      </c>
      <c r="I284" s="4" t="n">
        <v>4.5</v>
      </c>
      <c r="J284" s="5" t="n">
        <v>0.15</v>
      </c>
      <c r="K284" s="4" t="n">
        <f aca="false">G284*H284*(1-J284)</f>
        <v>89.1905</v>
      </c>
      <c r="L284" s="4" t="n">
        <f aca="false">G284*I284</f>
        <v>31.5</v>
      </c>
      <c r="M284" s="4" t="n">
        <f aca="false">K284-L284</f>
        <v>57.6905</v>
      </c>
      <c r="N284" s="6" t="n">
        <f aca="false">IF(K284=0,0,M284/K284)</f>
        <v>0.646823372444375</v>
      </c>
      <c r="O284" s="4" t="n">
        <f aca="false">(G284*H284)-K284</f>
        <v>15.7395</v>
      </c>
      <c r="P284" s="3" t="s">
        <v>21</v>
      </c>
    </row>
    <row r="285" customFormat="false" ht="15" hidden="false" customHeight="false" outlineLevel="0" collapsed="false">
      <c r="A285" s="7" t="n">
        <v>46110</v>
      </c>
      <c r="B285" s="8" t="s">
        <v>22</v>
      </c>
      <c r="C285" s="8" t="s">
        <v>23</v>
      </c>
      <c r="D285" s="8" t="s">
        <v>90</v>
      </c>
      <c r="E285" s="8" t="s">
        <v>91</v>
      </c>
      <c r="F285" s="8" t="s">
        <v>26</v>
      </c>
      <c r="G285" s="8" t="n">
        <v>23</v>
      </c>
      <c r="H285" s="9" t="n">
        <v>24.99</v>
      </c>
      <c r="I285" s="9" t="n">
        <v>11</v>
      </c>
      <c r="J285" s="10" t="n">
        <v>0.1</v>
      </c>
      <c r="K285" s="9" t="n">
        <f aca="false">G285*H285*(1-J285)</f>
        <v>517.293</v>
      </c>
      <c r="L285" s="9" t="n">
        <f aca="false">G285*I285</f>
        <v>253</v>
      </c>
      <c r="M285" s="9" t="n">
        <f aca="false">K285-L285</f>
        <v>264.293</v>
      </c>
      <c r="N285" s="11" t="n">
        <f aca="false">IF(K285=0,0,M285/K285)</f>
        <v>0.510915477302032</v>
      </c>
      <c r="O285" s="9" t="n">
        <f aca="false">(G285*H285)-K285</f>
        <v>57.477</v>
      </c>
      <c r="P285" s="8" t="s">
        <v>21</v>
      </c>
    </row>
    <row r="286" customFormat="false" ht="15" hidden="false" customHeight="false" outlineLevel="0" collapsed="false">
      <c r="A286" s="2" t="n">
        <v>46123</v>
      </c>
      <c r="B286" s="3" t="s">
        <v>37</v>
      </c>
      <c r="C286" s="3" t="s">
        <v>17</v>
      </c>
      <c r="D286" s="3" t="s">
        <v>29</v>
      </c>
      <c r="E286" s="3" t="s">
        <v>30</v>
      </c>
      <c r="F286" s="3" t="s">
        <v>20</v>
      </c>
      <c r="G286" s="3" t="n">
        <v>15</v>
      </c>
      <c r="H286" s="4" t="n">
        <v>79.99</v>
      </c>
      <c r="I286" s="4" t="n">
        <v>42</v>
      </c>
      <c r="J286" s="5" t="n">
        <v>0</v>
      </c>
      <c r="K286" s="4" t="n">
        <f aca="false">G286*H286*(1-J286)</f>
        <v>1199.85</v>
      </c>
      <c r="L286" s="4" t="n">
        <f aca="false">G286*I286</f>
        <v>630</v>
      </c>
      <c r="M286" s="4" t="n">
        <f aca="false">K286-L286</f>
        <v>569.85</v>
      </c>
      <c r="N286" s="6" t="n">
        <f aca="false">IF(K286=0,0,M286/K286)</f>
        <v>0.474934366795849</v>
      </c>
      <c r="O286" s="4" t="n">
        <f aca="false">(G286*H286)-K286</f>
        <v>0</v>
      </c>
      <c r="P286" s="3" t="s">
        <v>21</v>
      </c>
    </row>
    <row r="287" customFormat="false" ht="15" hidden="false" customHeight="false" outlineLevel="0" collapsed="false">
      <c r="A287" s="7" t="n">
        <v>46105</v>
      </c>
      <c r="B287" s="8" t="s">
        <v>16</v>
      </c>
      <c r="C287" s="8" t="s">
        <v>17</v>
      </c>
      <c r="D287" s="8" t="s">
        <v>32</v>
      </c>
      <c r="E287" s="8" t="s">
        <v>33</v>
      </c>
      <c r="F287" s="8" t="s">
        <v>34</v>
      </c>
      <c r="G287" s="8" t="n">
        <v>3</v>
      </c>
      <c r="H287" s="9" t="n">
        <v>4.53</v>
      </c>
      <c r="I287" s="9" t="n">
        <v>6</v>
      </c>
      <c r="J287" s="10" t="n">
        <v>0</v>
      </c>
      <c r="K287" s="9" t="n">
        <f aca="false">G287*H287*(1-J287)</f>
        <v>13.59</v>
      </c>
      <c r="L287" s="9" t="n">
        <f aca="false">G287*I287</f>
        <v>18</v>
      </c>
      <c r="M287" s="9" t="n">
        <f aca="false">K287-L287</f>
        <v>-4.41</v>
      </c>
      <c r="N287" s="11" t="n">
        <f aca="false">IF(K287=0,0,M287/K287)</f>
        <v>-0.324503311258278</v>
      </c>
      <c r="O287" s="9" t="n">
        <f aca="false">(G287*H287)-K287</f>
        <v>0</v>
      </c>
      <c r="P287" s="15" t="s">
        <v>98</v>
      </c>
    </row>
    <row r="288" customFormat="false" ht="15" hidden="false" customHeight="false" outlineLevel="0" collapsed="false">
      <c r="A288" s="2" t="n">
        <v>46034</v>
      </c>
      <c r="B288" s="3" t="s">
        <v>31</v>
      </c>
      <c r="C288" s="3" t="s">
        <v>23</v>
      </c>
      <c r="D288" s="3" t="s">
        <v>90</v>
      </c>
      <c r="E288" s="3" t="s">
        <v>91</v>
      </c>
      <c r="F288" s="3" t="s">
        <v>26</v>
      </c>
      <c r="G288" s="3" t="n">
        <v>15</v>
      </c>
      <c r="H288" s="4" t="n">
        <v>29.99</v>
      </c>
      <c r="I288" s="4" t="n">
        <v>11</v>
      </c>
      <c r="J288" s="5" t="n">
        <v>0.1</v>
      </c>
      <c r="K288" s="4" t="n">
        <f aca="false">G288*H288*(1-J288)</f>
        <v>404.865</v>
      </c>
      <c r="L288" s="4" t="n">
        <f aca="false">G288*I288</f>
        <v>165</v>
      </c>
      <c r="M288" s="4" t="n">
        <f aca="false">K288-L288</f>
        <v>239.865</v>
      </c>
      <c r="N288" s="6" t="n">
        <f aca="false">IF(K288=0,0,M288/K288)</f>
        <v>0.592456744840873</v>
      </c>
      <c r="O288" s="4" t="n">
        <f aca="false">(G288*H288)-K288</f>
        <v>44.985</v>
      </c>
      <c r="P288" s="3" t="s">
        <v>21</v>
      </c>
    </row>
    <row r="289" customFormat="false" ht="15" hidden="false" customHeight="false" outlineLevel="0" collapsed="false">
      <c r="A289" s="7" t="n">
        <v>46101</v>
      </c>
      <c r="B289" s="8" t="s">
        <v>22</v>
      </c>
      <c r="C289" s="8" t="s">
        <v>23</v>
      </c>
      <c r="D289" s="8" t="s">
        <v>55</v>
      </c>
      <c r="E289" s="8" t="s">
        <v>56</v>
      </c>
      <c r="F289" s="8" t="s">
        <v>57</v>
      </c>
      <c r="G289" s="8" t="n">
        <v>21</v>
      </c>
      <c r="H289" s="9" t="n">
        <v>29.99</v>
      </c>
      <c r="I289" s="9" t="n">
        <v>11</v>
      </c>
      <c r="J289" s="10" t="n">
        <v>0</v>
      </c>
      <c r="K289" s="9" t="n">
        <f aca="false">G289*H289*(1-J289)</f>
        <v>629.79</v>
      </c>
      <c r="L289" s="9" t="n">
        <f aca="false">G289*I289</f>
        <v>231</v>
      </c>
      <c r="M289" s="9" t="n">
        <f aca="false">K289-L289</f>
        <v>398.79</v>
      </c>
      <c r="N289" s="11" t="n">
        <f aca="false">IF(K289=0,0,M289/K289)</f>
        <v>0.633211070356786</v>
      </c>
      <c r="O289" s="9" t="n">
        <f aca="false">(G289*H289)-K289</f>
        <v>0</v>
      </c>
      <c r="P289" s="8" t="s">
        <v>21</v>
      </c>
    </row>
    <row r="290" customFormat="false" ht="15" hidden="false" customHeight="false" outlineLevel="0" collapsed="false">
      <c r="A290" s="2" t="n">
        <v>46068</v>
      </c>
      <c r="B290" s="3" t="s">
        <v>58</v>
      </c>
      <c r="C290" s="3" t="s">
        <v>58</v>
      </c>
      <c r="D290" s="3" t="s">
        <v>61</v>
      </c>
      <c r="E290" s="3" t="s">
        <v>62</v>
      </c>
      <c r="F290" s="3" t="s">
        <v>34</v>
      </c>
      <c r="G290" s="3" t="n">
        <v>22</v>
      </c>
      <c r="H290" s="4" t="n">
        <v>12.99</v>
      </c>
      <c r="I290" s="4" t="n">
        <v>4.5</v>
      </c>
      <c r="J290" s="5" t="n">
        <v>0.1</v>
      </c>
      <c r="K290" s="4" t="n">
        <f aca="false">G290*H290*(1-J290)</f>
        <v>257.202</v>
      </c>
      <c r="L290" s="4" t="n">
        <f aca="false">G290*I290</f>
        <v>99</v>
      </c>
      <c r="M290" s="4" t="n">
        <f aca="false">K290-L290</f>
        <v>158.202</v>
      </c>
      <c r="N290" s="6" t="n">
        <f aca="false">IF(K290=0,0,M290/K290)</f>
        <v>0.615088529638183</v>
      </c>
      <c r="O290" s="4" t="n">
        <f aca="false">(G290*H290)-K290</f>
        <v>28.578</v>
      </c>
      <c r="P290" s="3" t="s">
        <v>21</v>
      </c>
    </row>
    <row r="291" customFormat="false" ht="15" hidden="false" customHeight="false" outlineLevel="0" collapsed="false">
      <c r="A291" s="7" t="n">
        <v>46069</v>
      </c>
      <c r="B291" s="8" t="s">
        <v>37</v>
      </c>
      <c r="C291" s="8" t="s">
        <v>17</v>
      </c>
      <c r="D291" s="8" t="s">
        <v>53</v>
      </c>
      <c r="E291" s="8" t="s">
        <v>54</v>
      </c>
      <c r="F291" s="8" t="s">
        <v>50</v>
      </c>
      <c r="G291" s="8" t="n">
        <v>25</v>
      </c>
      <c r="H291" s="9" t="n">
        <v>22.99</v>
      </c>
      <c r="I291" s="9" t="n">
        <v>8</v>
      </c>
      <c r="J291" s="10" t="n">
        <v>0.3</v>
      </c>
      <c r="K291" s="9" t="n">
        <f aca="false">G291*H291*(1-J291)</f>
        <v>402.325</v>
      </c>
      <c r="L291" s="9" t="n">
        <f aca="false">G291*I291</f>
        <v>200</v>
      </c>
      <c r="M291" s="9" t="n">
        <f aca="false">K291-L291</f>
        <v>202.325</v>
      </c>
      <c r="N291" s="11" t="n">
        <f aca="false">IF(K291=0,0,M291/K291)</f>
        <v>0.502889455042565</v>
      </c>
      <c r="O291" s="9" t="n">
        <f aca="false">(G291*H291)-K291</f>
        <v>172.425</v>
      </c>
      <c r="P291" s="8" t="s">
        <v>21</v>
      </c>
    </row>
    <row r="292" customFormat="false" ht="15" hidden="false" customHeight="false" outlineLevel="0" collapsed="false">
      <c r="A292" s="2" t="n">
        <v>46106</v>
      </c>
      <c r="B292" s="3" t="s">
        <v>41</v>
      </c>
      <c r="C292" s="3" t="s">
        <v>28</v>
      </c>
      <c r="D292" s="3" t="s">
        <v>35</v>
      </c>
      <c r="E292" s="3" t="s">
        <v>36</v>
      </c>
      <c r="F292" s="3" t="s">
        <v>26</v>
      </c>
      <c r="G292" s="3" t="n">
        <v>4</v>
      </c>
      <c r="H292" s="4" t="n">
        <v>69.99</v>
      </c>
      <c r="I292" s="4" t="n">
        <v>30</v>
      </c>
      <c r="J292" s="5" t="n">
        <v>0.1</v>
      </c>
      <c r="K292" s="4" t="n">
        <f aca="false">G292*H292*(1-J292)</f>
        <v>251.964</v>
      </c>
      <c r="L292" s="4" t="n">
        <f aca="false">G292*I292</f>
        <v>120</v>
      </c>
      <c r="M292" s="4" t="n">
        <f aca="false">K292-L292</f>
        <v>131.964</v>
      </c>
      <c r="N292" s="6" t="n">
        <f aca="false">IF(K292=0,0,M292/K292)</f>
        <v>0.523741486879078</v>
      </c>
      <c r="O292" s="4" t="n">
        <f aca="false">(G292*H292)-K292</f>
        <v>27.996</v>
      </c>
      <c r="P292" s="3" t="s">
        <v>21</v>
      </c>
    </row>
    <row r="293" customFormat="false" ht="15" hidden="false" customHeight="false" outlineLevel="0" collapsed="false">
      <c r="A293" s="7" t="n">
        <v>46111</v>
      </c>
      <c r="B293" s="8" t="s">
        <v>16</v>
      </c>
      <c r="C293" s="8" t="s">
        <v>17</v>
      </c>
      <c r="D293" s="8" t="s">
        <v>51</v>
      </c>
      <c r="E293" s="8" t="s">
        <v>52</v>
      </c>
      <c r="F293" s="8" t="s">
        <v>50</v>
      </c>
      <c r="G293" s="8" t="n">
        <v>25</v>
      </c>
      <c r="H293" s="9" t="n">
        <v>19.99</v>
      </c>
      <c r="I293" s="9" t="n">
        <v>7</v>
      </c>
      <c r="J293" s="10" t="n">
        <v>0</v>
      </c>
      <c r="K293" s="9" t="n">
        <f aca="false">G293*H293*(1-J293)</f>
        <v>499.75</v>
      </c>
      <c r="L293" s="9" t="n">
        <f aca="false">G293*I293</f>
        <v>175</v>
      </c>
      <c r="M293" s="9" t="n">
        <f aca="false">K293-L293</f>
        <v>324.75</v>
      </c>
      <c r="N293" s="11" t="n">
        <f aca="false">IF(K293=0,0,M293/K293)</f>
        <v>0.649824912456228</v>
      </c>
      <c r="O293" s="9" t="n">
        <f aca="false">(G293*H293)-K293</f>
        <v>0</v>
      </c>
      <c r="P293" s="8" t="s">
        <v>21</v>
      </c>
    </row>
    <row r="294" customFormat="false" ht="15" hidden="false" customHeight="false" outlineLevel="0" collapsed="false">
      <c r="A294" s="2" t="n">
        <v>46081</v>
      </c>
      <c r="B294" s="3" t="s">
        <v>31</v>
      </c>
      <c r="C294" s="3" t="s">
        <v>23</v>
      </c>
      <c r="D294" s="3" t="s">
        <v>86</v>
      </c>
      <c r="E294" s="3" t="s">
        <v>87</v>
      </c>
      <c r="F294" s="3" t="s">
        <v>40</v>
      </c>
      <c r="G294" s="3" t="n">
        <v>8</v>
      </c>
      <c r="H294" s="4" t="n">
        <v>16.99</v>
      </c>
      <c r="I294" s="4" t="n">
        <v>5.5</v>
      </c>
      <c r="J294" s="5" t="n">
        <v>0.2</v>
      </c>
      <c r="K294" s="4" t="n">
        <f aca="false">G294*H294*(1-J294)</f>
        <v>108.736</v>
      </c>
      <c r="L294" s="4" t="n">
        <f aca="false">G294*I294</f>
        <v>44</v>
      </c>
      <c r="M294" s="4" t="n">
        <f aca="false">K294-L294</f>
        <v>64.736</v>
      </c>
      <c r="N294" s="6" t="n">
        <f aca="false">IF(K294=0,0,M294/K294)</f>
        <v>0.595350206003532</v>
      </c>
      <c r="O294" s="4" t="n">
        <f aca="false">(G294*H294)-K294</f>
        <v>27.184</v>
      </c>
      <c r="P294" s="3" t="s">
        <v>21</v>
      </c>
    </row>
    <row r="295" customFormat="false" ht="15" hidden="false" customHeight="false" outlineLevel="0" collapsed="false">
      <c r="A295" s="7" t="n">
        <v>46085</v>
      </c>
      <c r="B295" s="8" t="s">
        <v>22</v>
      </c>
      <c r="C295" s="8" t="s">
        <v>23</v>
      </c>
      <c r="D295" s="8" t="s">
        <v>88</v>
      </c>
      <c r="E295" s="8" t="s">
        <v>89</v>
      </c>
      <c r="F295" s="8" t="s">
        <v>57</v>
      </c>
      <c r="G295" s="8" t="n">
        <v>22</v>
      </c>
      <c r="H295" s="9" t="n">
        <v>12.99</v>
      </c>
      <c r="I295" s="9" t="n">
        <v>4.5</v>
      </c>
      <c r="J295" s="10" t="n">
        <v>0.15</v>
      </c>
      <c r="K295" s="9" t="n">
        <f aca="false">G295*H295*(1-J295)</f>
        <v>242.913</v>
      </c>
      <c r="L295" s="9" t="n">
        <f aca="false">G295*I295</f>
        <v>99</v>
      </c>
      <c r="M295" s="9" t="n">
        <f aca="false">K295-L295</f>
        <v>143.913</v>
      </c>
      <c r="N295" s="11" t="n">
        <f aca="false">IF(K295=0,0,M295/K295)</f>
        <v>0.592446678440429</v>
      </c>
      <c r="O295" s="9" t="n">
        <f aca="false">(G295*H295)-K295</f>
        <v>42.867</v>
      </c>
      <c r="P295" s="8" t="s">
        <v>21</v>
      </c>
    </row>
    <row r="296" customFormat="false" ht="15" hidden="false" customHeight="false" outlineLevel="0" collapsed="false">
      <c r="A296" s="2" t="n">
        <v>46132</v>
      </c>
      <c r="B296" s="3" t="s">
        <v>41</v>
      </c>
      <c r="C296" s="3" t="s">
        <v>28</v>
      </c>
      <c r="D296" s="3" t="s">
        <v>53</v>
      </c>
      <c r="E296" s="3" t="s">
        <v>54</v>
      </c>
      <c r="F296" s="3" t="s">
        <v>50</v>
      </c>
      <c r="G296" s="3" t="n">
        <v>9</v>
      </c>
      <c r="H296" s="4" t="n">
        <v>22.99</v>
      </c>
      <c r="I296" s="4" t="n">
        <v>8</v>
      </c>
      <c r="J296" s="5" t="n">
        <v>0</v>
      </c>
      <c r="K296" s="4" t="n">
        <f aca="false">G296*H296*(1-J296)</f>
        <v>206.91</v>
      </c>
      <c r="L296" s="4" t="n">
        <f aca="false">G296*I296</f>
        <v>72</v>
      </c>
      <c r="M296" s="4" t="n">
        <f aca="false">K296-L296</f>
        <v>134.91</v>
      </c>
      <c r="N296" s="6" t="n">
        <f aca="false">IF(K296=0,0,M296/K296)</f>
        <v>0.652022618529796</v>
      </c>
      <c r="O296" s="4" t="n">
        <f aca="false">(G296*H296)-K296</f>
        <v>0</v>
      </c>
      <c r="P296" s="3" t="s">
        <v>21</v>
      </c>
    </row>
    <row r="297" customFormat="false" ht="15" hidden="false" customHeight="false" outlineLevel="0" collapsed="false">
      <c r="A297" s="7" t="n">
        <v>46085</v>
      </c>
      <c r="B297" s="8" t="s">
        <v>41</v>
      </c>
      <c r="C297" s="8" t="s">
        <v>28</v>
      </c>
      <c r="D297" s="8" t="s">
        <v>29</v>
      </c>
      <c r="E297" s="8" t="s">
        <v>30</v>
      </c>
      <c r="F297" s="8" t="s">
        <v>20</v>
      </c>
      <c r="G297" s="8" t="n">
        <v>23</v>
      </c>
      <c r="H297" s="9" t="n">
        <v>79.99</v>
      </c>
      <c r="I297" s="9" t="n">
        <v>42</v>
      </c>
      <c r="J297" s="10" t="n">
        <v>0.2</v>
      </c>
      <c r="K297" s="9" t="n">
        <f aca="false">G297*H297*(1-J297)</f>
        <v>1471.816</v>
      </c>
      <c r="L297" s="9" t="n">
        <f aca="false">G297*I297</f>
        <v>966</v>
      </c>
      <c r="M297" s="9" t="n">
        <f aca="false">K297-L297</f>
        <v>505.816</v>
      </c>
      <c r="N297" s="11" t="n">
        <f aca="false">IF(K297=0,0,M297/K297)</f>
        <v>0.343667958494812</v>
      </c>
      <c r="O297" s="9" t="n">
        <f aca="false">(G297*H297)-K297</f>
        <v>367.954</v>
      </c>
      <c r="P297" s="8" t="s">
        <v>21</v>
      </c>
    </row>
    <row r="298" customFormat="false" ht="15" hidden="false" customHeight="false" outlineLevel="0" collapsed="false">
      <c r="A298" s="2" t="n">
        <v>46121</v>
      </c>
      <c r="B298" s="3" t="s">
        <v>16</v>
      </c>
      <c r="C298" s="3" t="s">
        <v>17</v>
      </c>
      <c r="D298" s="3" t="s">
        <v>42</v>
      </c>
      <c r="E298" s="3" t="s">
        <v>43</v>
      </c>
      <c r="F298" s="3" t="s">
        <v>34</v>
      </c>
      <c r="G298" s="3" t="n">
        <v>21</v>
      </c>
      <c r="H298" s="4" t="n">
        <v>11.99</v>
      </c>
      <c r="I298" s="4" t="n">
        <v>3.5</v>
      </c>
      <c r="J298" s="5" t="n">
        <v>0.3</v>
      </c>
      <c r="K298" s="4" t="n">
        <f aca="false">G298*H298*(1-J298)</f>
        <v>176.253</v>
      </c>
      <c r="L298" s="4" t="n">
        <f aca="false">G298*I298</f>
        <v>73.5</v>
      </c>
      <c r="M298" s="4" t="n">
        <f aca="false">K298-L298</f>
        <v>102.753</v>
      </c>
      <c r="N298" s="6" t="n">
        <f aca="false">IF(K298=0,0,M298/K298)</f>
        <v>0.582985821517932</v>
      </c>
      <c r="O298" s="4" t="n">
        <f aca="false">(G298*H298)-K298</f>
        <v>75.537</v>
      </c>
      <c r="P298" s="3" t="s">
        <v>21</v>
      </c>
    </row>
    <row r="299" customFormat="false" ht="15" hidden="false" customHeight="false" outlineLevel="0" collapsed="false">
      <c r="A299" s="7" t="n">
        <v>46026</v>
      </c>
      <c r="B299" s="8" t="s">
        <v>58</v>
      </c>
      <c r="C299" s="8" t="s">
        <v>58</v>
      </c>
      <c r="D299" s="8" t="s">
        <v>35</v>
      </c>
      <c r="E299" s="8" t="s">
        <v>36</v>
      </c>
      <c r="F299" s="8" t="s">
        <v>26</v>
      </c>
      <c r="G299" s="8" t="n">
        <v>21</v>
      </c>
      <c r="H299" s="9" t="n">
        <v>69.99</v>
      </c>
      <c r="I299" s="9" t="n">
        <v>30</v>
      </c>
      <c r="J299" s="10" t="n">
        <v>0.25</v>
      </c>
      <c r="K299" s="9" t="n">
        <f aca="false">G299*H299*(1-J299)</f>
        <v>1102.3425</v>
      </c>
      <c r="L299" s="9" t="n">
        <f aca="false">G299*I299</f>
        <v>630</v>
      </c>
      <c r="M299" s="9" t="n">
        <f aca="false">K299-L299</f>
        <v>472.3425</v>
      </c>
      <c r="N299" s="11" t="n">
        <f aca="false">IF(K299=0,0,M299/K299)</f>
        <v>0.428489784254894</v>
      </c>
      <c r="O299" s="9" t="n">
        <f aca="false">(G299*H299)-K299</f>
        <v>367.4475</v>
      </c>
      <c r="P299" s="8" t="s">
        <v>21</v>
      </c>
    </row>
    <row r="300" customFormat="false" ht="15" hidden="false" customHeight="false" outlineLevel="0" collapsed="false">
      <c r="A300" s="2" t="n">
        <v>46092</v>
      </c>
      <c r="B300" s="3" t="s">
        <v>31</v>
      </c>
      <c r="C300" s="3" t="s">
        <v>23</v>
      </c>
      <c r="D300" s="3" t="s">
        <v>80</v>
      </c>
      <c r="E300" s="3" t="s">
        <v>81</v>
      </c>
      <c r="F300" s="3" t="s">
        <v>57</v>
      </c>
      <c r="G300" s="3" t="n">
        <v>11</v>
      </c>
      <c r="H300" s="4" t="n">
        <v>17.99</v>
      </c>
      <c r="I300" s="4" t="n">
        <v>6.5</v>
      </c>
      <c r="J300" s="5" t="n">
        <v>0.15</v>
      </c>
      <c r="K300" s="4" t="n">
        <f aca="false">G300*H300*(1-J300)</f>
        <v>168.2065</v>
      </c>
      <c r="L300" s="4" t="n">
        <f aca="false">G300*I300</f>
        <v>71.5</v>
      </c>
      <c r="M300" s="4" t="n">
        <f aca="false">K300-L300</f>
        <v>96.7065</v>
      </c>
      <c r="N300" s="6" t="n">
        <f aca="false">IF(K300=0,0,M300/K300)</f>
        <v>0.574927247163457</v>
      </c>
      <c r="O300" s="4" t="n">
        <f aca="false">(G300*H300)-K300</f>
        <v>29.6835</v>
      </c>
      <c r="P300" s="3" t="s">
        <v>21</v>
      </c>
    </row>
    <row r="301" customFormat="false" ht="15" hidden="false" customHeight="false" outlineLevel="0" collapsed="false">
      <c r="A301" s="7" t="n">
        <v>46083</v>
      </c>
      <c r="B301" s="8" t="s">
        <v>22</v>
      </c>
      <c r="C301" s="8" t="s">
        <v>23</v>
      </c>
      <c r="D301" s="8" t="s">
        <v>84</v>
      </c>
      <c r="E301" s="8" t="s">
        <v>85</v>
      </c>
      <c r="F301" s="8" t="s">
        <v>20</v>
      </c>
      <c r="G301" s="8" t="n">
        <v>27</v>
      </c>
      <c r="H301" s="9" t="n">
        <v>34.99</v>
      </c>
      <c r="I301" s="9" t="n">
        <v>13</v>
      </c>
      <c r="J301" s="10" t="n">
        <v>0</v>
      </c>
      <c r="K301" s="9" t="n">
        <f aca="false">G301*H301*(1-J301)</f>
        <v>944.73</v>
      </c>
      <c r="L301" s="9" t="n">
        <f aca="false">G301*I301</f>
        <v>351</v>
      </c>
      <c r="M301" s="9" t="n">
        <f aca="false">K301-L301</f>
        <v>593.73</v>
      </c>
      <c r="N301" s="11" t="n">
        <f aca="false">IF(K301=0,0,M301/K301)</f>
        <v>0.628465275793084</v>
      </c>
      <c r="O301" s="9" t="n">
        <f aca="false">(G301*H301)-K301</f>
        <v>0</v>
      </c>
      <c r="P301" s="8" t="s">
        <v>21</v>
      </c>
    </row>
    <row r="302" customFormat="false" ht="15" hidden="false" customHeight="false" outlineLevel="0" collapsed="false">
      <c r="A302" s="2" t="n">
        <v>46118</v>
      </c>
      <c r="B302" s="3" t="s">
        <v>64</v>
      </c>
      <c r="C302" s="3" t="s">
        <v>65</v>
      </c>
      <c r="D302" s="3" t="s">
        <v>88</v>
      </c>
      <c r="E302" s="3" t="s">
        <v>89</v>
      </c>
      <c r="F302" s="3" t="s">
        <v>57</v>
      </c>
      <c r="G302" s="3" t="n">
        <v>24</v>
      </c>
      <c r="H302" s="4" t="n">
        <v>14.99</v>
      </c>
      <c r="I302" s="4" t="n">
        <v>4.5</v>
      </c>
      <c r="J302" s="5" t="n">
        <v>0</v>
      </c>
      <c r="K302" s="4" t="n">
        <f aca="false">G302*H302*(1-J302)</f>
        <v>359.76</v>
      </c>
      <c r="L302" s="4" t="n">
        <f aca="false">G302*I302</f>
        <v>108</v>
      </c>
      <c r="M302" s="4" t="n">
        <f aca="false">K302-L302</f>
        <v>251.76</v>
      </c>
      <c r="N302" s="6" t="n">
        <f aca="false">IF(K302=0,0,M302/K302)</f>
        <v>0.699799866577718</v>
      </c>
      <c r="O302" s="4" t="n">
        <f aca="false">(G302*H302)-K302</f>
        <v>0</v>
      </c>
      <c r="P302" s="3" t="s">
        <v>21</v>
      </c>
    </row>
    <row r="303" customFormat="false" ht="15" hidden="false" customHeight="false" outlineLevel="0" collapsed="false">
      <c r="A303" s="7" t="n">
        <v>46120</v>
      </c>
      <c r="B303" s="8" t="s">
        <v>58</v>
      </c>
      <c r="C303" s="8" t="s">
        <v>58</v>
      </c>
      <c r="D303" s="8" t="s">
        <v>53</v>
      </c>
      <c r="E303" s="8" t="s">
        <v>54</v>
      </c>
      <c r="F303" s="8" t="s">
        <v>50</v>
      </c>
      <c r="G303" s="8" t="n">
        <v>20</v>
      </c>
      <c r="H303" s="9" t="n">
        <v>22.99</v>
      </c>
      <c r="I303" s="9" t="n">
        <v>8</v>
      </c>
      <c r="J303" s="10" t="n">
        <v>0</v>
      </c>
      <c r="K303" s="9" t="n">
        <f aca="false">G303*H303*(1-J303)</f>
        <v>459.8</v>
      </c>
      <c r="L303" s="9" t="n">
        <f aca="false">G303*I303</f>
        <v>160</v>
      </c>
      <c r="M303" s="9" t="n">
        <f aca="false">K303-L303</f>
        <v>299.8</v>
      </c>
      <c r="N303" s="11" t="n">
        <f aca="false">IF(K303=0,0,M303/K303)</f>
        <v>0.652022618529796</v>
      </c>
      <c r="O303" s="9" t="n">
        <f aca="false">(G303*H303)-K303</f>
        <v>0</v>
      </c>
      <c r="P303" s="8" t="s">
        <v>21</v>
      </c>
    </row>
    <row r="304" customFormat="false" ht="15" hidden="false" customHeight="false" outlineLevel="0" collapsed="false">
      <c r="A304" s="2" t="n">
        <v>46131</v>
      </c>
      <c r="B304" s="3" t="s">
        <v>64</v>
      </c>
      <c r="C304" s="3" t="s">
        <v>65</v>
      </c>
      <c r="D304" s="3" t="s">
        <v>95</v>
      </c>
      <c r="E304" s="3" t="s">
        <v>96</v>
      </c>
      <c r="F304" s="3" t="s">
        <v>50</v>
      </c>
      <c r="G304" s="3" t="n">
        <v>11</v>
      </c>
      <c r="H304" s="4" t="n">
        <v>34.99</v>
      </c>
      <c r="I304" s="4" t="n">
        <v>12</v>
      </c>
      <c r="J304" s="5" t="n">
        <v>0</v>
      </c>
      <c r="K304" s="4" t="n">
        <f aca="false">G304*H304*(1-J304)</f>
        <v>384.89</v>
      </c>
      <c r="L304" s="4" t="n">
        <f aca="false">G304*I304</f>
        <v>132</v>
      </c>
      <c r="M304" s="4" t="n">
        <f aca="false">K304-L304</f>
        <v>252.89</v>
      </c>
      <c r="N304" s="6" t="n">
        <f aca="false">IF(K304=0,0,M304/K304)</f>
        <v>0.657044869962847</v>
      </c>
      <c r="O304" s="4" t="n">
        <f aca="false">(G304*H304)-K304</f>
        <v>0</v>
      </c>
      <c r="P304" s="3" t="s">
        <v>21</v>
      </c>
    </row>
    <row r="305" customFormat="false" ht="15" hidden="false" customHeight="false" outlineLevel="0" collapsed="false">
      <c r="A305" s="7" t="n">
        <v>46131</v>
      </c>
      <c r="B305" s="8" t="s">
        <v>27</v>
      </c>
      <c r="C305" s="8" t="s">
        <v>28</v>
      </c>
      <c r="D305" s="8" t="s">
        <v>24</v>
      </c>
      <c r="E305" s="8" t="s">
        <v>25</v>
      </c>
      <c r="F305" s="8" t="s">
        <v>26</v>
      </c>
      <c r="G305" s="8" t="n">
        <v>17</v>
      </c>
      <c r="H305" s="9" t="n">
        <v>54.99</v>
      </c>
      <c r="I305" s="9" t="n">
        <v>24</v>
      </c>
      <c r="J305" s="10" t="n">
        <v>0.25</v>
      </c>
      <c r="K305" s="9" t="n">
        <f aca="false">G305*H305*(1-J305)</f>
        <v>701.1225</v>
      </c>
      <c r="L305" s="9" t="n">
        <f aca="false">G305*I305</f>
        <v>408</v>
      </c>
      <c r="M305" s="9" t="n">
        <f aca="false">K305-L305</f>
        <v>293.1225</v>
      </c>
      <c r="N305" s="11" t="n">
        <f aca="false">IF(K305=0,0,M305/K305)</f>
        <v>0.418076013820695</v>
      </c>
      <c r="O305" s="9" t="n">
        <f aca="false">(G305*H305)-K305</f>
        <v>233.7075</v>
      </c>
      <c r="P305" s="8" t="s">
        <v>21</v>
      </c>
    </row>
    <row r="306" customFormat="false" ht="15" hidden="false" customHeight="false" outlineLevel="0" collapsed="false">
      <c r="A306" s="2" t="n">
        <v>46050</v>
      </c>
      <c r="B306" s="3" t="s">
        <v>58</v>
      </c>
      <c r="C306" s="3" t="s">
        <v>58</v>
      </c>
      <c r="D306" s="3" t="s">
        <v>61</v>
      </c>
      <c r="E306" s="3" t="s">
        <v>62</v>
      </c>
      <c r="F306" s="3" t="s">
        <v>34</v>
      </c>
      <c r="G306" s="3" t="n">
        <v>9</v>
      </c>
      <c r="H306" s="4" t="n">
        <v>14.99</v>
      </c>
      <c r="I306" s="4" t="n">
        <v>4.5</v>
      </c>
      <c r="J306" s="5" t="n">
        <v>0.1</v>
      </c>
      <c r="K306" s="4" t="n">
        <f aca="false">G306*H306*(1-J306)</f>
        <v>121.419</v>
      </c>
      <c r="L306" s="4" t="n">
        <f aca="false">G306*I306</f>
        <v>40.5</v>
      </c>
      <c r="M306" s="4" t="n">
        <f aca="false">K306-L306</f>
        <v>80.919</v>
      </c>
      <c r="N306" s="6" t="n">
        <f aca="false">IF(K306=0,0,M306/K306)</f>
        <v>0.666444296197465</v>
      </c>
      <c r="O306" s="4" t="n">
        <f aca="false">(G306*H306)-K306</f>
        <v>13.491</v>
      </c>
      <c r="P306" s="3" t="s">
        <v>21</v>
      </c>
    </row>
    <row r="307" customFormat="false" ht="15" hidden="false" customHeight="false" outlineLevel="0" collapsed="false">
      <c r="A307" s="7" t="n">
        <v>46120</v>
      </c>
      <c r="B307" s="8" t="s">
        <v>64</v>
      </c>
      <c r="C307" s="8" t="s">
        <v>65</v>
      </c>
      <c r="D307" s="8" t="s">
        <v>53</v>
      </c>
      <c r="E307" s="8" t="s">
        <v>54</v>
      </c>
      <c r="F307" s="8" t="s">
        <v>50</v>
      </c>
      <c r="G307" s="8" t="n">
        <v>30</v>
      </c>
      <c r="H307" s="9" t="n">
        <v>22.99</v>
      </c>
      <c r="I307" s="9" t="n">
        <v>8</v>
      </c>
      <c r="J307" s="10" t="n">
        <v>0.1</v>
      </c>
      <c r="K307" s="9" t="n">
        <f aca="false">G307*H307*(1-J307)</f>
        <v>620.73</v>
      </c>
      <c r="L307" s="9" t="n">
        <f aca="false">G307*I307</f>
        <v>240</v>
      </c>
      <c r="M307" s="9" t="n">
        <f aca="false">K307-L307</f>
        <v>380.73</v>
      </c>
      <c r="N307" s="11" t="n">
        <f aca="false">IF(K307=0,0,M307/K307)</f>
        <v>0.613358465033106</v>
      </c>
      <c r="O307" s="9" t="n">
        <f aca="false">(G307*H307)-K307</f>
        <v>68.97</v>
      </c>
      <c r="P307" s="8" t="s">
        <v>21</v>
      </c>
    </row>
    <row r="308" customFormat="false" ht="15" hidden="false" customHeight="false" outlineLevel="0" collapsed="false">
      <c r="A308" s="2" t="n">
        <v>46116</v>
      </c>
      <c r="B308" s="3" t="s">
        <v>58</v>
      </c>
      <c r="C308" s="3" t="s">
        <v>58</v>
      </c>
      <c r="D308" s="3" t="s">
        <v>32</v>
      </c>
      <c r="E308" s="3" t="s">
        <v>33</v>
      </c>
      <c r="F308" s="3" t="s">
        <v>34</v>
      </c>
      <c r="G308" s="3" t="n">
        <v>22</v>
      </c>
      <c r="H308" s="4" t="n">
        <v>18.99</v>
      </c>
      <c r="I308" s="4" t="n">
        <v>6</v>
      </c>
      <c r="J308" s="5" t="n">
        <v>0.1</v>
      </c>
      <c r="K308" s="4" t="n">
        <f aca="false">G308*H308*(1-J308)</f>
        <v>376.002</v>
      </c>
      <c r="L308" s="4" t="n">
        <f aca="false">G308*I308</f>
        <v>132</v>
      </c>
      <c r="M308" s="4" t="n">
        <f aca="false">K308-L308</f>
        <v>244.002</v>
      </c>
      <c r="N308" s="6" t="n">
        <f aca="false">IF(K308=0,0,M308/K308)</f>
        <v>0.64893803756363</v>
      </c>
      <c r="O308" s="4" t="n">
        <f aca="false">(G308*H308)-K308</f>
        <v>41.778</v>
      </c>
      <c r="P308" s="3" t="s">
        <v>21</v>
      </c>
    </row>
    <row r="309" customFormat="false" ht="15" hidden="false" customHeight="false" outlineLevel="0" collapsed="false">
      <c r="A309" s="7" t="n">
        <v>46057</v>
      </c>
      <c r="B309" s="8" t="s">
        <v>31</v>
      </c>
      <c r="C309" s="8" t="s">
        <v>23</v>
      </c>
      <c r="D309" s="8" t="s">
        <v>53</v>
      </c>
      <c r="E309" s="8" t="s">
        <v>54</v>
      </c>
      <c r="F309" s="8" t="s">
        <v>50</v>
      </c>
      <c r="G309" s="8" t="n">
        <v>21</v>
      </c>
      <c r="H309" s="9" t="n">
        <v>22.99</v>
      </c>
      <c r="I309" s="9" t="n">
        <v>8</v>
      </c>
      <c r="J309" s="10" t="n">
        <v>0</v>
      </c>
      <c r="K309" s="9" t="n">
        <f aca="false">G309*H309*(1-J309)</f>
        <v>482.79</v>
      </c>
      <c r="L309" s="9" t="n">
        <f aca="false">G309*I309</f>
        <v>168</v>
      </c>
      <c r="M309" s="9" t="n">
        <f aca="false">K309-L309</f>
        <v>314.79</v>
      </c>
      <c r="N309" s="11" t="n">
        <f aca="false">IF(K309=0,0,M309/K309)</f>
        <v>0.652022618529796</v>
      </c>
      <c r="O309" s="9" t="n">
        <f aca="false">(G309*H309)-K309</f>
        <v>0</v>
      </c>
      <c r="P309" s="8" t="s">
        <v>21</v>
      </c>
    </row>
    <row r="310" customFormat="false" ht="15" hidden="false" customHeight="false" outlineLevel="0" collapsed="false">
      <c r="A310" s="2" t="n">
        <v>46112</v>
      </c>
      <c r="B310" s="3" t="s">
        <v>58</v>
      </c>
      <c r="C310" s="3" t="s">
        <v>58</v>
      </c>
      <c r="D310" s="3" t="s">
        <v>53</v>
      </c>
      <c r="E310" s="3" t="s">
        <v>54</v>
      </c>
      <c r="F310" s="3" t="s">
        <v>50</v>
      </c>
      <c r="G310" s="3" t="n">
        <v>10</v>
      </c>
      <c r="H310" s="4" t="n">
        <v>22.99</v>
      </c>
      <c r="I310" s="4" t="n">
        <v>8</v>
      </c>
      <c r="J310" s="5" t="n">
        <v>0.25</v>
      </c>
      <c r="K310" s="4" t="n">
        <f aca="false">G310*H310*(1-J310)</f>
        <v>172.425</v>
      </c>
      <c r="L310" s="4" t="n">
        <f aca="false">G310*I310</f>
        <v>80</v>
      </c>
      <c r="M310" s="4" t="n">
        <f aca="false">K310-L310</f>
        <v>92.425</v>
      </c>
      <c r="N310" s="6" t="n">
        <f aca="false">IF(K310=0,0,M310/K310)</f>
        <v>0.536030158039727</v>
      </c>
      <c r="O310" s="4" t="n">
        <f aca="false">(G310*H310)-K310</f>
        <v>57.475</v>
      </c>
      <c r="P310" s="3" t="s">
        <v>21</v>
      </c>
    </row>
    <row r="311" customFormat="false" ht="15" hidden="false" customHeight="false" outlineLevel="0" collapsed="false">
      <c r="A311" s="7" t="n">
        <v>46053</v>
      </c>
      <c r="B311" s="8" t="s">
        <v>64</v>
      </c>
      <c r="C311" s="8" t="s">
        <v>65</v>
      </c>
      <c r="D311" s="8" t="s">
        <v>66</v>
      </c>
      <c r="E311" s="8" t="s">
        <v>67</v>
      </c>
      <c r="F311" s="8" t="s">
        <v>57</v>
      </c>
      <c r="G311" s="8" t="n">
        <v>2</v>
      </c>
      <c r="H311" s="9" t="n">
        <v>14.99</v>
      </c>
      <c r="I311" s="9" t="n">
        <v>5.5</v>
      </c>
      <c r="J311" s="10" t="n">
        <v>0</v>
      </c>
      <c r="K311" s="9" t="n">
        <f aca="false">G311*H311*(1-J311)</f>
        <v>29.98</v>
      </c>
      <c r="L311" s="9" t="n">
        <f aca="false">G311*I311</f>
        <v>11</v>
      </c>
      <c r="M311" s="9" t="n">
        <f aca="false">K311-L311</f>
        <v>18.98</v>
      </c>
      <c r="N311" s="11" t="n">
        <f aca="false">IF(K311=0,0,M311/K311)</f>
        <v>0.633088725817211</v>
      </c>
      <c r="O311" s="9" t="n">
        <f aca="false">(G311*H311)-K311</f>
        <v>0</v>
      </c>
      <c r="P311" s="8" t="s">
        <v>21</v>
      </c>
    </row>
    <row r="312" customFormat="false" ht="15" hidden="false" customHeight="false" outlineLevel="0" collapsed="false">
      <c r="A312" s="2" t="n">
        <v>46062</v>
      </c>
      <c r="B312" s="3" t="s">
        <v>27</v>
      </c>
      <c r="C312" s="3" t="s">
        <v>28</v>
      </c>
      <c r="D312" s="3" t="s">
        <v>55</v>
      </c>
      <c r="E312" s="3" t="s">
        <v>56</v>
      </c>
      <c r="F312" s="3" t="s">
        <v>57</v>
      </c>
      <c r="G312" s="3" t="n">
        <v>18</v>
      </c>
      <c r="H312" s="4" t="n">
        <v>29.99</v>
      </c>
      <c r="I312" s="4" t="n">
        <v>11</v>
      </c>
      <c r="J312" s="5" t="n">
        <v>0.1</v>
      </c>
      <c r="K312" s="4" t="n">
        <f aca="false">G312*H312*(1-J312)</f>
        <v>485.838</v>
      </c>
      <c r="L312" s="4" t="n">
        <f aca="false">G312*I312</f>
        <v>198</v>
      </c>
      <c r="M312" s="4" t="n">
        <f aca="false">K312-L312</f>
        <v>287.838</v>
      </c>
      <c r="N312" s="6" t="n">
        <f aca="false">IF(K312=0,0,M312/K312)</f>
        <v>0.592456744840873</v>
      </c>
      <c r="O312" s="4" t="n">
        <f aca="false">(G312*H312)-K312</f>
        <v>53.982</v>
      </c>
      <c r="P312" s="3" t="s">
        <v>21</v>
      </c>
    </row>
    <row r="313" customFormat="false" ht="15" hidden="false" customHeight="false" outlineLevel="0" collapsed="false">
      <c r="A313" s="7" t="n">
        <v>46125</v>
      </c>
      <c r="B313" s="8" t="s">
        <v>22</v>
      </c>
      <c r="C313" s="8" t="s">
        <v>23</v>
      </c>
      <c r="D313" s="8" t="s">
        <v>53</v>
      </c>
      <c r="E313" s="8" t="s">
        <v>54</v>
      </c>
      <c r="F313" s="8" t="s">
        <v>50</v>
      </c>
      <c r="G313" s="8" t="n">
        <v>3</v>
      </c>
      <c r="H313" s="9" t="n">
        <v>22.99</v>
      </c>
      <c r="I313" s="9" t="n">
        <v>8</v>
      </c>
      <c r="J313" s="10" t="n">
        <v>0</v>
      </c>
      <c r="K313" s="9" t="n">
        <f aca="false">G313*H313*(1-J313)</f>
        <v>68.97</v>
      </c>
      <c r="L313" s="9" t="n">
        <f aca="false">G313*I313</f>
        <v>24</v>
      </c>
      <c r="M313" s="9" t="n">
        <f aca="false">K313-L313</f>
        <v>44.97</v>
      </c>
      <c r="N313" s="11" t="n">
        <f aca="false">IF(K313=0,0,M313/K313)</f>
        <v>0.652022618529796</v>
      </c>
      <c r="O313" s="9" t="n">
        <f aca="false">(G313*H313)-K313</f>
        <v>0</v>
      </c>
      <c r="P313" s="8" t="s">
        <v>21</v>
      </c>
    </row>
    <row r="314" customFormat="false" ht="15" hidden="false" customHeight="false" outlineLevel="0" collapsed="false">
      <c r="A314" s="2" t="n">
        <v>46121</v>
      </c>
      <c r="B314" s="3" t="s">
        <v>41</v>
      </c>
      <c r="C314" s="3" t="s">
        <v>28</v>
      </c>
      <c r="D314" s="3" t="s">
        <v>51</v>
      </c>
      <c r="E314" s="3" t="s">
        <v>52</v>
      </c>
      <c r="F314" s="3" t="s">
        <v>50</v>
      </c>
      <c r="G314" s="3" t="n">
        <v>29</v>
      </c>
      <c r="H314" s="4" t="n">
        <v>19.99</v>
      </c>
      <c r="I314" s="4" t="n">
        <v>7</v>
      </c>
      <c r="J314" s="5" t="n">
        <v>0.1</v>
      </c>
      <c r="K314" s="4" t="n">
        <f aca="false">G314*H314*(1-J314)</f>
        <v>521.739</v>
      </c>
      <c r="L314" s="4" t="n">
        <f aca="false">G314*I314</f>
        <v>203</v>
      </c>
      <c r="M314" s="4" t="n">
        <f aca="false">K314-L314</f>
        <v>318.739</v>
      </c>
      <c r="N314" s="6" t="n">
        <f aca="false">IF(K314=0,0,M314/K314)</f>
        <v>0.610916569395809</v>
      </c>
      <c r="O314" s="4" t="n">
        <f aca="false">(G314*H314)-K314</f>
        <v>57.971</v>
      </c>
      <c r="P314" s="3" t="s">
        <v>21</v>
      </c>
    </row>
    <row r="315" customFormat="false" ht="15" hidden="false" customHeight="false" outlineLevel="0" collapsed="false">
      <c r="A315" s="7" t="n">
        <v>46122</v>
      </c>
      <c r="B315" s="8" t="s">
        <v>31</v>
      </c>
      <c r="C315" s="8" t="s">
        <v>23</v>
      </c>
      <c r="D315" s="8" t="s">
        <v>42</v>
      </c>
      <c r="E315" s="8" t="s">
        <v>43</v>
      </c>
      <c r="F315" s="8" t="s">
        <v>34</v>
      </c>
      <c r="G315" s="8" t="n">
        <v>1</v>
      </c>
      <c r="H315" s="9" t="n">
        <v>11.99</v>
      </c>
      <c r="I315" s="9" t="n">
        <v>3.5</v>
      </c>
      <c r="J315" s="10" t="n">
        <v>0</v>
      </c>
      <c r="K315" s="9" t="n">
        <f aca="false">G315*H315*(1-J315)</f>
        <v>11.99</v>
      </c>
      <c r="L315" s="9" t="n">
        <f aca="false">G315*I315</f>
        <v>3.5</v>
      </c>
      <c r="M315" s="9" t="n">
        <f aca="false">K315-L315</f>
        <v>8.49</v>
      </c>
      <c r="N315" s="11" t="n">
        <f aca="false">IF(K315=0,0,M315/K315)</f>
        <v>0.708090075062552</v>
      </c>
      <c r="O315" s="9" t="n">
        <f aca="false">(G315*H315)-K315</f>
        <v>0</v>
      </c>
      <c r="P315" s="8" t="s">
        <v>21</v>
      </c>
    </row>
    <row r="316" customFormat="false" ht="15" hidden="false" customHeight="false" outlineLevel="0" collapsed="false">
      <c r="A316" s="2" t="n">
        <v>46124</v>
      </c>
      <c r="B316" s="3" t="s">
        <v>31</v>
      </c>
      <c r="C316" s="3" t="s">
        <v>23</v>
      </c>
      <c r="D316" s="3" t="s">
        <v>59</v>
      </c>
      <c r="E316" s="3" t="s">
        <v>60</v>
      </c>
      <c r="F316" s="3" t="s">
        <v>50</v>
      </c>
      <c r="G316" s="3" t="n">
        <v>26</v>
      </c>
      <c r="H316" s="4" t="n">
        <v>24.99</v>
      </c>
      <c r="I316" s="4" t="n">
        <v>8.5</v>
      </c>
      <c r="J316" s="5" t="n">
        <v>0.1</v>
      </c>
      <c r="K316" s="4" t="n">
        <f aca="false">G316*H316*(1-J316)</f>
        <v>584.766</v>
      </c>
      <c r="L316" s="4" t="n">
        <f aca="false">G316*I316</f>
        <v>221</v>
      </c>
      <c r="M316" s="4" t="n">
        <f aca="false">K316-L316</f>
        <v>363.766</v>
      </c>
      <c r="N316" s="6" t="n">
        <f aca="false">IF(K316=0,0,M316/K316)</f>
        <v>0.622071050642479</v>
      </c>
      <c r="O316" s="4" t="n">
        <f aca="false">(G316*H316)-K316</f>
        <v>64.9739999999999</v>
      </c>
      <c r="P316" s="3" t="s">
        <v>21</v>
      </c>
    </row>
    <row r="317" customFormat="false" ht="15" hidden="false" customHeight="false" outlineLevel="0" collapsed="false">
      <c r="A317" s="7" t="n">
        <v>46084</v>
      </c>
      <c r="B317" s="8" t="s">
        <v>22</v>
      </c>
      <c r="C317" s="8" t="s">
        <v>23</v>
      </c>
      <c r="D317" s="8" t="s">
        <v>82</v>
      </c>
      <c r="E317" s="8" t="s">
        <v>83</v>
      </c>
      <c r="F317" s="8" t="s">
        <v>26</v>
      </c>
      <c r="G317" s="8" t="n">
        <v>13</v>
      </c>
      <c r="H317" s="9" t="n">
        <v>44.99</v>
      </c>
      <c r="I317" s="9" t="n">
        <v>18</v>
      </c>
      <c r="J317" s="10" t="n">
        <v>0</v>
      </c>
      <c r="K317" s="9" t="n">
        <f aca="false">G317*H317*(1-J317)</f>
        <v>584.87</v>
      </c>
      <c r="L317" s="9" t="n">
        <f aca="false">G317*I317</f>
        <v>234</v>
      </c>
      <c r="M317" s="9" t="n">
        <f aca="false">K317-L317</f>
        <v>350.87</v>
      </c>
      <c r="N317" s="11" t="n">
        <f aca="false">IF(K317=0,0,M317/K317)</f>
        <v>0.599911091353634</v>
      </c>
      <c r="O317" s="9" t="n">
        <f aca="false">(G317*H317)-K317</f>
        <v>0</v>
      </c>
      <c r="P317" s="8" t="s">
        <v>21</v>
      </c>
    </row>
    <row r="318" customFormat="false" ht="15" hidden="false" customHeight="false" outlineLevel="0" collapsed="false">
      <c r="A318" s="2" t="n">
        <v>46126</v>
      </c>
      <c r="B318" s="3" t="s">
        <v>41</v>
      </c>
      <c r="C318" s="3" t="s">
        <v>28</v>
      </c>
      <c r="D318" s="3" t="s">
        <v>61</v>
      </c>
      <c r="E318" s="3" t="s">
        <v>62</v>
      </c>
      <c r="F318" s="3" t="s">
        <v>34</v>
      </c>
      <c r="G318" s="3" t="n">
        <v>3</v>
      </c>
      <c r="H318" s="4" t="n">
        <v>12.99</v>
      </c>
      <c r="I318" s="4" t="n">
        <v>4.5</v>
      </c>
      <c r="J318" s="5" t="n">
        <v>0.2</v>
      </c>
      <c r="K318" s="4" t="n">
        <f aca="false">G318*H318*(1-J318)</f>
        <v>31.176</v>
      </c>
      <c r="L318" s="4" t="n">
        <f aca="false">G318*I318</f>
        <v>13.5</v>
      </c>
      <c r="M318" s="4" t="n">
        <f aca="false">K318-L318</f>
        <v>17.676</v>
      </c>
      <c r="N318" s="6" t="n">
        <f aca="false">IF(K318=0,0,M318/K318)</f>
        <v>0.566974595842956</v>
      </c>
      <c r="O318" s="4" t="n">
        <f aca="false">(G318*H318)-K318</f>
        <v>7.794</v>
      </c>
      <c r="P318" s="3" t="s">
        <v>21</v>
      </c>
    </row>
    <row r="319" customFormat="false" ht="15" hidden="false" customHeight="false" outlineLevel="0" collapsed="false">
      <c r="A319" s="7" t="n">
        <v>46127</v>
      </c>
      <c r="B319" s="8" t="s">
        <v>16</v>
      </c>
      <c r="C319" s="8" t="s">
        <v>17</v>
      </c>
      <c r="D319" s="8" t="s">
        <v>90</v>
      </c>
      <c r="E319" s="8" t="s">
        <v>91</v>
      </c>
      <c r="F319" s="8" t="s">
        <v>26</v>
      </c>
      <c r="G319" s="8" t="n">
        <v>11</v>
      </c>
      <c r="H319" s="9" t="n">
        <v>24.99</v>
      </c>
      <c r="I319" s="9" t="n">
        <v>11</v>
      </c>
      <c r="J319" s="10" t="n">
        <v>0.25</v>
      </c>
      <c r="K319" s="9" t="n">
        <f aca="false">G319*H319*(1-J319)</f>
        <v>206.1675</v>
      </c>
      <c r="L319" s="9" t="n">
        <f aca="false">G319*I319</f>
        <v>121</v>
      </c>
      <c r="M319" s="9" t="n">
        <f aca="false">K319-L319</f>
        <v>85.1675</v>
      </c>
      <c r="N319" s="11" t="n">
        <f aca="false">IF(K319=0,0,M319/K319)</f>
        <v>0.413098572762438</v>
      </c>
      <c r="O319" s="9" t="n">
        <f aca="false">(G319*H319)-K319</f>
        <v>68.7225</v>
      </c>
      <c r="P319" s="8" t="s">
        <v>21</v>
      </c>
    </row>
    <row r="320" customFormat="false" ht="15" hidden="false" customHeight="false" outlineLevel="0" collapsed="false">
      <c r="A320" s="2" t="n">
        <v>46094</v>
      </c>
      <c r="B320" s="3" t="s">
        <v>37</v>
      </c>
      <c r="C320" s="3" t="s">
        <v>17</v>
      </c>
      <c r="D320" s="3" t="s">
        <v>46</v>
      </c>
      <c r="E320" s="3" t="s">
        <v>47</v>
      </c>
      <c r="F320" s="3" t="s">
        <v>20</v>
      </c>
      <c r="G320" s="3" t="n">
        <v>15</v>
      </c>
      <c r="H320" s="4" t="n">
        <v>44.99</v>
      </c>
      <c r="I320" s="4" t="n">
        <v>18</v>
      </c>
      <c r="J320" s="5" t="n">
        <v>0</v>
      </c>
      <c r="K320" s="4" t="n">
        <f aca="false">G320*H320*(1-J320)</f>
        <v>674.85</v>
      </c>
      <c r="L320" s="4" t="n">
        <f aca="false">G320*I320</f>
        <v>270</v>
      </c>
      <c r="M320" s="4" t="n">
        <f aca="false">K320-L320</f>
        <v>404.85</v>
      </c>
      <c r="N320" s="6" t="n">
        <f aca="false">IF(K320=0,0,M320/K320)</f>
        <v>0.599911091353634</v>
      </c>
      <c r="O320" s="4" t="n">
        <f aca="false">(G320*H320)-K320</f>
        <v>0</v>
      </c>
      <c r="P320" s="3" t="s">
        <v>21</v>
      </c>
    </row>
    <row r="321" customFormat="false" ht="15" hidden="false" customHeight="false" outlineLevel="0" collapsed="false">
      <c r="A321" s="7" t="n">
        <v>46087</v>
      </c>
      <c r="B321" s="8" t="s">
        <v>27</v>
      </c>
      <c r="C321" s="8" t="s">
        <v>28</v>
      </c>
      <c r="D321" s="8" t="s">
        <v>61</v>
      </c>
      <c r="E321" s="8" t="s">
        <v>62</v>
      </c>
      <c r="F321" s="8" t="s">
        <v>34</v>
      </c>
      <c r="G321" s="8" t="n">
        <v>4</v>
      </c>
      <c r="H321" s="9" t="n">
        <v>12.99</v>
      </c>
      <c r="I321" s="9" t="n">
        <v>4.5</v>
      </c>
      <c r="J321" s="10" t="n">
        <v>0.3</v>
      </c>
      <c r="K321" s="9" t="n">
        <f aca="false">G321*H321*(1-J321)</f>
        <v>36.372</v>
      </c>
      <c r="L321" s="9" t="n">
        <f aca="false">G321*I321</f>
        <v>18</v>
      </c>
      <c r="M321" s="9" t="n">
        <f aca="false">K321-L321</f>
        <v>18.372</v>
      </c>
      <c r="N321" s="11" t="n">
        <f aca="false">IF(K321=0,0,M321/K321)</f>
        <v>0.505113823820521</v>
      </c>
      <c r="O321" s="9" t="n">
        <f aca="false">(G321*H321)-K321</f>
        <v>15.588</v>
      </c>
      <c r="P321" s="8" t="s">
        <v>21</v>
      </c>
    </row>
    <row r="322" customFormat="false" ht="15" hidden="false" customHeight="false" outlineLevel="0" collapsed="false">
      <c r="A322" s="2" t="n">
        <v>46124</v>
      </c>
      <c r="B322" s="3" t="s">
        <v>27</v>
      </c>
      <c r="C322" s="3" t="s">
        <v>28</v>
      </c>
      <c r="D322" s="3" t="s">
        <v>88</v>
      </c>
      <c r="E322" s="3" t="s">
        <v>89</v>
      </c>
      <c r="F322" s="3" t="s">
        <v>57</v>
      </c>
      <c r="G322" s="3" t="n">
        <v>22</v>
      </c>
      <c r="H322" s="4" t="n">
        <v>14.99</v>
      </c>
      <c r="I322" s="4" t="n">
        <v>4.5</v>
      </c>
      <c r="J322" s="5" t="n">
        <v>0</v>
      </c>
      <c r="K322" s="4" t="n">
        <f aca="false">G322*H322*(1-J322)</f>
        <v>329.78</v>
      </c>
      <c r="L322" s="4" t="n">
        <f aca="false">G322*I322</f>
        <v>99</v>
      </c>
      <c r="M322" s="4" t="n">
        <f aca="false">K322-L322</f>
        <v>230.78</v>
      </c>
      <c r="N322" s="6" t="n">
        <f aca="false">IF(K322=0,0,M322/K322)</f>
        <v>0.699799866577719</v>
      </c>
      <c r="O322" s="4" t="n">
        <f aca="false">(G322*H322)-K322</f>
        <v>0</v>
      </c>
      <c r="P322" s="3" t="s">
        <v>21</v>
      </c>
    </row>
    <row r="323" customFormat="false" ht="15" hidden="false" customHeight="false" outlineLevel="0" collapsed="false">
      <c r="A323" s="7" t="n">
        <v>46060</v>
      </c>
      <c r="B323" s="8" t="s">
        <v>41</v>
      </c>
      <c r="C323" s="8" t="s">
        <v>28</v>
      </c>
      <c r="D323" s="8" t="s">
        <v>46</v>
      </c>
      <c r="E323" s="8" t="s">
        <v>47</v>
      </c>
      <c r="F323" s="8" t="s">
        <v>20</v>
      </c>
      <c r="G323" s="8" t="n">
        <v>26</v>
      </c>
      <c r="H323" s="9" t="n">
        <v>44.99</v>
      </c>
      <c r="I323" s="9" t="n">
        <v>18</v>
      </c>
      <c r="J323" s="10" t="n">
        <v>0.2</v>
      </c>
      <c r="K323" s="9" t="n">
        <f aca="false">G323*H323*(1-J323)</f>
        <v>935.792</v>
      </c>
      <c r="L323" s="9" t="n">
        <f aca="false">G323*I323</f>
        <v>468</v>
      </c>
      <c r="M323" s="9" t="n">
        <f aca="false">K323-L323</f>
        <v>467.792</v>
      </c>
      <c r="N323" s="11" t="n">
        <f aca="false">IF(K323=0,0,M323/K323)</f>
        <v>0.499888864192043</v>
      </c>
      <c r="O323" s="9" t="n">
        <f aca="false">(G323*H323)-K323</f>
        <v>233.948</v>
      </c>
      <c r="P323" s="8" t="s">
        <v>21</v>
      </c>
    </row>
    <row r="324" customFormat="false" ht="15" hidden="false" customHeight="false" outlineLevel="0" collapsed="false">
      <c r="A324" s="2" t="n">
        <v>46072</v>
      </c>
      <c r="B324" s="3" t="s">
        <v>58</v>
      </c>
      <c r="C324" s="3" t="s">
        <v>58</v>
      </c>
      <c r="D324" s="3" t="s">
        <v>93</v>
      </c>
      <c r="E324" s="3" t="s">
        <v>94</v>
      </c>
      <c r="F324" s="3" t="s">
        <v>34</v>
      </c>
      <c r="G324" s="3" t="n">
        <v>14</v>
      </c>
      <c r="H324" s="4" t="n">
        <v>29.99</v>
      </c>
      <c r="I324" s="4" t="n">
        <v>9</v>
      </c>
      <c r="J324" s="5" t="n">
        <v>0</v>
      </c>
      <c r="K324" s="4" t="n">
        <f aca="false">G324*H324*(1-J324)</f>
        <v>419.86</v>
      </c>
      <c r="L324" s="4" t="n">
        <f aca="false">G324*I324</f>
        <v>126</v>
      </c>
      <c r="M324" s="4" t="n">
        <f aca="false">K324-L324</f>
        <v>293.86</v>
      </c>
      <c r="N324" s="6" t="n">
        <f aca="false">IF(K324=0,0,M324/K324)</f>
        <v>0.699899966655552</v>
      </c>
      <c r="O324" s="4" t="n">
        <f aca="false">(G324*H324)-K324</f>
        <v>0</v>
      </c>
      <c r="P324" s="3" t="s">
        <v>21</v>
      </c>
    </row>
    <row r="325" customFormat="false" ht="15" hidden="false" customHeight="false" outlineLevel="0" collapsed="false">
      <c r="A325" s="7" t="n">
        <v>46029</v>
      </c>
      <c r="B325" s="8" t="s">
        <v>27</v>
      </c>
      <c r="C325" s="8" t="s">
        <v>28</v>
      </c>
      <c r="D325" s="8" t="s">
        <v>90</v>
      </c>
      <c r="E325" s="8" t="s">
        <v>91</v>
      </c>
      <c r="F325" s="8" t="s">
        <v>26</v>
      </c>
      <c r="G325" s="8" t="n">
        <v>17</v>
      </c>
      <c r="H325" s="9" t="n">
        <v>29.99</v>
      </c>
      <c r="I325" s="9" t="n">
        <v>11</v>
      </c>
      <c r="J325" s="10" t="n">
        <v>0.3</v>
      </c>
      <c r="K325" s="9" t="n">
        <f aca="false">G325*H325*(1-J325)</f>
        <v>356.881</v>
      </c>
      <c r="L325" s="9" t="n">
        <f aca="false">G325*I325</f>
        <v>187</v>
      </c>
      <c r="M325" s="9" t="n">
        <f aca="false">K325-L325</f>
        <v>169.881</v>
      </c>
      <c r="N325" s="11" t="n">
        <f aca="false">IF(K325=0,0,M325/K325)</f>
        <v>0.476015814795408</v>
      </c>
      <c r="O325" s="9" t="n">
        <f aca="false">(G325*H325)-K325</f>
        <v>152.949</v>
      </c>
      <c r="P325" s="8" t="s">
        <v>21</v>
      </c>
    </row>
    <row r="326" customFormat="false" ht="15" hidden="false" customHeight="false" outlineLevel="0" collapsed="false">
      <c r="A326" s="2" t="n">
        <v>46079</v>
      </c>
      <c r="B326" s="3" t="s">
        <v>58</v>
      </c>
      <c r="C326" s="3" t="s">
        <v>58</v>
      </c>
      <c r="D326" s="3" t="s">
        <v>35</v>
      </c>
      <c r="E326" s="3" t="s">
        <v>36</v>
      </c>
      <c r="F326" s="3" t="s">
        <v>26</v>
      </c>
      <c r="G326" s="3" t="n">
        <v>8</v>
      </c>
      <c r="H326" s="4" t="n">
        <v>69.99</v>
      </c>
      <c r="I326" s="4" t="n">
        <v>30</v>
      </c>
      <c r="J326" s="5" t="n">
        <v>0.05</v>
      </c>
      <c r="K326" s="4" t="n">
        <f aca="false">G326*H326*(1-J326)</f>
        <v>531.924</v>
      </c>
      <c r="L326" s="4" t="n">
        <f aca="false">G326*I326</f>
        <v>240</v>
      </c>
      <c r="M326" s="4" t="n">
        <f aca="false">K326-L326</f>
        <v>291.924</v>
      </c>
      <c r="N326" s="6" t="n">
        <f aca="false">IF(K326=0,0,M326/K326)</f>
        <v>0.548807724411758</v>
      </c>
      <c r="O326" s="4" t="n">
        <f aca="false">(G326*H326)-K326</f>
        <v>27.996</v>
      </c>
      <c r="P326" s="3" t="s">
        <v>21</v>
      </c>
    </row>
    <row r="327" customFormat="false" ht="15" hidden="false" customHeight="false" outlineLevel="0" collapsed="false">
      <c r="A327" s="7" t="n">
        <v>46047</v>
      </c>
      <c r="B327" s="8" t="s">
        <v>22</v>
      </c>
      <c r="C327" s="8" t="s">
        <v>23</v>
      </c>
      <c r="D327" s="8" t="s">
        <v>86</v>
      </c>
      <c r="E327" s="8" t="s">
        <v>87</v>
      </c>
      <c r="F327" s="8" t="s">
        <v>40</v>
      </c>
      <c r="G327" s="8" t="n">
        <v>27</v>
      </c>
      <c r="H327" s="9" t="n">
        <v>16.99</v>
      </c>
      <c r="I327" s="9" t="n">
        <v>5.5</v>
      </c>
      <c r="J327" s="10" t="n">
        <v>0.15</v>
      </c>
      <c r="K327" s="9" t="n">
        <f aca="false">G327*H327*(1-J327)</f>
        <v>389.9205</v>
      </c>
      <c r="L327" s="9" t="n">
        <f aca="false">G327*I327</f>
        <v>148.5</v>
      </c>
      <c r="M327" s="9" t="n">
        <f aca="false">K327-L327</f>
        <v>241.4205</v>
      </c>
      <c r="N327" s="11" t="n">
        <f aca="false">IF(K327=0,0,M327/K327)</f>
        <v>0.619153135062147</v>
      </c>
      <c r="O327" s="9" t="n">
        <f aca="false">(G327*H327)-K327</f>
        <v>68.8095</v>
      </c>
      <c r="P327" s="8" t="s">
        <v>21</v>
      </c>
    </row>
    <row r="328" customFormat="false" ht="15" hidden="false" customHeight="false" outlineLevel="0" collapsed="false">
      <c r="A328" s="2" t="n">
        <v>46107</v>
      </c>
      <c r="B328" s="3" t="s">
        <v>16</v>
      </c>
      <c r="C328" s="3" t="s">
        <v>17</v>
      </c>
      <c r="D328" s="3" t="s">
        <v>29</v>
      </c>
      <c r="E328" s="3" t="s">
        <v>30</v>
      </c>
      <c r="F328" s="3" t="s">
        <v>20</v>
      </c>
      <c r="G328" s="3" t="n">
        <v>28</v>
      </c>
      <c r="H328" s="4" t="n">
        <v>79.99</v>
      </c>
      <c r="I328" s="4" t="n">
        <v>42</v>
      </c>
      <c r="J328" s="5" t="n">
        <v>0</v>
      </c>
      <c r="K328" s="4" t="n">
        <f aca="false">G328*H328*(1-J328)</f>
        <v>2239.72</v>
      </c>
      <c r="L328" s="4" t="n">
        <f aca="false">G328*I328</f>
        <v>1176</v>
      </c>
      <c r="M328" s="4" t="n">
        <f aca="false">K328-L328</f>
        <v>1063.72</v>
      </c>
      <c r="N328" s="6" t="n">
        <f aca="false">IF(K328=0,0,M328/K328)</f>
        <v>0.474934366795849</v>
      </c>
      <c r="O328" s="4" t="n">
        <f aca="false">(G328*H328)-K328</f>
        <v>0</v>
      </c>
      <c r="P328" s="3" t="s">
        <v>21</v>
      </c>
    </row>
    <row r="329" customFormat="false" ht="15" hidden="false" customHeight="false" outlineLevel="0" collapsed="false">
      <c r="A329" s="7" t="n">
        <v>46080</v>
      </c>
      <c r="B329" s="8" t="s">
        <v>58</v>
      </c>
      <c r="C329" s="8" t="s">
        <v>58</v>
      </c>
      <c r="D329" s="8" t="s">
        <v>78</v>
      </c>
      <c r="E329" s="8" t="s">
        <v>79</v>
      </c>
      <c r="F329" s="8" t="s">
        <v>20</v>
      </c>
      <c r="G329" s="8" t="n">
        <v>10</v>
      </c>
      <c r="H329" s="9" t="n">
        <v>39.99</v>
      </c>
      <c r="I329" s="9" t="n">
        <v>16</v>
      </c>
      <c r="J329" s="10" t="n">
        <v>0.3</v>
      </c>
      <c r="K329" s="9" t="n">
        <f aca="false">G329*H329*(1-J329)</f>
        <v>279.93</v>
      </c>
      <c r="L329" s="9" t="n">
        <f aca="false">G329*I329</f>
        <v>160</v>
      </c>
      <c r="M329" s="9" t="n">
        <f aca="false">K329-L329</f>
        <v>119.93</v>
      </c>
      <c r="N329" s="11" t="n">
        <f aca="false">IF(K329=0,0,M329/K329)</f>
        <v>0.428428535705355</v>
      </c>
      <c r="O329" s="9" t="n">
        <f aca="false">(G329*H329)-K329</f>
        <v>119.97</v>
      </c>
      <c r="P329" s="8" t="s">
        <v>21</v>
      </c>
    </row>
    <row r="330" customFormat="false" ht="15" hidden="false" customHeight="false" outlineLevel="0" collapsed="false">
      <c r="A330" s="2" t="n">
        <v>46063</v>
      </c>
      <c r="B330" s="3" t="s">
        <v>22</v>
      </c>
      <c r="C330" s="3" t="s">
        <v>23</v>
      </c>
      <c r="D330" s="3" t="s">
        <v>90</v>
      </c>
      <c r="E330" s="3" t="s">
        <v>91</v>
      </c>
      <c r="F330" s="3" t="s">
        <v>26</v>
      </c>
      <c r="G330" s="3" t="n">
        <v>2</v>
      </c>
      <c r="H330" s="4" t="n">
        <v>29.99</v>
      </c>
      <c r="I330" s="4" t="n">
        <v>11</v>
      </c>
      <c r="J330" s="5" t="n">
        <v>0</v>
      </c>
      <c r="K330" s="4" t="n">
        <f aca="false">G330*H330*(1-J330)</f>
        <v>59.98</v>
      </c>
      <c r="L330" s="4" t="n">
        <f aca="false">G330*I330</f>
        <v>22</v>
      </c>
      <c r="M330" s="4" t="n">
        <f aca="false">K330-L330</f>
        <v>37.98</v>
      </c>
      <c r="N330" s="6" t="n">
        <f aca="false">IF(K330=0,0,M330/K330)</f>
        <v>0.633211070356786</v>
      </c>
      <c r="O330" s="4" t="n">
        <f aca="false">(G330*H330)-K330</f>
        <v>0</v>
      </c>
      <c r="P330" s="3" t="s">
        <v>21</v>
      </c>
    </row>
    <row r="331" customFormat="false" ht="15" hidden="false" customHeight="false" outlineLevel="0" collapsed="false">
      <c r="A331" s="7" t="n">
        <v>46076</v>
      </c>
      <c r="B331" s="8" t="s">
        <v>16</v>
      </c>
      <c r="C331" s="8" t="s">
        <v>17</v>
      </c>
      <c r="D331" s="8" t="s">
        <v>95</v>
      </c>
      <c r="E331" s="8" t="s">
        <v>96</v>
      </c>
      <c r="F331" s="8" t="s">
        <v>50</v>
      </c>
      <c r="G331" s="8" t="n">
        <v>13</v>
      </c>
      <c r="H331" s="9" t="n">
        <v>34.99</v>
      </c>
      <c r="I331" s="9" t="n">
        <v>12</v>
      </c>
      <c r="J331" s="10" t="n">
        <v>0.5</v>
      </c>
      <c r="K331" s="9" t="n">
        <f aca="false">G331*H331*(1-J331)</f>
        <v>227.435</v>
      </c>
      <c r="L331" s="9" t="n">
        <f aca="false">G331*I331</f>
        <v>156</v>
      </c>
      <c r="M331" s="9" t="n">
        <f aca="false">K331-L331</f>
        <v>71.435</v>
      </c>
      <c r="N331" s="11" t="n">
        <f aca="false">IF(K331=0,0,M331/K331)</f>
        <v>0.314089739925693</v>
      </c>
      <c r="O331" s="9" t="n">
        <f aca="false">(G331*H331)-K331</f>
        <v>227.435</v>
      </c>
      <c r="P331" s="14" t="s">
        <v>97</v>
      </c>
    </row>
    <row r="332" customFormat="false" ht="15" hidden="false" customHeight="false" outlineLevel="0" collapsed="false">
      <c r="A332" s="2" t="n">
        <v>46122</v>
      </c>
      <c r="B332" s="3" t="s">
        <v>16</v>
      </c>
      <c r="C332" s="3" t="s">
        <v>17</v>
      </c>
      <c r="D332" s="3" t="s">
        <v>32</v>
      </c>
      <c r="E332" s="3" t="s">
        <v>33</v>
      </c>
      <c r="F332" s="3" t="s">
        <v>34</v>
      </c>
      <c r="G332" s="3" t="n">
        <v>16</v>
      </c>
      <c r="H332" s="4" t="n">
        <v>18.99</v>
      </c>
      <c r="I332" s="4" t="n">
        <v>6</v>
      </c>
      <c r="J332" s="5" t="n">
        <v>0.15</v>
      </c>
      <c r="K332" s="4" t="n">
        <f aca="false">G332*H332*(1-J332)</f>
        <v>258.264</v>
      </c>
      <c r="L332" s="4" t="n">
        <f aca="false">G332*I332</f>
        <v>96</v>
      </c>
      <c r="M332" s="4" t="n">
        <f aca="false">K332-L332</f>
        <v>162.264</v>
      </c>
      <c r="N332" s="6" t="n">
        <f aca="false">IF(K332=0,0,M332/K332)</f>
        <v>0.628287333890902</v>
      </c>
      <c r="O332" s="4" t="n">
        <f aca="false">(G332*H332)-K332</f>
        <v>45.576</v>
      </c>
      <c r="P332" s="3" t="s">
        <v>21</v>
      </c>
    </row>
    <row r="333" customFormat="false" ht="15" hidden="false" customHeight="false" outlineLevel="0" collapsed="false">
      <c r="A333" s="7" t="n">
        <v>46070</v>
      </c>
      <c r="B333" s="8" t="s">
        <v>58</v>
      </c>
      <c r="C333" s="8" t="s">
        <v>58</v>
      </c>
      <c r="D333" s="8" t="s">
        <v>42</v>
      </c>
      <c r="E333" s="8" t="s">
        <v>43</v>
      </c>
      <c r="F333" s="8" t="s">
        <v>34</v>
      </c>
      <c r="G333" s="8" t="n">
        <v>3</v>
      </c>
      <c r="H333" s="9" t="n">
        <v>11.99</v>
      </c>
      <c r="I333" s="9" t="n">
        <v>3.5</v>
      </c>
      <c r="J333" s="10" t="n">
        <v>0.25</v>
      </c>
      <c r="K333" s="9" t="n">
        <f aca="false">G333*H333*(1-J333)</f>
        <v>26.9775</v>
      </c>
      <c r="L333" s="9" t="n">
        <f aca="false">G333*I333</f>
        <v>10.5</v>
      </c>
      <c r="M333" s="9" t="n">
        <f aca="false">K333-L333</f>
        <v>16.4775</v>
      </c>
      <c r="N333" s="11" t="n">
        <f aca="false">IF(K333=0,0,M333/K333)</f>
        <v>0.61078676675007</v>
      </c>
      <c r="O333" s="9" t="n">
        <f aca="false">(G333*H333)-K333</f>
        <v>8.9925</v>
      </c>
      <c r="P333" s="8" t="s">
        <v>21</v>
      </c>
    </row>
    <row r="334" customFormat="false" ht="15" hidden="false" customHeight="false" outlineLevel="0" collapsed="false">
      <c r="A334" s="2" t="n">
        <v>46130</v>
      </c>
      <c r="B334" s="3" t="s">
        <v>41</v>
      </c>
      <c r="C334" s="3" t="s">
        <v>28</v>
      </c>
      <c r="D334" s="3" t="s">
        <v>70</v>
      </c>
      <c r="E334" s="3" t="s">
        <v>71</v>
      </c>
      <c r="F334" s="3" t="s">
        <v>20</v>
      </c>
      <c r="G334" s="3" t="n">
        <v>1</v>
      </c>
      <c r="H334" s="4" t="n">
        <v>49.99</v>
      </c>
      <c r="I334" s="4" t="n">
        <v>19</v>
      </c>
      <c r="J334" s="5" t="n">
        <v>0.45</v>
      </c>
      <c r="K334" s="4" t="n">
        <f aca="false">G334*H334*(1-J334)</f>
        <v>27.4945</v>
      </c>
      <c r="L334" s="4" t="n">
        <f aca="false">G334*I334</f>
        <v>19</v>
      </c>
      <c r="M334" s="4" t="n">
        <f aca="false">K334-L334</f>
        <v>8.4945</v>
      </c>
      <c r="N334" s="6" t="n">
        <f aca="false">IF(K334=0,0,M334/K334)</f>
        <v>0.308952699630835</v>
      </c>
      <c r="O334" s="4" t="n">
        <f aca="false">(G334*H334)-K334</f>
        <v>22.4955</v>
      </c>
      <c r="P334" s="14" t="s">
        <v>97</v>
      </c>
    </row>
    <row r="335" customFormat="false" ht="15" hidden="false" customHeight="false" outlineLevel="0" collapsed="false">
      <c r="A335" s="7" t="n">
        <v>46093</v>
      </c>
      <c r="B335" s="8" t="s">
        <v>64</v>
      </c>
      <c r="C335" s="8" t="s">
        <v>65</v>
      </c>
      <c r="D335" s="8" t="s">
        <v>46</v>
      </c>
      <c r="E335" s="8" t="s">
        <v>47</v>
      </c>
      <c r="F335" s="8" t="s">
        <v>20</v>
      </c>
      <c r="G335" s="8" t="n">
        <v>25</v>
      </c>
      <c r="H335" s="9" t="n">
        <v>44.99</v>
      </c>
      <c r="I335" s="9" t="n">
        <v>18</v>
      </c>
      <c r="J335" s="10" t="n">
        <v>0.05</v>
      </c>
      <c r="K335" s="9" t="n">
        <f aca="false">G335*H335*(1-J335)</f>
        <v>1068.5125</v>
      </c>
      <c r="L335" s="9" t="n">
        <f aca="false">G335*I335</f>
        <v>450</v>
      </c>
      <c r="M335" s="9" t="n">
        <f aca="false">K335-L335</f>
        <v>618.5125</v>
      </c>
      <c r="N335" s="11" t="n">
        <f aca="false">IF(K335=0,0,M335/K335)</f>
        <v>0.578853780372246</v>
      </c>
      <c r="O335" s="9" t="n">
        <f aca="false">(G335*H335)-K335</f>
        <v>56.2375</v>
      </c>
      <c r="P335" s="8" t="s">
        <v>21</v>
      </c>
    </row>
    <row r="336" customFormat="false" ht="15" hidden="false" customHeight="false" outlineLevel="0" collapsed="false">
      <c r="A336" s="2" t="n">
        <v>46025</v>
      </c>
      <c r="B336" s="3" t="s">
        <v>31</v>
      </c>
      <c r="C336" s="3" t="s">
        <v>23</v>
      </c>
      <c r="D336" s="3" t="s">
        <v>44</v>
      </c>
      <c r="E336" s="3" t="s">
        <v>45</v>
      </c>
      <c r="F336" s="3" t="s">
        <v>40</v>
      </c>
      <c r="G336" s="3" t="n">
        <v>1</v>
      </c>
      <c r="H336" s="4" t="n">
        <v>9.45</v>
      </c>
      <c r="I336" s="4" t="n">
        <v>11</v>
      </c>
      <c r="J336" s="5" t="n">
        <v>0</v>
      </c>
      <c r="K336" s="4" t="n">
        <f aca="false">G336*H336*(1-J336)</f>
        <v>9.45</v>
      </c>
      <c r="L336" s="4" t="n">
        <f aca="false">G336*I336</f>
        <v>11</v>
      </c>
      <c r="M336" s="4" t="n">
        <f aca="false">K336-L336</f>
        <v>-1.55</v>
      </c>
      <c r="N336" s="6" t="n">
        <f aca="false">IF(K336=0,0,M336/K336)</f>
        <v>-0.164021164021164</v>
      </c>
      <c r="O336" s="4" t="n">
        <f aca="false">(G336*H336)-K336</f>
        <v>0</v>
      </c>
      <c r="P336" s="15" t="s">
        <v>98</v>
      </c>
    </row>
    <row r="337" customFormat="false" ht="15" hidden="false" customHeight="false" outlineLevel="0" collapsed="false">
      <c r="A337" s="7" t="n">
        <v>46108</v>
      </c>
      <c r="B337" s="8" t="s">
        <v>27</v>
      </c>
      <c r="C337" s="8" t="s">
        <v>28</v>
      </c>
      <c r="D337" s="8" t="s">
        <v>48</v>
      </c>
      <c r="E337" s="8" t="s">
        <v>49</v>
      </c>
      <c r="F337" s="8" t="s">
        <v>50</v>
      </c>
      <c r="G337" s="8" t="n">
        <v>30</v>
      </c>
      <c r="H337" s="9" t="n">
        <v>59.99</v>
      </c>
      <c r="I337" s="9" t="n">
        <v>20</v>
      </c>
      <c r="J337" s="10" t="n">
        <v>0</v>
      </c>
      <c r="K337" s="9" t="n">
        <f aca="false">G337*H337*(1-J337)</f>
        <v>1799.7</v>
      </c>
      <c r="L337" s="9" t="n">
        <f aca="false">G337*I337</f>
        <v>600</v>
      </c>
      <c r="M337" s="9" t="n">
        <f aca="false">K337-L337</f>
        <v>1199.7</v>
      </c>
      <c r="N337" s="11" t="n">
        <f aca="false">IF(K337=0,0,M337/K337)</f>
        <v>0.666611101850308</v>
      </c>
      <c r="O337" s="9" t="n">
        <f aca="false">(G337*H337)-K337</f>
        <v>0</v>
      </c>
      <c r="P337" s="8" t="s">
        <v>21</v>
      </c>
    </row>
    <row r="338" customFormat="false" ht="15" hidden="false" customHeight="false" outlineLevel="0" collapsed="false">
      <c r="A338" s="2" t="n">
        <v>46047</v>
      </c>
      <c r="B338" s="3" t="s">
        <v>22</v>
      </c>
      <c r="C338" s="3" t="s">
        <v>23</v>
      </c>
      <c r="D338" s="3" t="s">
        <v>55</v>
      </c>
      <c r="E338" s="3" t="s">
        <v>56</v>
      </c>
      <c r="F338" s="3" t="s">
        <v>57</v>
      </c>
      <c r="G338" s="3" t="n">
        <v>4</v>
      </c>
      <c r="H338" s="4" t="n">
        <v>29.99</v>
      </c>
      <c r="I338" s="4" t="n">
        <v>11</v>
      </c>
      <c r="J338" s="5" t="n">
        <v>0.25</v>
      </c>
      <c r="K338" s="4" t="n">
        <f aca="false">G338*H338*(1-J338)</f>
        <v>89.97</v>
      </c>
      <c r="L338" s="4" t="n">
        <f aca="false">G338*I338</f>
        <v>44</v>
      </c>
      <c r="M338" s="4" t="n">
        <f aca="false">K338-L338</f>
        <v>45.97</v>
      </c>
      <c r="N338" s="6" t="n">
        <f aca="false">IF(K338=0,0,M338/K338)</f>
        <v>0.510948093809048</v>
      </c>
      <c r="O338" s="4" t="n">
        <f aca="false">(G338*H338)-K338</f>
        <v>29.99</v>
      </c>
      <c r="P338" s="3" t="s">
        <v>21</v>
      </c>
    </row>
    <row r="339" customFormat="false" ht="15" hidden="false" customHeight="false" outlineLevel="0" collapsed="false">
      <c r="A339" s="7" t="n">
        <v>46092</v>
      </c>
      <c r="B339" s="8" t="s">
        <v>41</v>
      </c>
      <c r="C339" s="8" t="s">
        <v>28</v>
      </c>
      <c r="D339" s="8" t="s">
        <v>74</v>
      </c>
      <c r="E339" s="8" t="s">
        <v>75</v>
      </c>
      <c r="F339" s="8" t="s">
        <v>40</v>
      </c>
      <c r="G339" s="8" t="n">
        <v>28</v>
      </c>
      <c r="H339" s="9" t="n">
        <v>29.99</v>
      </c>
      <c r="I339" s="9" t="n">
        <v>13</v>
      </c>
      <c r="J339" s="10" t="n">
        <v>0.2</v>
      </c>
      <c r="K339" s="9" t="n">
        <f aca="false">G339*H339*(1-J339)</f>
        <v>671.776</v>
      </c>
      <c r="L339" s="9" t="n">
        <f aca="false">G339*I339</f>
        <v>364</v>
      </c>
      <c r="M339" s="9" t="n">
        <f aca="false">K339-L339</f>
        <v>307.776</v>
      </c>
      <c r="N339" s="11" t="n">
        <f aca="false">IF(K339=0,0,M339/K339)</f>
        <v>0.458152717572524</v>
      </c>
      <c r="O339" s="9" t="n">
        <f aca="false">(G339*H339)-K339</f>
        <v>167.944</v>
      </c>
      <c r="P339" s="8" t="s">
        <v>21</v>
      </c>
    </row>
    <row r="340" customFormat="false" ht="15" hidden="false" customHeight="false" outlineLevel="0" collapsed="false">
      <c r="A340" s="2" t="n">
        <v>46039</v>
      </c>
      <c r="B340" s="3" t="s">
        <v>58</v>
      </c>
      <c r="C340" s="3" t="s">
        <v>58</v>
      </c>
      <c r="D340" s="3" t="s">
        <v>76</v>
      </c>
      <c r="E340" s="3" t="s">
        <v>77</v>
      </c>
      <c r="F340" s="3" t="s">
        <v>34</v>
      </c>
      <c r="G340" s="3" t="n">
        <v>4</v>
      </c>
      <c r="H340" s="4" t="n">
        <v>44.99</v>
      </c>
      <c r="I340" s="4" t="n">
        <v>14</v>
      </c>
      <c r="J340" s="5" t="n">
        <v>0.25</v>
      </c>
      <c r="K340" s="4" t="n">
        <f aca="false">G340*H340*(1-J340)</f>
        <v>134.97</v>
      </c>
      <c r="L340" s="4" t="n">
        <f aca="false">G340*I340</f>
        <v>56</v>
      </c>
      <c r="M340" s="4" t="n">
        <f aca="false">K340-L340</f>
        <v>78.97</v>
      </c>
      <c r="N340" s="6" t="n">
        <f aca="false">IF(K340=0,0,M340/K340)</f>
        <v>0.585092983625991</v>
      </c>
      <c r="O340" s="4" t="n">
        <f aca="false">(G340*H340)-K340</f>
        <v>44.99</v>
      </c>
      <c r="P340" s="3" t="s">
        <v>21</v>
      </c>
    </row>
    <row r="341" customFormat="false" ht="15" hidden="false" customHeight="false" outlineLevel="0" collapsed="false">
      <c r="A341" s="7" t="n">
        <v>46089</v>
      </c>
      <c r="B341" s="8" t="s">
        <v>31</v>
      </c>
      <c r="C341" s="8" t="s">
        <v>23</v>
      </c>
      <c r="D341" s="8" t="s">
        <v>93</v>
      </c>
      <c r="E341" s="8" t="s">
        <v>94</v>
      </c>
      <c r="F341" s="8" t="s">
        <v>34</v>
      </c>
      <c r="G341" s="8" t="n">
        <v>23</v>
      </c>
      <c r="H341" s="9" t="n">
        <v>29.99</v>
      </c>
      <c r="I341" s="9" t="n">
        <v>9</v>
      </c>
      <c r="J341" s="10" t="n">
        <v>0</v>
      </c>
      <c r="K341" s="9" t="n">
        <f aca="false">G341*H341*(1-J341)</f>
        <v>689.77</v>
      </c>
      <c r="L341" s="9" t="n">
        <f aca="false">G341*I341</f>
        <v>207</v>
      </c>
      <c r="M341" s="9" t="n">
        <f aca="false">K341-L341</f>
        <v>482.77</v>
      </c>
      <c r="N341" s="11" t="n">
        <f aca="false">IF(K341=0,0,M341/K341)</f>
        <v>0.699899966655552</v>
      </c>
      <c r="O341" s="9" t="n">
        <f aca="false">(G341*H341)-K341</f>
        <v>0</v>
      </c>
      <c r="P341" s="8" t="s">
        <v>21</v>
      </c>
    </row>
    <row r="342" customFormat="false" ht="15" hidden="false" customHeight="false" outlineLevel="0" collapsed="false">
      <c r="A342" s="2" t="n">
        <v>46034</v>
      </c>
      <c r="B342" s="3" t="s">
        <v>22</v>
      </c>
      <c r="C342" s="3" t="s">
        <v>23</v>
      </c>
      <c r="D342" s="3" t="s">
        <v>59</v>
      </c>
      <c r="E342" s="3" t="s">
        <v>60</v>
      </c>
      <c r="F342" s="3" t="s">
        <v>50</v>
      </c>
      <c r="G342" s="3" t="n">
        <v>29</v>
      </c>
      <c r="H342" s="4" t="n">
        <v>24.99</v>
      </c>
      <c r="I342" s="4" t="n">
        <v>8.5</v>
      </c>
      <c r="J342" s="5" t="n">
        <v>0</v>
      </c>
      <c r="K342" s="4" t="n">
        <f aca="false">G342*H342*(1-J342)</f>
        <v>724.71</v>
      </c>
      <c r="L342" s="4" t="n">
        <f aca="false">G342*I342</f>
        <v>246.5</v>
      </c>
      <c r="M342" s="4" t="n">
        <f aca="false">K342-L342</f>
        <v>478.21</v>
      </c>
      <c r="N342" s="6" t="n">
        <f aca="false">IF(K342=0,0,M342/K342)</f>
        <v>0.659863945578231</v>
      </c>
      <c r="O342" s="4" t="n">
        <f aca="false">(G342*H342)-K342</f>
        <v>0</v>
      </c>
      <c r="P342" s="3" t="s">
        <v>21</v>
      </c>
    </row>
    <row r="343" customFormat="false" ht="15" hidden="false" customHeight="false" outlineLevel="0" collapsed="false">
      <c r="A343" s="7" t="n">
        <v>46070</v>
      </c>
      <c r="B343" s="8" t="s">
        <v>37</v>
      </c>
      <c r="C343" s="8" t="s">
        <v>17</v>
      </c>
      <c r="D343" s="8" t="s">
        <v>42</v>
      </c>
      <c r="E343" s="8" t="s">
        <v>43</v>
      </c>
      <c r="F343" s="8" t="s">
        <v>34</v>
      </c>
      <c r="G343" s="8" t="n">
        <v>24</v>
      </c>
      <c r="H343" s="9" t="n">
        <v>11.99</v>
      </c>
      <c r="I343" s="9" t="n">
        <v>3.5</v>
      </c>
      <c r="J343" s="10" t="n">
        <v>0</v>
      </c>
      <c r="K343" s="9" t="n">
        <f aca="false">G343*H343*(1-J343)</f>
        <v>287.76</v>
      </c>
      <c r="L343" s="9" t="n">
        <f aca="false">G343*I343</f>
        <v>84</v>
      </c>
      <c r="M343" s="9" t="n">
        <f aca="false">K343-L343</f>
        <v>203.76</v>
      </c>
      <c r="N343" s="11" t="n">
        <f aca="false">IF(K343=0,0,M343/K343)</f>
        <v>0.708090075062552</v>
      </c>
      <c r="O343" s="9" t="n">
        <f aca="false">(G343*H343)-K343</f>
        <v>0</v>
      </c>
      <c r="P343" s="8" t="s">
        <v>21</v>
      </c>
    </row>
    <row r="344" customFormat="false" ht="15" hidden="false" customHeight="false" outlineLevel="0" collapsed="false">
      <c r="A344" s="2" t="n">
        <v>46075</v>
      </c>
      <c r="B344" s="3" t="s">
        <v>58</v>
      </c>
      <c r="C344" s="3" t="s">
        <v>58</v>
      </c>
      <c r="D344" s="3" t="s">
        <v>90</v>
      </c>
      <c r="E344" s="3" t="s">
        <v>91</v>
      </c>
      <c r="F344" s="3" t="s">
        <v>26</v>
      </c>
      <c r="G344" s="3" t="n">
        <v>22</v>
      </c>
      <c r="H344" s="4" t="n">
        <v>29.99</v>
      </c>
      <c r="I344" s="4" t="n">
        <v>11</v>
      </c>
      <c r="J344" s="5" t="n">
        <v>0.1</v>
      </c>
      <c r="K344" s="4" t="n">
        <f aca="false">G344*H344*(1-J344)</f>
        <v>593.802</v>
      </c>
      <c r="L344" s="4" t="n">
        <f aca="false">G344*I344</f>
        <v>242</v>
      </c>
      <c r="M344" s="4" t="n">
        <f aca="false">K344-L344</f>
        <v>351.802</v>
      </c>
      <c r="N344" s="6" t="n">
        <f aca="false">IF(K344=0,0,M344/K344)</f>
        <v>0.592456744840873</v>
      </c>
      <c r="O344" s="4" t="n">
        <f aca="false">(G344*H344)-K344</f>
        <v>65.978</v>
      </c>
      <c r="P344" s="3" t="s">
        <v>21</v>
      </c>
    </row>
    <row r="345" customFormat="false" ht="15" hidden="false" customHeight="false" outlineLevel="0" collapsed="false">
      <c r="A345" s="7" t="n">
        <v>46086</v>
      </c>
      <c r="B345" s="8" t="s">
        <v>22</v>
      </c>
      <c r="C345" s="8" t="s">
        <v>23</v>
      </c>
      <c r="D345" s="8" t="s">
        <v>80</v>
      </c>
      <c r="E345" s="8" t="s">
        <v>81</v>
      </c>
      <c r="F345" s="8" t="s">
        <v>57</v>
      </c>
      <c r="G345" s="8" t="n">
        <v>24</v>
      </c>
      <c r="H345" s="9" t="n">
        <v>17.99</v>
      </c>
      <c r="I345" s="9" t="n">
        <v>6.5</v>
      </c>
      <c r="J345" s="10" t="n">
        <v>0.1</v>
      </c>
      <c r="K345" s="9" t="n">
        <f aca="false">G345*H345*(1-J345)</f>
        <v>388.584</v>
      </c>
      <c r="L345" s="9" t="n">
        <f aca="false">G345*I345</f>
        <v>156</v>
      </c>
      <c r="M345" s="9" t="n">
        <f aca="false">K345-L345</f>
        <v>232.584</v>
      </c>
      <c r="N345" s="11" t="n">
        <f aca="false">IF(K345=0,0,M345/K345)</f>
        <v>0.59854240009882</v>
      </c>
      <c r="O345" s="9" t="n">
        <f aca="false">(G345*H345)-K345</f>
        <v>43.176</v>
      </c>
      <c r="P345" s="8" t="s">
        <v>21</v>
      </c>
    </row>
    <row r="346" customFormat="false" ht="15" hidden="false" customHeight="false" outlineLevel="0" collapsed="false">
      <c r="A346" s="2" t="n">
        <v>46065</v>
      </c>
      <c r="B346" s="3" t="s">
        <v>27</v>
      </c>
      <c r="C346" s="3" t="s">
        <v>28</v>
      </c>
      <c r="D346" s="3" t="s">
        <v>68</v>
      </c>
      <c r="E346" s="3" t="s">
        <v>69</v>
      </c>
      <c r="F346" s="3" t="s">
        <v>40</v>
      </c>
      <c r="G346" s="3" t="n">
        <v>3</v>
      </c>
      <c r="H346" s="4" t="n">
        <v>24.99</v>
      </c>
      <c r="I346" s="4" t="n">
        <v>9</v>
      </c>
      <c r="J346" s="5" t="n">
        <v>0.05</v>
      </c>
      <c r="K346" s="4" t="n">
        <f aca="false">G346*H346*(1-J346)</f>
        <v>71.2215</v>
      </c>
      <c r="L346" s="4" t="n">
        <f aca="false">G346*I346</f>
        <v>27</v>
      </c>
      <c r="M346" s="4" t="n">
        <f aca="false">K346-L346</f>
        <v>44.2215</v>
      </c>
      <c r="N346" s="6" t="n">
        <f aca="false">IF(K346=0,0,M346/K346)</f>
        <v>0.620900991975738</v>
      </c>
      <c r="O346" s="4" t="n">
        <f aca="false">(G346*H346)-K346</f>
        <v>3.74850000000001</v>
      </c>
      <c r="P346" s="3" t="s">
        <v>21</v>
      </c>
    </row>
    <row r="347" customFormat="false" ht="15" hidden="false" customHeight="false" outlineLevel="0" collapsed="false">
      <c r="A347" s="7" t="n">
        <v>46117</v>
      </c>
      <c r="B347" s="8" t="s">
        <v>27</v>
      </c>
      <c r="C347" s="8" t="s">
        <v>28</v>
      </c>
      <c r="D347" s="8" t="s">
        <v>53</v>
      </c>
      <c r="E347" s="8" t="s">
        <v>54</v>
      </c>
      <c r="F347" s="8" t="s">
        <v>50</v>
      </c>
      <c r="G347" s="8" t="n">
        <v>21</v>
      </c>
      <c r="H347" s="9" t="n">
        <v>22.99</v>
      </c>
      <c r="I347" s="9" t="n">
        <v>8</v>
      </c>
      <c r="J347" s="10" t="n">
        <v>0</v>
      </c>
      <c r="K347" s="9" t="n">
        <f aca="false">G347*H347*(1-J347)</f>
        <v>482.79</v>
      </c>
      <c r="L347" s="9" t="n">
        <f aca="false">G347*I347</f>
        <v>168</v>
      </c>
      <c r="M347" s="9" t="n">
        <f aca="false">K347-L347</f>
        <v>314.79</v>
      </c>
      <c r="N347" s="11" t="n">
        <f aca="false">IF(K347=0,0,M347/K347)</f>
        <v>0.652022618529796</v>
      </c>
      <c r="O347" s="9" t="n">
        <f aca="false">(G347*H347)-K347</f>
        <v>0</v>
      </c>
      <c r="P347" s="8" t="s">
        <v>21</v>
      </c>
    </row>
    <row r="348" customFormat="false" ht="15" hidden="false" customHeight="false" outlineLevel="0" collapsed="false">
      <c r="A348" s="2" t="n">
        <v>46032</v>
      </c>
      <c r="B348" s="3" t="s">
        <v>58</v>
      </c>
      <c r="C348" s="3" t="s">
        <v>58</v>
      </c>
      <c r="D348" s="3" t="s">
        <v>46</v>
      </c>
      <c r="E348" s="3" t="s">
        <v>47</v>
      </c>
      <c r="F348" s="3" t="s">
        <v>20</v>
      </c>
      <c r="G348" s="3" t="n">
        <v>19</v>
      </c>
      <c r="H348" s="4" t="n">
        <v>44.99</v>
      </c>
      <c r="I348" s="4" t="n">
        <v>18</v>
      </c>
      <c r="J348" s="5" t="n">
        <v>0.25</v>
      </c>
      <c r="K348" s="4" t="n">
        <f aca="false">G348*H348*(1-J348)</f>
        <v>641.1075</v>
      </c>
      <c r="L348" s="4" t="n">
        <f aca="false">G348*I348</f>
        <v>342</v>
      </c>
      <c r="M348" s="4" t="n">
        <f aca="false">K348-L348</f>
        <v>299.1075</v>
      </c>
      <c r="N348" s="6" t="n">
        <f aca="false">IF(K348=0,0,M348/K348)</f>
        <v>0.466548121804846</v>
      </c>
      <c r="O348" s="4" t="n">
        <f aca="false">(G348*H348)-K348</f>
        <v>213.7025</v>
      </c>
      <c r="P348" s="3" t="s">
        <v>21</v>
      </c>
    </row>
    <row r="349" customFormat="false" ht="15" hidden="false" customHeight="false" outlineLevel="0" collapsed="false">
      <c r="A349" s="7" t="n">
        <v>46066</v>
      </c>
      <c r="B349" s="8" t="s">
        <v>64</v>
      </c>
      <c r="C349" s="8" t="s">
        <v>65</v>
      </c>
      <c r="D349" s="8" t="s">
        <v>93</v>
      </c>
      <c r="E349" s="8" t="s">
        <v>94</v>
      </c>
      <c r="F349" s="8" t="s">
        <v>34</v>
      </c>
      <c r="G349" s="8" t="n">
        <v>19</v>
      </c>
      <c r="H349" s="9" t="n">
        <v>29.99</v>
      </c>
      <c r="I349" s="9" t="n">
        <v>9</v>
      </c>
      <c r="J349" s="10" t="n">
        <v>0.25</v>
      </c>
      <c r="K349" s="9" t="n">
        <f aca="false">G349*H349*(1-J349)</f>
        <v>427.3575</v>
      </c>
      <c r="L349" s="9" t="n">
        <f aca="false">G349*I349</f>
        <v>171</v>
      </c>
      <c r="M349" s="9" t="n">
        <f aca="false">K349-L349</f>
        <v>256.3575</v>
      </c>
      <c r="N349" s="11" t="n">
        <f aca="false">IF(K349=0,0,M349/K349)</f>
        <v>0.599866622207402</v>
      </c>
      <c r="O349" s="9" t="n">
        <f aca="false">(G349*H349)-K349</f>
        <v>142.4525</v>
      </c>
      <c r="P349" s="8" t="s">
        <v>21</v>
      </c>
    </row>
    <row r="350" customFormat="false" ht="15" hidden="false" customHeight="false" outlineLevel="0" collapsed="false">
      <c r="A350" s="2" t="n">
        <v>46127</v>
      </c>
      <c r="B350" s="3" t="s">
        <v>31</v>
      </c>
      <c r="C350" s="3" t="s">
        <v>23</v>
      </c>
      <c r="D350" s="3" t="s">
        <v>53</v>
      </c>
      <c r="E350" s="3" t="s">
        <v>54</v>
      </c>
      <c r="F350" s="3" t="s">
        <v>50</v>
      </c>
      <c r="G350" s="3" t="n">
        <v>3</v>
      </c>
      <c r="H350" s="4" t="n">
        <v>22.99</v>
      </c>
      <c r="I350" s="4" t="n">
        <v>8</v>
      </c>
      <c r="J350" s="5" t="n">
        <v>0.1</v>
      </c>
      <c r="K350" s="4" t="n">
        <f aca="false">G350*H350*(1-J350)</f>
        <v>62.073</v>
      </c>
      <c r="L350" s="4" t="n">
        <f aca="false">G350*I350</f>
        <v>24</v>
      </c>
      <c r="M350" s="4" t="n">
        <f aca="false">K350-L350</f>
        <v>38.073</v>
      </c>
      <c r="N350" s="6" t="n">
        <f aca="false">IF(K350=0,0,M350/K350)</f>
        <v>0.613358465033106</v>
      </c>
      <c r="O350" s="4" t="n">
        <f aca="false">(G350*H350)-K350</f>
        <v>6.897</v>
      </c>
      <c r="P350" s="3" t="s">
        <v>21</v>
      </c>
    </row>
    <row r="351" customFormat="false" ht="15" hidden="false" customHeight="false" outlineLevel="0" collapsed="false">
      <c r="A351" s="7" t="n">
        <v>46109</v>
      </c>
      <c r="B351" s="8" t="s">
        <v>27</v>
      </c>
      <c r="C351" s="8" t="s">
        <v>28</v>
      </c>
      <c r="D351" s="8" t="s">
        <v>80</v>
      </c>
      <c r="E351" s="8" t="s">
        <v>81</v>
      </c>
      <c r="F351" s="8" t="s">
        <v>57</v>
      </c>
      <c r="G351" s="8" t="n">
        <v>22</v>
      </c>
      <c r="H351" s="9" t="n">
        <v>17.99</v>
      </c>
      <c r="I351" s="9" t="n">
        <v>6.5</v>
      </c>
      <c r="J351" s="10" t="n">
        <v>0.25</v>
      </c>
      <c r="K351" s="9" t="n">
        <f aca="false">G351*H351*(1-J351)</f>
        <v>296.835</v>
      </c>
      <c r="L351" s="9" t="n">
        <f aca="false">G351*I351</f>
        <v>143</v>
      </c>
      <c r="M351" s="9" t="n">
        <f aca="false">K351-L351</f>
        <v>153.835</v>
      </c>
      <c r="N351" s="11" t="n">
        <f aca="false">IF(K351=0,0,M351/K351)</f>
        <v>0.518250880118584</v>
      </c>
      <c r="O351" s="9" t="n">
        <f aca="false">(G351*H351)-K351</f>
        <v>98.945</v>
      </c>
      <c r="P351" s="8" t="s">
        <v>21</v>
      </c>
    </row>
    <row r="352" customFormat="false" ht="15" hidden="false" customHeight="false" outlineLevel="0" collapsed="false">
      <c r="A352" s="2" t="n">
        <v>46098</v>
      </c>
      <c r="B352" s="3" t="s">
        <v>27</v>
      </c>
      <c r="C352" s="3" t="s">
        <v>28</v>
      </c>
      <c r="D352" s="3" t="s">
        <v>32</v>
      </c>
      <c r="E352" s="3" t="s">
        <v>33</v>
      </c>
      <c r="F352" s="3" t="s">
        <v>34</v>
      </c>
      <c r="G352" s="3" t="n">
        <v>14</v>
      </c>
      <c r="H352" s="4" t="n">
        <v>18.99</v>
      </c>
      <c r="I352" s="4" t="n">
        <v>6</v>
      </c>
      <c r="J352" s="5" t="n">
        <v>0.05</v>
      </c>
      <c r="K352" s="4" t="n">
        <f aca="false">G352*H352*(1-J352)</f>
        <v>252.567</v>
      </c>
      <c r="L352" s="4" t="n">
        <f aca="false">G352*I352</f>
        <v>84</v>
      </c>
      <c r="M352" s="4" t="n">
        <f aca="false">K352-L352</f>
        <v>168.567</v>
      </c>
      <c r="N352" s="6" t="n">
        <f aca="false">IF(K352=0,0,M352/K352)</f>
        <v>0.667414982955018</v>
      </c>
      <c r="O352" s="4" t="n">
        <f aca="false">(G352*H352)-K352</f>
        <v>13.293</v>
      </c>
      <c r="P352" s="3" t="s">
        <v>21</v>
      </c>
    </row>
    <row r="353" customFormat="false" ht="15" hidden="false" customHeight="false" outlineLevel="0" collapsed="false">
      <c r="A353" s="7" t="n">
        <v>46045</v>
      </c>
      <c r="B353" s="8" t="s">
        <v>58</v>
      </c>
      <c r="C353" s="8" t="s">
        <v>58</v>
      </c>
      <c r="D353" s="8" t="s">
        <v>44</v>
      </c>
      <c r="E353" s="8" t="s">
        <v>45</v>
      </c>
      <c r="F353" s="8" t="s">
        <v>40</v>
      </c>
      <c r="G353" s="8" t="n">
        <v>29</v>
      </c>
      <c r="H353" s="9" t="n">
        <v>29.99</v>
      </c>
      <c r="I353" s="9" t="n">
        <v>11</v>
      </c>
      <c r="J353" s="10" t="n">
        <v>0.25</v>
      </c>
      <c r="K353" s="9" t="n">
        <f aca="false">G353*H353*(1-J353)</f>
        <v>652.2825</v>
      </c>
      <c r="L353" s="9" t="n">
        <f aca="false">G353*I353</f>
        <v>319</v>
      </c>
      <c r="M353" s="9" t="n">
        <f aca="false">K353-L353</f>
        <v>333.2825</v>
      </c>
      <c r="N353" s="11" t="n">
        <f aca="false">IF(K353=0,0,M353/K353)</f>
        <v>0.510948093809047</v>
      </c>
      <c r="O353" s="9" t="n">
        <f aca="false">(G353*H353)-K353</f>
        <v>217.4275</v>
      </c>
      <c r="P353" s="8" t="s">
        <v>21</v>
      </c>
    </row>
    <row r="354" customFormat="false" ht="15" hidden="false" customHeight="false" outlineLevel="0" collapsed="false">
      <c r="A354" s="2" t="n">
        <v>46127</v>
      </c>
      <c r="B354" s="3" t="s">
        <v>16</v>
      </c>
      <c r="C354" s="3" t="s">
        <v>17</v>
      </c>
      <c r="D354" s="3" t="s">
        <v>82</v>
      </c>
      <c r="E354" s="3" t="s">
        <v>83</v>
      </c>
      <c r="F354" s="3" t="s">
        <v>26</v>
      </c>
      <c r="G354" s="3" t="n">
        <v>4</v>
      </c>
      <c r="H354" s="4" t="n">
        <v>44.99</v>
      </c>
      <c r="I354" s="4" t="n">
        <v>18</v>
      </c>
      <c r="J354" s="5" t="n">
        <v>0</v>
      </c>
      <c r="K354" s="4" t="n">
        <f aca="false">G354*H354*(1-J354)</f>
        <v>179.96</v>
      </c>
      <c r="L354" s="4" t="n">
        <f aca="false">G354*I354</f>
        <v>72</v>
      </c>
      <c r="M354" s="4" t="n">
        <f aca="false">K354-L354</f>
        <v>107.96</v>
      </c>
      <c r="N354" s="6" t="n">
        <f aca="false">IF(K354=0,0,M354/K354)</f>
        <v>0.599911091353634</v>
      </c>
      <c r="O354" s="4" t="n">
        <f aca="false">(G354*H354)-K354</f>
        <v>0</v>
      </c>
      <c r="P354" s="3" t="s">
        <v>21</v>
      </c>
    </row>
    <row r="355" customFormat="false" ht="15" hidden="false" customHeight="false" outlineLevel="0" collapsed="false">
      <c r="A355" s="7" t="n">
        <v>46044</v>
      </c>
      <c r="B355" s="8" t="s">
        <v>41</v>
      </c>
      <c r="C355" s="8" t="s">
        <v>28</v>
      </c>
      <c r="D355" s="8" t="s">
        <v>29</v>
      </c>
      <c r="E355" s="8" t="s">
        <v>30</v>
      </c>
      <c r="F355" s="8" t="s">
        <v>20</v>
      </c>
      <c r="G355" s="8" t="n">
        <v>9</v>
      </c>
      <c r="H355" s="9" t="n">
        <v>89.99</v>
      </c>
      <c r="I355" s="9" t="n">
        <v>42</v>
      </c>
      <c r="J355" s="10" t="n">
        <v>0</v>
      </c>
      <c r="K355" s="9" t="n">
        <f aca="false">G355*H355*(1-J355)</f>
        <v>809.91</v>
      </c>
      <c r="L355" s="9" t="n">
        <f aca="false">G355*I355</f>
        <v>378</v>
      </c>
      <c r="M355" s="9" t="n">
        <f aca="false">K355-L355</f>
        <v>431.91</v>
      </c>
      <c r="N355" s="11" t="n">
        <f aca="false">IF(K355=0,0,M355/K355)</f>
        <v>0.533281475719524</v>
      </c>
      <c r="O355" s="9" t="n">
        <f aca="false">(G355*H355)-K355</f>
        <v>0</v>
      </c>
      <c r="P355" s="8" t="s">
        <v>21</v>
      </c>
    </row>
    <row r="356" customFormat="false" ht="15" hidden="false" customHeight="false" outlineLevel="0" collapsed="false">
      <c r="A356" s="2" t="n">
        <v>46034</v>
      </c>
      <c r="B356" s="3" t="s">
        <v>64</v>
      </c>
      <c r="C356" s="3" t="s">
        <v>65</v>
      </c>
      <c r="D356" s="3" t="s">
        <v>35</v>
      </c>
      <c r="E356" s="3" t="s">
        <v>36</v>
      </c>
      <c r="F356" s="3" t="s">
        <v>26</v>
      </c>
      <c r="G356" s="3" t="n">
        <v>7</v>
      </c>
      <c r="H356" s="4" t="n">
        <v>80.63</v>
      </c>
      <c r="I356" s="4" t="n">
        <v>30</v>
      </c>
      <c r="J356" s="5" t="n">
        <v>0</v>
      </c>
      <c r="K356" s="4" t="n">
        <f aca="false">G356*H356*(1-J356)</f>
        <v>564.41</v>
      </c>
      <c r="L356" s="4" t="n">
        <f aca="false">G356*I356</f>
        <v>210</v>
      </c>
      <c r="M356" s="4" t="n">
        <f aca="false">K356-L356</f>
        <v>354.41</v>
      </c>
      <c r="N356" s="6" t="n">
        <f aca="false">IF(K356=0,0,M356/K356)</f>
        <v>0.62793005084956</v>
      </c>
      <c r="O356" s="4" t="n">
        <f aca="false">(G356*H356)-K356</f>
        <v>0</v>
      </c>
      <c r="P356" s="12" t="s">
        <v>63</v>
      </c>
    </row>
    <row r="357" customFormat="false" ht="15" hidden="false" customHeight="false" outlineLevel="0" collapsed="false">
      <c r="A357" s="7" t="n">
        <v>46072</v>
      </c>
      <c r="B357" s="8" t="s">
        <v>22</v>
      </c>
      <c r="C357" s="8" t="s">
        <v>23</v>
      </c>
      <c r="D357" s="8" t="s">
        <v>48</v>
      </c>
      <c r="E357" s="8" t="s">
        <v>49</v>
      </c>
      <c r="F357" s="8" t="s">
        <v>50</v>
      </c>
      <c r="G357" s="8" t="n">
        <v>7</v>
      </c>
      <c r="H357" s="9" t="n">
        <v>54.99</v>
      </c>
      <c r="I357" s="9" t="n">
        <v>20</v>
      </c>
      <c r="J357" s="10" t="n">
        <v>0.25</v>
      </c>
      <c r="K357" s="9" t="n">
        <f aca="false">G357*H357*(1-J357)</f>
        <v>288.6975</v>
      </c>
      <c r="L357" s="9" t="n">
        <f aca="false">G357*I357</f>
        <v>140</v>
      </c>
      <c r="M357" s="9" t="n">
        <f aca="false">K357-L357</f>
        <v>148.6975</v>
      </c>
      <c r="N357" s="11" t="n">
        <f aca="false">IF(K357=0,0,M357/K357)</f>
        <v>0.515063344850579</v>
      </c>
      <c r="O357" s="9" t="n">
        <f aca="false">(G357*H357)-K357</f>
        <v>96.2325</v>
      </c>
      <c r="P357" s="8" t="s">
        <v>21</v>
      </c>
    </row>
    <row r="358" customFormat="false" ht="15" hidden="false" customHeight="false" outlineLevel="0" collapsed="false">
      <c r="A358" s="2" t="n">
        <v>46025</v>
      </c>
      <c r="B358" s="3" t="s">
        <v>37</v>
      </c>
      <c r="C358" s="3" t="s">
        <v>17</v>
      </c>
      <c r="D358" s="3" t="s">
        <v>88</v>
      </c>
      <c r="E358" s="3" t="s">
        <v>89</v>
      </c>
      <c r="F358" s="3" t="s">
        <v>57</v>
      </c>
      <c r="G358" s="3" t="n">
        <v>8</v>
      </c>
      <c r="H358" s="4" t="n">
        <v>12.99</v>
      </c>
      <c r="I358" s="4" t="n">
        <v>4.5</v>
      </c>
      <c r="J358" s="5" t="n">
        <v>0</v>
      </c>
      <c r="K358" s="4" t="n">
        <f aca="false">G358*H358*(1-J358)</f>
        <v>103.92</v>
      </c>
      <c r="L358" s="4" t="n">
        <f aca="false">G358*I358</f>
        <v>36</v>
      </c>
      <c r="M358" s="4" t="n">
        <f aca="false">K358-L358</f>
        <v>67.92</v>
      </c>
      <c r="N358" s="6" t="n">
        <f aca="false">IF(K358=0,0,M358/K358)</f>
        <v>0.653579676674365</v>
      </c>
      <c r="O358" s="4" t="n">
        <f aca="false">(G358*H358)-K358</f>
        <v>0</v>
      </c>
      <c r="P358" s="3" t="s">
        <v>21</v>
      </c>
    </row>
    <row r="359" customFormat="false" ht="15" hidden="false" customHeight="false" outlineLevel="0" collapsed="false">
      <c r="A359" s="7" t="n">
        <v>46056</v>
      </c>
      <c r="B359" s="8" t="s">
        <v>16</v>
      </c>
      <c r="C359" s="8" t="s">
        <v>17</v>
      </c>
      <c r="D359" s="8" t="s">
        <v>76</v>
      </c>
      <c r="E359" s="8" t="s">
        <v>77</v>
      </c>
      <c r="F359" s="8" t="s">
        <v>34</v>
      </c>
      <c r="G359" s="8" t="n">
        <v>6</v>
      </c>
      <c r="H359" s="9" t="n">
        <v>11.31</v>
      </c>
      <c r="I359" s="9" t="n">
        <v>14</v>
      </c>
      <c r="J359" s="10" t="n">
        <v>0</v>
      </c>
      <c r="K359" s="9" t="n">
        <f aca="false">G359*H359*(1-J359)</f>
        <v>67.86</v>
      </c>
      <c r="L359" s="9" t="n">
        <f aca="false">G359*I359</f>
        <v>84</v>
      </c>
      <c r="M359" s="9" t="n">
        <f aca="false">K359-L359</f>
        <v>-16.14</v>
      </c>
      <c r="N359" s="11" t="n">
        <f aca="false">IF(K359=0,0,M359/K359)</f>
        <v>-0.237842617152962</v>
      </c>
      <c r="O359" s="9" t="n">
        <f aca="false">(G359*H359)-K359</f>
        <v>0</v>
      </c>
      <c r="P359" s="15" t="s">
        <v>98</v>
      </c>
    </row>
    <row r="360" customFormat="false" ht="15" hidden="false" customHeight="false" outlineLevel="0" collapsed="false">
      <c r="A360" s="2" t="n">
        <v>46034</v>
      </c>
      <c r="B360" s="3" t="s">
        <v>22</v>
      </c>
      <c r="C360" s="3" t="s">
        <v>23</v>
      </c>
      <c r="D360" s="3" t="s">
        <v>76</v>
      </c>
      <c r="E360" s="3" t="s">
        <v>77</v>
      </c>
      <c r="F360" s="3" t="s">
        <v>34</v>
      </c>
      <c r="G360" s="3" t="n">
        <v>14</v>
      </c>
      <c r="H360" s="4" t="n">
        <v>44.99</v>
      </c>
      <c r="I360" s="4" t="n">
        <v>14</v>
      </c>
      <c r="J360" s="5" t="n">
        <v>0.1</v>
      </c>
      <c r="K360" s="4" t="n">
        <f aca="false">G360*H360*(1-J360)</f>
        <v>566.874</v>
      </c>
      <c r="L360" s="4" t="n">
        <f aca="false">G360*I360</f>
        <v>196</v>
      </c>
      <c r="M360" s="4" t="n">
        <f aca="false">K360-L360</f>
        <v>370.874</v>
      </c>
      <c r="N360" s="6" t="n">
        <f aca="false">IF(K360=0,0,M360/K360)</f>
        <v>0.654244153021659</v>
      </c>
      <c r="O360" s="4" t="n">
        <f aca="false">(G360*H360)-K360</f>
        <v>62.986</v>
      </c>
      <c r="P360" s="3" t="s">
        <v>21</v>
      </c>
    </row>
    <row r="361" customFormat="false" ht="15" hidden="false" customHeight="false" outlineLevel="0" collapsed="false">
      <c r="A361" s="7" t="n">
        <v>46108</v>
      </c>
      <c r="B361" s="8" t="s">
        <v>41</v>
      </c>
      <c r="C361" s="8" t="s">
        <v>28</v>
      </c>
      <c r="D361" s="8" t="s">
        <v>82</v>
      </c>
      <c r="E361" s="8" t="s">
        <v>83</v>
      </c>
      <c r="F361" s="8" t="s">
        <v>26</v>
      </c>
      <c r="G361" s="8" t="n">
        <v>9</v>
      </c>
      <c r="H361" s="9" t="n">
        <v>44.99</v>
      </c>
      <c r="I361" s="9" t="n">
        <v>18</v>
      </c>
      <c r="J361" s="10" t="n">
        <v>0.1</v>
      </c>
      <c r="K361" s="9" t="n">
        <f aca="false">G361*H361*(1-J361)</f>
        <v>364.419</v>
      </c>
      <c r="L361" s="9" t="n">
        <f aca="false">G361*I361</f>
        <v>162</v>
      </c>
      <c r="M361" s="9" t="n">
        <f aca="false">K361-L361</f>
        <v>202.419</v>
      </c>
      <c r="N361" s="11" t="n">
        <f aca="false">IF(K361=0,0,M361/K361)</f>
        <v>0.555456768170705</v>
      </c>
      <c r="O361" s="9" t="n">
        <f aca="false">(G361*H361)-K361</f>
        <v>40.491</v>
      </c>
      <c r="P361" s="8" t="s">
        <v>21</v>
      </c>
    </row>
    <row r="362" customFormat="false" ht="15" hidden="false" customHeight="false" outlineLevel="0" collapsed="false">
      <c r="A362" s="2" t="n">
        <v>46064</v>
      </c>
      <c r="B362" s="3" t="s">
        <v>22</v>
      </c>
      <c r="C362" s="3" t="s">
        <v>23</v>
      </c>
      <c r="D362" s="3" t="s">
        <v>76</v>
      </c>
      <c r="E362" s="3" t="s">
        <v>77</v>
      </c>
      <c r="F362" s="3" t="s">
        <v>34</v>
      </c>
      <c r="G362" s="3" t="n">
        <v>18</v>
      </c>
      <c r="H362" s="4" t="n">
        <v>44.99</v>
      </c>
      <c r="I362" s="4" t="n">
        <v>14</v>
      </c>
      <c r="J362" s="5" t="n">
        <v>0.1</v>
      </c>
      <c r="K362" s="4" t="n">
        <f aca="false">G362*H362*(1-J362)</f>
        <v>728.838</v>
      </c>
      <c r="L362" s="4" t="n">
        <f aca="false">G362*I362</f>
        <v>252</v>
      </c>
      <c r="M362" s="4" t="n">
        <f aca="false">K362-L362</f>
        <v>476.838</v>
      </c>
      <c r="N362" s="6" t="n">
        <f aca="false">IF(K362=0,0,M362/K362)</f>
        <v>0.654244153021659</v>
      </c>
      <c r="O362" s="4" t="n">
        <f aca="false">(G362*H362)-K362</f>
        <v>80.982</v>
      </c>
      <c r="P362" s="3" t="s">
        <v>21</v>
      </c>
    </row>
    <row r="363" customFormat="false" ht="15" hidden="false" customHeight="false" outlineLevel="0" collapsed="false">
      <c r="A363" s="7" t="n">
        <v>46088</v>
      </c>
      <c r="B363" s="8" t="s">
        <v>58</v>
      </c>
      <c r="C363" s="8" t="s">
        <v>58</v>
      </c>
      <c r="D363" s="8" t="s">
        <v>84</v>
      </c>
      <c r="E363" s="8" t="s">
        <v>85</v>
      </c>
      <c r="F363" s="8" t="s">
        <v>20</v>
      </c>
      <c r="G363" s="8" t="n">
        <v>25</v>
      </c>
      <c r="H363" s="9" t="n">
        <v>34.99</v>
      </c>
      <c r="I363" s="9" t="n">
        <v>13</v>
      </c>
      <c r="J363" s="10" t="n">
        <v>0</v>
      </c>
      <c r="K363" s="9" t="n">
        <f aca="false">G363*H363*(1-J363)</f>
        <v>874.75</v>
      </c>
      <c r="L363" s="9" t="n">
        <f aca="false">G363*I363</f>
        <v>325</v>
      </c>
      <c r="M363" s="9" t="n">
        <f aca="false">K363-L363</f>
        <v>549.75</v>
      </c>
      <c r="N363" s="11" t="n">
        <f aca="false">IF(K363=0,0,M363/K363)</f>
        <v>0.628465275793084</v>
      </c>
      <c r="O363" s="9" t="n">
        <f aca="false">(G363*H363)-K363</f>
        <v>0</v>
      </c>
      <c r="P363" s="8" t="s">
        <v>21</v>
      </c>
    </row>
    <row r="364" customFormat="false" ht="15" hidden="false" customHeight="false" outlineLevel="0" collapsed="false">
      <c r="A364" s="2" t="n">
        <v>46092</v>
      </c>
      <c r="B364" s="3" t="s">
        <v>41</v>
      </c>
      <c r="C364" s="3" t="s">
        <v>28</v>
      </c>
      <c r="D364" s="3" t="s">
        <v>76</v>
      </c>
      <c r="E364" s="3" t="s">
        <v>77</v>
      </c>
      <c r="F364" s="3" t="s">
        <v>34</v>
      </c>
      <c r="G364" s="3" t="n">
        <v>25</v>
      </c>
      <c r="H364" s="4" t="n">
        <v>49.99</v>
      </c>
      <c r="I364" s="4" t="n">
        <v>14</v>
      </c>
      <c r="J364" s="5" t="n">
        <v>0.3</v>
      </c>
      <c r="K364" s="4" t="n">
        <f aca="false">G364*H364*(1-J364)</f>
        <v>874.825</v>
      </c>
      <c r="L364" s="4" t="n">
        <f aca="false">G364*I364</f>
        <v>350</v>
      </c>
      <c r="M364" s="4" t="n">
        <f aca="false">K364-L364</f>
        <v>524.825</v>
      </c>
      <c r="N364" s="6" t="n">
        <f aca="false">IF(K364=0,0,M364/K364)</f>
        <v>0.599919983996799</v>
      </c>
      <c r="O364" s="4" t="n">
        <f aca="false">(G364*H364)-K364</f>
        <v>374.925</v>
      </c>
      <c r="P364" s="3" t="s">
        <v>21</v>
      </c>
    </row>
    <row r="365" customFormat="false" ht="15" hidden="false" customHeight="false" outlineLevel="0" collapsed="false">
      <c r="A365" s="7" t="n">
        <v>46070</v>
      </c>
      <c r="B365" s="8" t="s">
        <v>64</v>
      </c>
      <c r="C365" s="8" t="s">
        <v>65</v>
      </c>
      <c r="D365" s="8" t="s">
        <v>61</v>
      </c>
      <c r="E365" s="8" t="s">
        <v>62</v>
      </c>
      <c r="F365" s="8" t="s">
        <v>34</v>
      </c>
      <c r="G365" s="8" t="n">
        <v>18</v>
      </c>
      <c r="H365" s="9" t="n">
        <v>12.99</v>
      </c>
      <c r="I365" s="9" t="n">
        <v>4.5</v>
      </c>
      <c r="J365" s="10" t="n">
        <v>0.15</v>
      </c>
      <c r="K365" s="9" t="n">
        <f aca="false">G365*H365*(1-J365)</f>
        <v>198.747</v>
      </c>
      <c r="L365" s="9" t="n">
        <f aca="false">G365*I365</f>
        <v>81</v>
      </c>
      <c r="M365" s="9" t="n">
        <f aca="false">K365-L365</f>
        <v>117.747</v>
      </c>
      <c r="N365" s="11" t="n">
        <f aca="false">IF(K365=0,0,M365/K365)</f>
        <v>0.592446678440429</v>
      </c>
      <c r="O365" s="9" t="n">
        <f aca="false">(G365*H365)-K365</f>
        <v>35.073</v>
      </c>
      <c r="P365" s="8" t="s">
        <v>21</v>
      </c>
    </row>
    <row r="366" customFormat="false" ht="15" hidden="false" customHeight="false" outlineLevel="0" collapsed="false">
      <c r="A366" s="2" t="n">
        <v>46085</v>
      </c>
      <c r="B366" s="3" t="s">
        <v>37</v>
      </c>
      <c r="C366" s="3" t="s">
        <v>17</v>
      </c>
      <c r="D366" s="3" t="s">
        <v>48</v>
      </c>
      <c r="E366" s="3" t="s">
        <v>49</v>
      </c>
      <c r="F366" s="3" t="s">
        <v>50</v>
      </c>
      <c r="G366" s="3" t="n">
        <v>1</v>
      </c>
      <c r="H366" s="4" t="n">
        <v>54.99</v>
      </c>
      <c r="I366" s="4" t="n">
        <v>20</v>
      </c>
      <c r="J366" s="5" t="n">
        <v>0</v>
      </c>
      <c r="K366" s="4" t="n">
        <f aca="false">G366*H366*(1-J366)</f>
        <v>54.99</v>
      </c>
      <c r="L366" s="4" t="n">
        <f aca="false">G366*I366</f>
        <v>20</v>
      </c>
      <c r="M366" s="4" t="n">
        <f aca="false">K366-L366</f>
        <v>34.99</v>
      </c>
      <c r="N366" s="6" t="n">
        <f aca="false">IF(K366=0,0,M366/K366)</f>
        <v>0.636297508637934</v>
      </c>
      <c r="O366" s="4" t="n">
        <f aca="false">(G366*H366)-K366</f>
        <v>0</v>
      </c>
      <c r="P366" s="3" t="s">
        <v>21</v>
      </c>
    </row>
    <row r="367" customFormat="false" ht="15" hidden="false" customHeight="false" outlineLevel="0" collapsed="false">
      <c r="A367" s="7" t="n">
        <v>46047</v>
      </c>
      <c r="B367" s="8" t="s">
        <v>16</v>
      </c>
      <c r="C367" s="8" t="s">
        <v>17</v>
      </c>
      <c r="D367" s="8" t="s">
        <v>66</v>
      </c>
      <c r="E367" s="8" t="s">
        <v>67</v>
      </c>
      <c r="F367" s="8" t="s">
        <v>57</v>
      </c>
      <c r="G367" s="8" t="n">
        <v>17</v>
      </c>
      <c r="H367" s="9" t="n">
        <v>14.99</v>
      </c>
      <c r="I367" s="9" t="n">
        <v>5.5</v>
      </c>
      <c r="J367" s="10" t="n">
        <v>0.15</v>
      </c>
      <c r="K367" s="9" t="n">
        <f aca="false">G367*H367*(1-J367)</f>
        <v>216.6055</v>
      </c>
      <c r="L367" s="9" t="n">
        <f aca="false">G367*I367</f>
        <v>93.5</v>
      </c>
      <c r="M367" s="9" t="n">
        <f aca="false">K367-L367</f>
        <v>123.1055</v>
      </c>
      <c r="N367" s="11" t="n">
        <f aca="false">IF(K367=0,0,M367/K367)</f>
        <v>0.568339677432014</v>
      </c>
      <c r="O367" s="9" t="n">
        <f aca="false">(G367*H367)-K367</f>
        <v>38.2245</v>
      </c>
      <c r="P367" s="8" t="s">
        <v>21</v>
      </c>
    </row>
    <row r="368" customFormat="false" ht="15" hidden="false" customHeight="false" outlineLevel="0" collapsed="false">
      <c r="A368" s="2" t="n">
        <v>46026</v>
      </c>
      <c r="B368" s="3" t="s">
        <v>22</v>
      </c>
      <c r="C368" s="3" t="s">
        <v>23</v>
      </c>
      <c r="D368" s="3" t="s">
        <v>24</v>
      </c>
      <c r="E368" s="3" t="s">
        <v>25</v>
      </c>
      <c r="F368" s="3" t="s">
        <v>26</v>
      </c>
      <c r="G368" s="3" t="n">
        <v>8</v>
      </c>
      <c r="H368" s="4" t="n">
        <v>59.99</v>
      </c>
      <c r="I368" s="4" t="n">
        <v>24</v>
      </c>
      <c r="J368" s="5" t="n">
        <v>0.2</v>
      </c>
      <c r="K368" s="4" t="n">
        <f aca="false">G368*H368*(1-J368)</f>
        <v>383.936</v>
      </c>
      <c r="L368" s="4" t="n">
        <f aca="false">G368*I368</f>
        <v>192</v>
      </c>
      <c r="M368" s="4" t="n">
        <f aca="false">K368-L368</f>
        <v>191.936</v>
      </c>
      <c r="N368" s="6" t="n">
        <f aca="false">IF(K368=0,0,M368/K368)</f>
        <v>0.499916652775463</v>
      </c>
      <c r="O368" s="4" t="n">
        <f aca="false">(G368*H368)-K368</f>
        <v>95.984</v>
      </c>
      <c r="P368" s="3" t="s">
        <v>21</v>
      </c>
    </row>
    <row r="369" customFormat="false" ht="15" hidden="false" customHeight="false" outlineLevel="0" collapsed="false">
      <c r="A369" s="7" t="n">
        <v>46068</v>
      </c>
      <c r="B369" s="8" t="s">
        <v>64</v>
      </c>
      <c r="C369" s="8" t="s">
        <v>65</v>
      </c>
      <c r="D369" s="8" t="s">
        <v>68</v>
      </c>
      <c r="E369" s="8" t="s">
        <v>69</v>
      </c>
      <c r="F369" s="8" t="s">
        <v>40</v>
      </c>
      <c r="G369" s="8" t="n">
        <v>30</v>
      </c>
      <c r="H369" s="9" t="n">
        <v>24.99</v>
      </c>
      <c r="I369" s="9" t="n">
        <v>9</v>
      </c>
      <c r="J369" s="10" t="n">
        <v>0</v>
      </c>
      <c r="K369" s="9" t="n">
        <f aca="false">G369*H369*(1-J369)</f>
        <v>749.7</v>
      </c>
      <c r="L369" s="9" t="n">
        <f aca="false">G369*I369</f>
        <v>270</v>
      </c>
      <c r="M369" s="9" t="n">
        <f aca="false">K369-L369</f>
        <v>479.7</v>
      </c>
      <c r="N369" s="11" t="n">
        <f aca="false">IF(K369=0,0,M369/K369)</f>
        <v>0.639855942376951</v>
      </c>
      <c r="O369" s="9" t="n">
        <f aca="false">(G369*H369)-K369</f>
        <v>0</v>
      </c>
      <c r="P369" s="8" t="s">
        <v>21</v>
      </c>
    </row>
    <row r="370" customFormat="false" ht="15" hidden="false" customHeight="false" outlineLevel="0" collapsed="false">
      <c r="A370" s="2" t="n">
        <v>46111</v>
      </c>
      <c r="B370" s="3" t="s">
        <v>16</v>
      </c>
      <c r="C370" s="3" t="s">
        <v>17</v>
      </c>
      <c r="D370" s="3" t="s">
        <v>48</v>
      </c>
      <c r="E370" s="3" t="s">
        <v>49</v>
      </c>
      <c r="F370" s="3" t="s">
        <v>50</v>
      </c>
      <c r="G370" s="3" t="n">
        <v>18</v>
      </c>
      <c r="H370" s="4" t="n">
        <v>59.99</v>
      </c>
      <c r="I370" s="4" t="n">
        <v>20</v>
      </c>
      <c r="J370" s="5" t="n">
        <v>0</v>
      </c>
      <c r="K370" s="4" t="n">
        <f aca="false">G370*H370*(1-J370)</f>
        <v>1079.82</v>
      </c>
      <c r="L370" s="4" t="n">
        <f aca="false">G370*I370</f>
        <v>360</v>
      </c>
      <c r="M370" s="4" t="n">
        <f aca="false">K370-L370</f>
        <v>719.82</v>
      </c>
      <c r="N370" s="6" t="n">
        <f aca="false">IF(K370=0,0,M370/K370)</f>
        <v>0.666611101850308</v>
      </c>
      <c r="O370" s="4" t="n">
        <f aca="false">(G370*H370)-K370</f>
        <v>0</v>
      </c>
      <c r="P370" s="3" t="s">
        <v>21</v>
      </c>
    </row>
    <row r="371" customFormat="false" ht="15" hidden="false" customHeight="false" outlineLevel="0" collapsed="false">
      <c r="A371" s="7" t="n">
        <v>46110</v>
      </c>
      <c r="B371" s="8" t="s">
        <v>58</v>
      </c>
      <c r="C371" s="8" t="s">
        <v>58</v>
      </c>
      <c r="D371" s="8" t="s">
        <v>68</v>
      </c>
      <c r="E371" s="8" t="s">
        <v>69</v>
      </c>
      <c r="F371" s="8" t="s">
        <v>40</v>
      </c>
      <c r="G371" s="8" t="n">
        <v>7</v>
      </c>
      <c r="H371" s="9" t="n">
        <v>24.99</v>
      </c>
      <c r="I371" s="9" t="n">
        <v>9</v>
      </c>
      <c r="J371" s="10" t="n">
        <v>0</v>
      </c>
      <c r="K371" s="9" t="n">
        <f aca="false">G371*H371*(1-J371)</f>
        <v>174.93</v>
      </c>
      <c r="L371" s="9" t="n">
        <f aca="false">G371*I371</f>
        <v>63</v>
      </c>
      <c r="M371" s="9" t="n">
        <f aca="false">K371-L371</f>
        <v>111.93</v>
      </c>
      <c r="N371" s="11" t="n">
        <f aca="false">IF(K371=0,0,M371/K371)</f>
        <v>0.639855942376951</v>
      </c>
      <c r="O371" s="9" t="n">
        <f aca="false">(G371*H371)-K371</f>
        <v>0</v>
      </c>
      <c r="P371" s="8" t="s">
        <v>21</v>
      </c>
    </row>
    <row r="372" customFormat="false" ht="15" hidden="false" customHeight="false" outlineLevel="0" collapsed="false">
      <c r="A372" s="2" t="n">
        <v>46128</v>
      </c>
      <c r="B372" s="3" t="s">
        <v>58</v>
      </c>
      <c r="C372" s="3" t="s">
        <v>58</v>
      </c>
      <c r="D372" s="3" t="s">
        <v>46</v>
      </c>
      <c r="E372" s="3" t="s">
        <v>47</v>
      </c>
      <c r="F372" s="3" t="s">
        <v>20</v>
      </c>
      <c r="G372" s="3" t="n">
        <v>14</v>
      </c>
      <c r="H372" s="4" t="n">
        <v>44.99</v>
      </c>
      <c r="I372" s="4" t="n">
        <v>18</v>
      </c>
      <c r="J372" s="5" t="n">
        <v>0.1</v>
      </c>
      <c r="K372" s="4" t="n">
        <f aca="false">G372*H372*(1-J372)</f>
        <v>566.874</v>
      </c>
      <c r="L372" s="4" t="n">
        <f aca="false">G372*I372</f>
        <v>252</v>
      </c>
      <c r="M372" s="4" t="n">
        <f aca="false">K372-L372</f>
        <v>314.874</v>
      </c>
      <c r="N372" s="6" t="n">
        <f aca="false">IF(K372=0,0,M372/K372)</f>
        <v>0.555456768170705</v>
      </c>
      <c r="O372" s="4" t="n">
        <f aca="false">(G372*H372)-K372</f>
        <v>62.986</v>
      </c>
      <c r="P372" s="3" t="s">
        <v>21</v>
      </c>
    </row>
    <row r="373" customFormat="false" ht="15" hidden="false" customHeight="false" outlineLevel="0" collapsed="false">
      <c r="A373" s="7" t="n">
        <v>46122</v>
      </c>
      <c r="B373" s="8" t="s">
        <v>64</v>
      </c>
      <c r="C373" s="8" t="s">
        <v>65</v>
      </c>
      <c r="D373" s="8" t="s">
        <v>90</v>
      </c>
      <c r="E373" s="8" t="s">
        <v>91</v>
      </c>
      <c r="F373" s="8" t="s">
        <v>26</v>
      </c>
      <c r="G373" s="8" t="n">
        <v>3</v>
      </c>
      <c r="H373" s="9" t="n">
        <v>30.9</v>
      </c>
      <c r="I373" s="9" t="n">
        <v>11</v>
      </c>
      <c r="J373" s="10" t="n">
        <v>0</v>
      </c>
      <c r="K373" s="9" t="n">
        <f aca="false">G373*H373*(1-J373)</f>
        <v>92.7</v>
      </c>
      <c r="L373" s="9" t="n">
        <f aca="false">G373*I373</f>
        <v>33</v>
      </c>
      <c r="M373" s="9" t="n">
        <f aca="false">K373-L373</f>
        <v>59.7</v>
      </c>
      <c r="N373" s="11" t="n">
        <f aca="false">IF(K373=0,0,M373/K373)</f>
        <v>0.644012944983819</v>
      </c>
      <c r="O373" s="9" t="n">
        <f aca="false">(G373*H373)-K373</f>
        <v>0</v>
      </c>
      <c r="P373" s="12" t="s">
        <v>63</v>
      </c>
    </row>
    <row r="374" customFormat="false" ht="15" hidden="false" customHeight="false" outlineLevel="0" collapsed="false">
      <c r="A374" s="2" t="n">
        <v>46067</v>
      </c>
      <c r="B374" s="3" t="s">
        <v>58</v>
      </c>
      <c r="C374" s="3" t="s">
        <v>58</v>
      </c>
      <c r="D374" s="3" t="s">
        <v>78</v>
      </c>
      <c r="E374" s="3" t="s">
        <v>79</v>
      </c>
      <c r="F374" s="3" t="s">
        <v>20</v>
      </c>
      <c r="G374" s="3" t="n">
        <v>24</v>
      </c>
      <c r="H374" s="4" t="n">
        <v>39.99</v>
      </c>
      <c r="I374" s="4" t="n">
        <v>16</v>
      </c>
      <c r="J374" s="5" t="n">
        <v>0.1</v>
      </c>
      <c r="K374" s="4" t="n">
        <f aca="false">G374*H374*(1-J374)</f>
        <v>863.784</v>
      </c>
      <c r="L374" s="4" t="n">
        <f aca="false">G374*I374</f>
        <v>384</v>
      </c>
      <c r="M374" s="4" t="n">
        <f aca="false">K374-L374</f>
        <v>479.784</v>
      </c>
      <c r="N374" s="6" t="n">
        <f aca="false">IF(K374=0,0,M374/K374)</f>
        <v>0.55544441665972</v>
      </c>
      <c r="O374" s="4" t="n">
        <f aca="false">(G374*H374)-K374</f>
        <v>95.976</v>
      </c>
      <c r="P374" s="3" t="s">
        <v>21</v>
      </c>
    </row>
    <row r="375" customFormat="false" ht="15" hidden="false" customHeight="false" outlineLevel="0" collapsed="false">
      <c r="A375" s="7" t="n">
        <v>46123</v>
      </c>
      <c r="B375" s="8" t="s">
        <v>27</v>
      </c>
      <c r="C375" s="8" t="s">
        <v>28</v>
      </c>
      <c r="D375" s="8" t="s">
        <v>95</v>
      </c>
      <c r="E375" s="8" t="s">
        <v>96</v>
      </c>
      <c r="F375" s="8" t="s">
        <v>50</v>
      </c>
      <c r="G375" s="8" t="n">
        <v>20</v>
      </c>
      <c r="H375" s="9" t="n">
        <v>34.99</v>
      </c>
      <c r="I375" s="9" t="n">
        <v>12</v>
      </c>
      <c r="J375" s="10" t="n">
        <v>0.1</v>
      </c>
      <c r="K375" s="9" t="n">
        <f aca="false">G375*H375*(1-J375)</f>
        <v>629.82</v>
      </c>
      <c r="L375" s="9" t="n">
        <f aca="false">G375*I375</f>
        <v>240</v>
      </c>
      <c r="M375" s="9" t="n">
        <f aca="false">K375-L375</f>
        <v>389.82</v>
      </c>
      <c r="N375" s="11" t="n">
        <f aca="false">IF(K375=0,0,M375/K375)</f>
        <v>0.618938744403163</v>
      </c>
      <c r="O375" s="9" t="n">
        <f aca="false">(G375*H375)-K375</f>
        <v>69.98</v>
      </c>
      <c r="P375" s="8" t="s">
        <v>21</v>
      </c>
    </row>
    <row r="376" customFormat="false" ht="15" hidden="false" customHeight="false" outlineLevel="0" collapsed="false">
      <c r="A376" s="2" t="n">
        <v>46132</v>
      </c>
      <c r="B376" s="3" t="s">
        <v>58</v>
      </c>
      <c r="C376" s="3" t="s">
        <v>58</v>
      </c>
      <c r="D376" s="3" t="s">
        <v>72</v>
      </c>
      <c r="E376" s="3" t="s">
        <v>73</v>
      </c>
      <c r="F376" s="3" t="s">
        <v>57</v>
      </c>
      <c r="G376" s="3" t="n">
        <v>26</v>
      </c>
      <c r="H376" s="4" t="n">
        <v>19.99</v>
      </c>
      <c r="I376" s="4" t="n">
        <v>7</v>
      </c>
      <c r="J376" s="5" t="n">
        <v>0</v>
      </c>
      <c r="K376" s="4" t="n">
        <f aca="false">G376*H376*(1-J376)</f>
        <v>519.74</v>
      </c>
      <c r="L376" s="4" t="n">
        <f aca="false">G376*I376</f>
        <v>182</v>
      </c>
      <c r="M376" s="4" t="n">
        <f aca="false">K376-L376</f>
        <v>337.74</v>
      </c>
      <c r="N376" s="6" t="n">
        <f aca="false">IF(K376=0,0,M376/K376)</f>
        <v>0.649824912456228</v>
      </c>
      <c r="O376" s="4" t="n">
        <f aca="false">(G376*H376)-K376</f>
        <v>0</v>
      </c>
      <c r="P376" s="3" t="s">
        <v>21</v>
      </c>
    </row>
    <row r="377" customFormat="false" ht="15" hidden="false" customHeight="false" outlineLevel="0" collapsed="false">
      <c r="A377" s="7" t="n">
        <v>46082</v>
      </c>
      <c r="B377" s="8" t="s">
        <v>41</v>
      </c>
      <c r="C377" s="8" t="s">
        <v>28</v>
      </c>
      <c r="D377" s="8" t="s">
        <v>88</v>
      </c>
      <c r="E377" s="8" t="s">
        <v>89</v>
      </c>
      <c r="F377" s="8" t="s">
        <v>57</v>
      </c>
      <c r="G377" s="8" t="n">
        <v>16</v>
      </c>
      <c r="H377" s="9" t="n">
        <v>12.99</v>
      </c>
      <c r="I377" s="9" t="n">
        <v>4.5</v>
      </c>
      <c r="J377" s="10" t="n">
        <v>0</v>
      </c>
      <c r="K377" s="9" t="n">
        <f aca="false">G377*H377*(1-J377)</f>
        <v>207.84</v>
      </c>
      <c r="L377" s="9" t="n">
        <f aca="false">G377*I377</f>
        <v>72</v>
      </c>
      <c r="M377" s="9" t="n">
        <f aca="false">K377-L377</f>
        <v>135.84</v>
      </c>
      <c r="N377" s="11" t="n">
        <f aca="false">IF(K377=0,0,M377/K377)</f>
        <v>0.653579676674365</v>
      </c>
      <c r="O377" s="9" t="n">
        <f aca="false">(G377*H377)-K377</f>
        <v>0</v>
      </c>
      <c r="P377" s="8" t="s">
        <v>21</v>
      </c>
    </row>
    <row r="378" customFormat="false" ht="15" hidden="false" customHeight="false" outlineLevel="0" collapsed="false">
      <c r="A378" s="2" t="n">
        <v>46087</v>
      </c>
      <c r="B378" s="3" t="s">
        <v>22</v>
      </c>
      <c r="C378" s="3" t="s">
        <v>23</v>
      </c>
      <c r="D378" s="3" t="s">
        <v>68</v>
      </c>
      <c r="E378" s="3" t="s">
        <v>69</v>
      </c>
      <c r="F378" s="3" t="s">
        <v>40</v>
      </c>
      <c r="G378" s="3" t="n">
        <v>26</v>
      </c>
      <c r="H378" s="4" t="n">
        <v>24.99</v>
      </c>
      <c r="I378" s="4" t="n">
        <v>9</v>
      </c>
      <c r="J378" s="5" t="n">
        <v>0.05</v>
      </c>
      <c r="K378" s="4" t="n">
        <f aca="false">G378*H378*(1-J378)</f>
        <v>617.253</v>
      </c>
      <c r="L378" s="4" t="n">
        <f aca="false">G378*I378</f>
        <v>234</v>
      </c>
      <c r="M378" s="4" t="n">
        <f aca="false">K378-L378</f>
        <v>383.253</v>
      </c>
      <c r="N378" s="6" t="n">
        <f aca="false">IF(K378=0,0,M378/K378)</f>
        <v>0.620900991975738</v>
      </c>
      <c r="O378" s="4" t="n">
        <f aca="false">(G378*H378)-K378</f>
        <v>32.4870000000001</v>
      </c>
      <c r="P378" s="3" t="s">
        <v>21</v>
      </c>
    </row>
    <row r="379" customFormat="false" ht="15" hidden="false" customHeight="false" outlineLevel="0" collapsed="false">
      <c r="A379" s="7" t="n">
        <v>46074</v>
      </c>
      <c r="B379" s="8" t="s">
        <v>58</v>
      </c>
      <c r="C379" s="8" t="s">
        <v>58</v>
      </c>
      <c r="D379" s="8" t="s">
        <v>82</v>
      </c>
      <c r="E379" s="8" t="s">
        <v>83</v>
      </c>
      <c r="F379" s="8" t="s">
        <v>26</v>
      </c>
      <c r="G379" s="8" t="n">
        <v>18</v>
      </c>
      <c r="H379" s="9" t="n">
        <v>44.99</v>
      </c>
      <c r="I379" s="9" t="n">
        <v>18</v>
      </c>
      <c r="J379" s="10" t="n">
        <v>0</v>
      </c>
      <c r="K379" s="9" t="n">
        <f aca="false">G379*H379*(1-J379)</f>
        <v>809.82</v>
      </c>
      <c r="L379" s="9" t="n">
        <f aca="false">G379*I379</f>
        <v>324</v>
      </c>
      <c r="M379" s="9" t="n">
        <f aca="false">K379-L379</f>
        <v>485.82</v>
      </c>
      <c r="N379" s="11" t="n">
        <f aca="false">IF(K379=0,0,M379/K379)</f>
        <v>0.599911091353634</v>
      </c>
      <c r="O379" s="9" t="n">
        <f aca="false">(G379*H379)-K379</f>
        <v>0</v>
      </c>
      <c r="P379" s="8" t="s">
        <v>21</v>
      </c>
    </row>
    <row r="380" customFormat="false" ht="15" hidden="false" customHeight="false" outlineLevel="0" collapsed="false">
      <c r="A380" s="2" t="n">
        <v>46127</v>
      </c>
      <c r="B380" s="3" t="s">
        <v>64</v>
      </c>
      <c r="C380" s="3" t="s">
        <v>65</v>
      </c>
      <c r="D380" s="3" t="s">
        <v>44</v>
      </c>
      <c r="E380" s="3" t="s">
        <v>45</v>
      </c>
      <c r="F380" s="3" t="s">
        <v>40</v>
      </c>
      <c r="G380" s="3" t="n">
        <v>1</v>
      </c>
      <c r="H380" s="4" t="n">
        <v>29.99</v>
      </c>
      <c r="I380" s="4" t="n">
        <v>11</v>
      </c>
      <c r="J380" s="5" t="n">
        <v>0</v>
      </c>
      <c r="K380" s="4" t="n">
        <f aca="false">G380*H380*(1-J380)</f>
        <v>29.99</v>
      </c>
      <c r="L380" s="4" t="n">
        <f aca="false">G380*I380</f>
        <v>11</v>
      </c>
      <c r="M380" s="4" t="n">
        <f aca="false">K380-L380</f>
        <v>18.99</v>
      </c>
      <c r="N380" s="6" t="n">
        <f aca="false">IF(K380=0,0,M380/K380)</f>
        <v>0.633211070356786</v>
      </c>
      <c r="O380" s="4" t="n">
        <f aca="false">(G380*H380)-K380</f>
        <v>0</v>
      </c>
      <c r="P380" s="3" t="s">
        <v>21</v>
      </c>
    </row>
    <row r="381" customFormat="false" ht="15" hidden="false" customHeight="false" outlineLevel="0" collapsed="false">
      <c r="A381" s="7" t="n">
        <v>46081</v>
      </c>
      <c r="B381" s="8" t="s">
        <v>58</v>
      </c>
      <c r="C381" s="8" t="s">
        <v>58</v>
      </c>
      <c r="D381" s="8" t="s">
        <v>53</v>
      </c>
      <c r="E381" s="8" t="s">
        <v>54</v>
      </c>
      <c r="F381" s="8" t="s">
        <v>50</v>
      </c>
      <c r="G381" s="8" t="n">
        <v>11</v>
      </c>
      <c r="H381" s="9" t="n">
        <v>22.99</v>
      </c>
      <c r="I381" s="9" t="n">
        <v>8</v>
      </c>
      <c r="J381" s="10" t="n">
        <v>0.55</v>
      </c>
      <c r="K381" s="9" t="n">
        <f aca="false">G381*H381*(1-J381)</f>
        <v>113.8005</v>
      </c>
      <c r="L381" s="9" t="n">
        <f aca="false">G381*I381</f>
        <v>88</v>
      </c>
      <c r="M381" s="9" t="n">
        <f aca="false">K381-L381</f>
        <v>25.8005</v>
      </c>
      <c r="N381" s="11" t="n">
        <f aca="false">IF(K381=0,0,M381/K381)</f>
        <v>0.226716930066212</v>
      </c>
      <c r="O381" s="9" t="n">
        <f aca="false">(G381*H381)-K381</f>
        <v>139.0895</v>
      </c>
      <c r="P381" s="14" t="s">
        <v>97</v>
      </c>
    </row>
    <row r="382" customFormat="false" ht="15" hidden="false" customHeight="false" outlineLevel="0" collapsed="false">
      <c r="A382" s="2" t="n">
        <v>46107</v>
      </c>
      <c r="B382" s="3" t="s">
        <v>37</v>
      </c>
      <c r="C382" s="3" t="s">
        <v>17</v>
      </c>
      <c r="D382" s="3" t="s">
        <v>95</v>
      </c>
      <c r="E382" s="3" t="s">
        <v>96</v>
      </c>
      <c r="F382" s="3" t="s">
        <v>50</v>
      </c>
      <c r="G382" s="3" t="n">
        <v>10</v>
      </c>
      <c r="H382" s="4" t="n">
        <v>34.99</v>
      </c>
      <c r="I382" s="4" t="n">
        <v>12</v>
      </c>
      <c r="J382" s="5" t="n">
        <v>0.05</v>
      </c>
      <c r="K382" s="4" t="n">
        <f aca="false">G382*H382*(1-J382)</f>
        <v>332.405</v>
      </c>
      <c r="L382" s="4" t="n">
        <f aca="false">G382*I382</f>
        <v>120</v>
      </c>
      <c r="M382" s="4" t="n">
        <f aca="false">K382-L382</f>
        <v>212.405</v>
      </c>
      <c r="N382" s="6" t="n">
        <f aca="false">IF(K382=0,0,M382/K382)</f>
        <v>0.638994599960891</v>
      </c>
      <c r="O382" s="4" t="n">
        <f aca="false">(G382*H382)-K382</f>
        <v>17.495</v>
      </c>
      <c r="P382" s="3" t="s">
        <v>21</v>
      </c>
    </row>
    <row r="383" customFormat="false" ht="15" hidden="false" customHeight="false" outlineLevel="0" collapsed="false">
      <c r="A383" s="7" t="n">
        <v>46044</v>
      </c>
      <c r="B383" s="8" t="s">
        <v>58</v>
      </c>
      <c r="C383" s="8" t="s">
        <v>58</v>
      </c>
      <c r="D383" s="8" t="s">
        <v>32</v>
      </c>
      <c r="E383" s="8" t="s">
        <v>33</v>
      </c>
      <c r="F383" s="8" t="s">
        <v>34</v>
      </c>
      <c r="G383" s="8" t="n">
        <v>444</v>
      </c>
      <c r="H383" s="9" t="n">
        <v>18.99</v>
      </c>
      <c r="I383" s="9" t="n">
        <v>6</v>
      </c>
      <c r="J383" s="10" t="n">
        <v>0</v>
      </c>
      <c r="K383" s="9" t="n">
        <f aca="false">G383*H383*(1-J383)</f>
        <v>8431.56</v>
      </c>
      <c r="L383" s="9" t="n">
        <f aca="false">G383*I383</f>
        <v>2664</v>
      </c>
      <c r="M383" s="9" t="n">
        <f aca="false">K383-L383</f>
        <v>5767.56</v>
      </c>
      <c r="N383" s="11" t="n">
        <f aca="false">IF(K383=0,0,M383/K383)</f>
        <v>0.684044233807267</v>
      </c>
      <c r="O383" s="9" t="n">
        <f aca="false">(G383*H383)-K383</f>
        <v>0</v>
      </c>
      <c r="P383" s="13" t="s">
        <v>92</v>
      </c>
    </row>
    <row r="384" customFormat="false" ht="15" hidden="false" customHeight="false" outlineLevel="0" collapsed="false">
      <c r="A384" s="2" t="n">
        <v>46061</v>
      </c>
      <c r="B384" s="3" t="s">
        <v>22</v>
      </c>
      <c r="C384" s="3" t="s">
        <v>23</v>
      </c>
      <c r="D384" s="3" t="s">
        <v>38</v>
      </c>
      <c r="E384" s="3" t="s">
        <v>39</v>
      </c>
      <c r="F384" s="3" t="s">
        <v>40</v>
      </c>
      <c r="G384" s="3" t="n">
        <v>11</v>
      </c>
      <c r="H384" s="4" t="n">
        <v>12.99</v>
      </c>
      <c r="I384" s="4" t="n">
        <v>4</v>
      </c>
      <c r="J384" s="5" t="n">
        <v>0.05</v>
      </c>
      <c r="K384" s="4" t="n">
        <f aca="false">G384*H384*(1-J384)</f>
        <v>135.7455</v>
      </c>
      <c r="L384" s="4" t="n">
        <f aca="false">G384*I384</f>
        <v>44</v>
      </c>
      <c r="M384" s="4" t="n">
        <f aca="false">K384-L384</f>
        <v>91.7455</v>
      </c>
      <c r="N384" s="6" t="n">
        <f aca="false">IF(K384=0,0,M384/K384)</f>
        <v>0.67586402495847</v>
      </c>
      <c r="O384" s="4" t="n">
        <f aca="false">(G384*H384)-K384</f>
        <v>7.14449999999999</v>
      </c>
      <c r="P384" s="3" t="s">
        <v>21</v>
      </c>
    </row>
    <row r="385" customFormat="false" ht="15" hidden="false" customHeight="false" outlineLevel="0" collapsed="false">
      <c r="A385" s="7" t="n">
        <v>46102</v>
      </c>
      <c r="B385" s="8" t="s">
        <v>41</v>
      </c>
      <c r="C385" s="8" t="s">
        <v>28</v>
      </c>
      <c r="D385" s="8" t="s">
        <v>38</v>
      </c>
      <c r="E385" s="8" t="s">
        <v>39</v>
      </c>
      <c r="F385" s="8" t="s">
        <v>40</v>
      </c>
      <c r="G385" s="8" t="n">
        <v>25</v>
      </c>
      <c r="H385" s="9" t="n">
        <v>12.99</v>
      </c>
      <c r="I385" s="9" t="n">
        <v>4</v>
      </c>
      <c r="J385" s="10" t="n">
        <v>0.3</v>
      </c>
      <c r="K385" s="9" t="n">
        <f aca="false">G385*H385*(1-J385)</f>
        <v>227.325</v>
      </c>
      <c r="L385" s="9" t="n">
        <f aca="false">G385*I385</f>
        <v>100</v>
      </c>
      <c r="M385" s="9" t="n">
        <f aca="false">K385-L385</f>
        <v>127.325</v>
      </c>
      <c r="N385" s="11" t="n">
        <f aca="false">IF(K385=0,0,M385/K385)</f>
        <v>0.560101176729352</v>
      </c>
      <c r="O385" s="9" t="n">
        <f aca="false">(G385*H385)-K385</f>
        <v>97.425</v>
      </c>
      <c r="P385" s="8" t="s">
        <v>21</v>
      </c>
    </row>
    <row r="386" customFormat="false" ht="15" hidden="false" customHeight="false" outlineLevel="0" collapsed="false">
      <c r="A386" s="2" t="n">
        <v>46072</v>
      </c>
      <c r="B386" s="3" t="s">
        <v>41</v>
      </c>
      <c r="C386" s="3" t="s">
        <v>28</v>
      </c>
      <c r="D386" s="3" t="s">
        <v>88</v>
      </c>
      <c r="E386" s="3" t="s">
        <v>89</v>
      </c>
      <c r="F386" s="3" t="s">
        <v>57</v>
      </c>
      <c r="G386" s="3" t="n">
        <v>4</v>
      </c>
      <c r="H386" s="4" t="n">
        <v>12.99</v>
      </c>
      <c r="I386" s="4" t="n">
        <v>4.5</v>
      </c>
      <c r="J386" s="5" t="n">
        <v>0.15</v>
      </c>
      <c r="K386" s="4" t="n">
        <f aca="false">G386*H386*(1-J386)</f>
        <v>44.166</v>
      </c>
      <c r="L386" s="4" t="n">
        <f aca="false">G386*I386</f>
        <v>18</v>
      </c>
      <c r="M386" s="4" t="n">
        <f aca="false">K386-L386</f>
        <v>26.166</v>
      </c>
      <c r="N386" s="6" t="n">
        <f aca="false">IF(K386=0,0,M386/K386)</f>
        <v>0.592446678440429</v>
      </c>
      <c r="O386" s="4" t="n">
        <f aca="false">(G386*H386)-K386</f>
        <v>7.794</v>
      </c>
      <c r="P386" s="3" t="s">
        <v>21</v>
      </c>
    </row>
    <row r="387" customFormat="false" ht="15" hidden="false" customHeight="false" outlineLevel="0" collapsed="false">
      <c r="A387" s="7" t="n">
        <v>46058</v>
      </c>
      <c r="B387" s="8" t="s">
        <v>58</v>
      </c>
      <c r="C387" s="8" t="s">
        <v>58</v>
      </c>
      <c r="D387" s="8" t="s">
        <v>82</v>
      </c>
      <c r="E387" s="8" t="s">
        <v>83</v>
      </c>
      <c r="F387" s="8" t="s">
        <v>26</v>
      </c>
      <c r="G387" s="8" t="n">
        <v>25</v>
      </c>
      <c r="H387" s="9" t="n">
        <v>44.99</v>
      </c>
      <c r="I387" s="9" t="n">
        <v>18</v>
      </c>
      <c r="J387" s="10" t="n">
        <v>0.15</v>
      </c>
      <c r="K387" s="9" t="n">
        <f aca="false">G387*H387*(1-J387)</f>
        <v>956.0375</v>
      </c>
      <c r="L387" s="9" t="n">
        <f aca="false">G387*I387</f>
        <v>450</v>
      </c>
      <c r="M387" s="9" t="n">
        <f aca="false">K387-L387</f>
        <v>506.0375</v>
      </c>
      <c r="N387" s="11" t="n">
        <f aca="false">IF(K387=0,0,M387/K387)</f>
        <v>0.529307166298393</v>
      </c>
      <c r="O387" s="9" t="n">
        <f aca="false">(G387*H387)-K387</f>
        <v>168.7125</v>
      </c>
      <c r="P387" s="8" t="s">
        <v>21</v>
      </c>
    </row>
    <row r="388" customFormat="false" ht="15" hidden="false" customHeight="false" outlineLevel="0" collapsed="false">
      <c r="A388" s="2" t="n">
        <v>46072</v>
      </c>
      <c r="B388" s="3" t="s">
        <v>64</v>
      </c>
      <c r="C388" s="3" t="s">
        <v>65</v>
      </c>
      <c r="D388" s="3" t="s">
        <v>42</v>
      </c>
      <c r="E388" s="3" t="s">
        <v>43</v>
      </c>
      <c r="F388" s="3" t="s">
        <v>34</v>
      </c>
      <c r="G388" s="3" t="n">
        <v>11</v>
      </c>
      <c r="H388" s="4" t="n">
        <v>11.99</v>
      </c>
      <c r="I388" s="4" t="n">
        <v>3.5</v>
      </c>
      <c r="J388" s="5" t="n">
        <v>0.3</v>
      </c>
      <c r="K388" s="4" t="n">
        <f aca="false">G388*H388*(1-J388)</f>
        <v>92.323</v>
      </c>
      <c r="L388" s="4" t="n">
        <f aca="false">G388*I388</f>
        <v>38.5</v>
      </c>
      <c r="M388" s="4" t="n">
        <f aca="false">K388-L388</f>
        <v>53.823</v>
      </c>
      <c r="N388" s="6" t="n">
        <f aca="false">IF(K388=0,0,M388/K388)</f>
        <v>0.582985821517932</v>
      </c>
      <c r="O388" s="4" t="n">
        <f aca="false">(G388*H388)-K388</f>
        <v>39.567</v>
      </c>
      <c r="P388" s="3" t="s">
        <v>21</v>
      </c>
    </row>
    <row r="389" customFormat="false" ht="15" hidden="false" customHeight="false" outlineLevel="0" collapsed="false">
      <c r="A389" s="7" t="n">
        <v>46061</v>
      </c>
      <c r="B389" s="8" t="s">
        <v>58</v>
      </c>
      <c r="C389" s="8" t="s">
        <v>58</v>
      </c>
      <c r="D389" s="8" t="s">
        <v>76</v>
      </c>
      <c r="E389" s="8" t="s">
        <v>77</v>
      </c>
      <c r="F389" s="8" t="s">
        <v>34</v>
      </c>
      <c r="G389" s="8" t="n">
        <v>24</v>
      </c>
      <c r="H389" s="9" t="n">
        <v>44.99</v>
      </c>
      <c r="I389" s="9" t="n">
        <v>14</v>
      </c>
      <c r="J389" s="10" t="n">
        <v>0.2</v>
      </c>
      <c r="K389" s="9" t="n">
        <f aca="false">G389*H389*(1-J389)</f>
        <v>863.808</v>
      </c>
      <c r="L389" s="9" t="n">
        <f aca="false">G389*I389</f>
        <v>336</v>
      </c>
      <c r="M389" s="9" t="n">
        <f aca="false">K389-L389</f>
        <v>527.808</v>
      </c>
      <c r="N389" s="11" t="n">
        <f aca="false">IF(K389=0,0,M389/K389)</f>
        <v>0.611024672149367</v>
      </c>
      <c r="O389" s="9" t="n">
        <f aca="false">(G389*H389)-K389</f>
        <v>215.952</v>
      </c>
      <c r="P389" s="8" t="s">
        <v>21</v>
      </c>
    </row>
    <row r="390" customFormat="false" ht="15" hidden="false" customHeight="false" outlineLevel="0" collapsed="false">
      <c r="A390" s="2" t="n">
        <v>46102</v>
      </c>
      <c r="B390" s="3" t="s">
        <v>64</v>
      </c>
      <c r="C390" s="3" t="s">
        <v>65</v>
      </c>
      <c r="D390" s="3" t="s">
        <v>90</v>
      </c>
      <c r="E390" s="3" t="s">
        <v>91</v>
      </c>
      <c r="F390" s="3" t="s">
        <v>26</v>
      </c>
      <c r="G390" s="3" t="n">
        <v>7</v>
      </c>
      <c r="H390" s="4" t="n">
        <v>24.99</v>
      </c>
      <c r="I390" s="4" t="n">
        <v>11</v>
      </c>
      <c r="J390" s="5" t="n">
        <v>0.55</v>
      </c>
      <c r="K390" s="4" t="n">
        <f aca="false">G390*H390*(1-J390)</f>
        <v>78.7185</v>
      </c>
      <c r="L390" s="4" t="n">
        <f aca="false">G390*I390</f>
        <v>77</v>
      </c>
      <c r="M390" s="4" t="n">
        <f aca="false">K390-L390</f>
        <v>1.71849999999998</v>
      </c>
      <c r="N390" s="6" t="n">
        <f aca="false">IF(K390=0,0,M390/K390)</f>
        <v>0.0218309546040636</v>
      </c>
      <c r="O390" s="4" t="n">
        <f aca="false">(G390*H390)-K390</f>
        <v>96.2115</v>
      </c>
      <c r="P390" s="14" t="s">
        <v>97</v>
      </c>
    </row>
    <row r="391" customFormat="false" ht="15" hidden="false" customHeight="false" outlineLevel="0" collapsed="false">
      <c r="A391" s="7" t="n">
        <v>46090</v>
      </c>
      <c r="B391" s="8" t="s">
        <v>22</v>
      </c>
      <c r="C391" s="8" t="s">
        <v>23</v>
      </c>
      <c r="D391" s="8" t="s">
        <v>32</v>
      </c>
      <c r="E391" s="8" t="s">
        <v>33</v>
      </c>
      <c r="F391" s="8" t="s">
        <v>34</v>
      </c>
      <c r="G391" s="8" t="n">
        <v>22</v>
      </c>
      <c r="H391" s="9" t="n">
        <v>18.99</v>
      </c>
      <c r="I391" s="9" t="n">
        <v>6</v>
      </c>
      <c r="J391" s="10" t="n">
        <v>0.1</v>
      </c>
      <c r="K391" s="9" t="n">
        <f aca="false">G391*H391*(1-J391)</f>
        <v>376.002</v>
      </c>
      <c r="L391" s="9" t="n">
        <f aca="false">G391*I391</f>
        <v>132</v>
      </c>
      <c r="M391" s="9" t="n">
        <f aca="false">K391-L391</f>
        <v>244.002</v>
      </c>
      <c r="N391" s="11" t="n">
        <f aca="false">IF(K391=0,0,M391/K391)</f>
        <v>0.64893803756363</v>
      </c>
      <c r="O391" s="9" t="n">
        <f aca="false">(G391*H391)-K391</f>
        <v>41.778</v>
      </c>
      <c r="P391" s="8" t="s">
        <v>21</v>
      </c>
    </row>
    <row r="392" customFormat="false" ht="15" hidden="false" customHeight="false" outlineLevel="0" collapsed="false">
      <c r="A392" s="2" t="n">
        <v>46034</v>
      </c>
      <c r="B392" s="3" t="s">
        <v>31</v>
      </c>
      <c r="C392" s="3" t="s">
        <v>23</v>
      </c>
      <c r="D392" s="3" t="s">
        <v>68</v>
      </c>
      <c r="E392" s="3" t="s">
        <v>69</v>
      </c>
      <c r="F392" s="3" t="s">
        <v>40</v>
      </c>
      <c r="G392" s="3" t="n">
        <v>7</v>
      </c>
      <c r="H392" s="4" t="n">
        <v>28.93</v>
      </c>
      <c r="I392" s="4" t="n">
        <v>9</v>
      </c>
      <c r="J392" s="5" t="n">
        <v>0</v>
      </c>
      <c r="K392" s="4" t="n">
        <f aca="false">G392*H392*(1-J392)</f>
        <v>202.51</v>
      </c>
      <c r="L392" s="4" t="n">
        <f aca="false">G392*I392</f>
        <v>63</v>
      </c>
      <c r="M392" s="4" t="n">
        <f aca="false">K392-L392</f>
        <v>139.51</v>
      </c>
      <c r="N392" s="6" t="n">
        <f aca="false">IF(K392=0,0,M392/K392)</f>
        <v>0.688904251641894</v>
      </c>
      <c r="O392" s="4" t="n">
        <f aca="false">(G392*H392)-K392</f>
        <v>0</v>
      </c>
      <c r="P392" s="12" t="s">
        <v>63</v>
      </c>
    </row>
    <row r="393" customFormat="false" ht="15" hidden="false" customHeight="false" outlineLevel="0" collapsed="false">
      <c r="A393" s="7" t="n">
        <v>46068</v>
      </c>
      <c r="B393" s="8" t="s">
        <v>64</v>
      </c>
      <c r="C393" s="8" t="s">
        <v>65</v>
      </c>
      <c r="D393" s="8" t="s">
        <v>51</v>
      </c>
      <c r="E393" s="8" t="s">
        <v>52</v>
      </c>
      <c r="F393" s="8" t="s">
        <v>50</v>
      </c>
      <c r="G393" s="8" t="n">
        <v>2</v>
      </c>
      <c r="H393" s="9" t="n">
        <v>19.99</v>
      </c>
      <c r="I393" s="9" t="n">
        <v>7</v>
      </c>
      <c r="J393" s="10" t="n">
        <v>0.3</v>
      </c>
      <c r="K393" s="9" t="n">
        <f aca="false">G393*H393*(1-J393)</f>
        <v>27.986</v>
      </c>
      <c r="L393" s="9" t="n">
        <f aca="false">G393*I393</f>
        <v>14</v>
      </c>
      <c r="M393" s="9" t="n">
        <f aca="false">K393-L393</f>
        <v>13.986</v>
      </c>
      <c r="N393" s="11" t="n">
        <f aca="false">IF(K393=0,0,M393/K393)</f>
        <v>0.499749874937469</v>
      </c>
      <c r="O393" s="9" t="n">
        <f aca="false">(G393*H393)-K393</f>
        <v>11.994</v>
      </c>
      <c r="P393" s="8" t="s">
        <v>21</v>
      </c>
    </row>
    <row r="394" customFormat="false" ht="15" hidden="false" customHeight="false" outlineLevel="0" collapsed="false">
      <c r="A394" s="2" t="n">
        <v>46112</v>
      </c>
      <c r="B394" s="3" t="s">
        <v>64</v>
      </c>
      <c r="C394" s="3" t="s">
        <v>65</v>
      </c>
      <c r="D394" s="3" t="s">
        <v>95</v>
      </c>
      <c r="E394" s="3" t="s">
        <v>96</v>
      </c>
      <c r="F394" s="3" t="s">
        <v>50</v>
      </c>
      <c r="G394" s="3" t="n">
        <v>5</v>
      </c>
      <c r="H394" s="4" t="n">
        <v>34.99</v>
      </c>
      <c r="I394" s="4" t="n">
        <v>12</v>
      </c>
      <c r="J394" s="5" t="n">
        <v>0.05</v>
      </c>
      <c r="K394" s="4" t="n">
        <f aca="false">G394*H394*(1-J394)</f>
        <v>166.2025</v>
      </c>
      <c r="L394" s="4" t="n">
        <f aca="false">G394*I394</f>
        <v>60</v>
      </c>
      <c r="M394" s="4" t="n">
        <f aca="false">K394-L394</f>
        <v>106.2025</v>
      </c>
      <c r="N394" s="6" t="n">
        <f aca="false">IF(K394=0,0,M394/K394)</f>
        <v>0.638994599960891</v>
      </c>
      <c r="O394" s="4" t="n">
        <f aca="false">(G394*H394)-K394</f>
        <v>8.7475</v>
      </c>
      <c r="P394" s="3" t="s">
        <v>21</v>
      </c>
    </row>
    <row r="395" customFormat="false" ht="15" hidden="false" customHeight="false" outlineLevel="0" collapsed="false">
      <c r="A395" s="7" t="n">
        <v>46102</v>
      </c>
      <c r="B395" s="8" t="s">
        <v>58</v>
      </c>
      <c r="C395" s="8" t="s">
        <v>58</v>
      </c>
      <c r="D395" s="8" t="s">
        <v>76</v>
      </c>
      <c r="E395" s="8" t="s">
        <v>77</v>
      </c>
      <c r="F395" s="8" t="s">
        <v>34</v>
      </c>
      <c r="G395" s="8" t="n">
        <v>25</v>
      </c>
      <c r="H395" s="9" t="n">
        <v>49.99</v>
      </c>
      <c r="I395" s="9" t="n">
        <v>14</v>
      </c>
      <c r="J395" s="10" t="n">
        <v>0.2</v>
      </c>
      <c r="K395" s="9" t="n">
        <f aca="false">G395*H395*(1-J395)</f>
        <v>999.8</v>
      </c>
      <c r="L395" s="9" t="n">
        <f aca="false">G395*I395</f>
        <v>350</v>
      </c>
      <c r="M395" s="9" t="n">
        <f aca="false">K395-L395</f>
        <v>649.8</v>
      </c>
      <c r="N395" s="11" t="n">
        <f aca="false">IF(K395=0,0,M395/K395)</f>
        <v>0.649929985997199</v>
      </c>
      <c r="O395" s="9" t="n">
        <f aca="false">(G395*H395)-K395</f>
        <v>249.95</v>
      </c>
      <c r="P395" s="8" t="s">
        <v>21</v>
      </c>
    </row>
    <row r="396" customFormat="false" ht="15" hidden="false" customHeight="false" outlineLevel="0" collapsed="false">
      <c r="A396" s="2" t="n">
        <v>46056</v>
      </c>
      <c r="B396" s="3" t="s">
        <v>27</v>
      </c>
      <c r="C396" s="3" t="s">
        <v>28</v>
      </c>
      <c r="D396" s="3" t="s">
        <v>55</v>
      </c>
      <c r="E396" s="3" t="s">
        <v>56</v>
      </c>
      <c r="F396" s="3" t="s">
        <v>57</v>
      </c>
      <c r="G396" s="3" t="n">
        <v>6</v>
      </c>
      <c r="H396" s="4" t="n">
        <v>29.99</v>
      </c>
      <c r="I396" s="4" t="n">
        <v>11</v>
      </c>
      <c r="J396" s="5" t="n">
        <v>0.6</v>
      </c>
      <c r="K396" s="4" t="n">
        <f aca="false">G396*H396*(1-J396)</f>
        <v>71.976</v>
      </c>
      <c r="L396" s="4" t="n">
        <f aca="false">G396*I396</f>
        <v>66</v>
      </c>
      <c r="M396" s="4" t="n">
        <f aca="false">K396-L396</f>
        <v>5.976</v>
      </c>
      <c r="N396" s="6" t="n">
        <f aca="false">IF(K396=0,0,M396/K396)</f>
        <v>0.083027675891964</v>
      </c>
      <c r="O396" s="4" t="n">
        <f aca="false">(G396*H396)-K396</f>
        <v>107.964</v>
      </c>
      <c r="P396" s="14" t="s">
        <v>97</v>
      </c>
    </row>
    <row r="397" customFormat="false" ht="15" hidden="false" customHeight="false" outlineLevel="0" collapsed="false">
      <c r="A397" s="7" t="n">
        <v>46051</v>
      </c>
      <c r="B397" s="8" t="s">
        <v>37</v>
      </c>
      <c r="C397" s="8" t="s">
        <v>17</v>
      </c>
      <c r="D397" s="8" t="s">
        <v>53</v>
      </c>
      <c r="E397" s="8" t="s">
        <v>54</v>
      </c>
      <c r="F397" s="8" t="s">
        <v>50</v>
      </c>
      <c r="G397" s="8" t="n">
        <v>30</v>
      </c>
      <c r="H397" s="9" t="n">
        <v>22.99</v>
      </c>
      <c r="I397" s="9" t="n">
        <v>8</v>
      </c>
      <c r="J397" s="10" t="n">
        <v>0.1</v>
      </c>
      <c r="K397" s="9" t="n">
        <f aca="false">G397*H397*(1-J397)</f>
        <v>620.73</v>
      </c>
      <c r="L397" s="9" t="n">
        <f aca="false">G397*I397</f>
        <v>240</v>
      </c>
      <c r="M397" s="9" t="n">
        <f aca="false">K397-L397</f>
        <v>380.73</v>
      </c>
      <c r="N397" s="11" t="n">
        <f aca="false">IF(K397=0,0,M397/K397)</f>
        <v>0.613358465033106</v>
      </c>
      <c r="O397" s="9" t="n">
        <f aca="false">(G397*H397)-K397</f>
        <v>68.97</v>
      </c>
      <c r="P397" s="8" t="s">
        <v>21</v>
      </c>
    </row>
    <row r="398" customFormat="false" ht="15" hidden="false" customHeight="false" outlineLevel="0" collapsed="false">
      <c r="A398" s="2" t="n">
        <v>46065</v>
      </c>
      <c r="B398" s="3" t="s">
        <v>37</v>
      </c>
      <c r="C398" s="3" t="s">
        <v>17</v>
      </c>
      <c r="D398" s="3" t="s">
        <v>24</v>
      </c>
      <c r="E398" s="3" t="s">
        <v>25</v>
      </c>
      <c r="F398" s="3" t="s">
        <v>26</v>
      </c>
      <c r="G398" s="3" t="n">
        <v>14</v>
      </c>
      <c r="H398" s="4" t="n">
        <v>54.99</v>
      </c>
      <c r="I398" s="4" t="n">
        <v>24</v>
      </c>
      <c r="J398" s="5" t="n">
        <v>0.2</v>
      </c>
      <c r="K398" s="4" t="n">
        <f aca="false">G398*H398*(1-J398)</f>
        <v>615.888</v>
      </c>
      <c r="L398" s="4" t="n">
        <f aca="false">G398*I398</f>
        <v>336</v>
      </c>
      <c r="M398" s="4" t="n">
        <f aca="false">K398-L398</f>
        <v>279.888</v>
      </c>
      <c r="N398" s="6" t="n">
        <f aca="false">IF(K398=0,0,M398/K398)</f>
        <v>0.454446262956901</v>
      </c>
      <c r="O398" s="4" t="n">
        <f aca="false">(G398*H398)-K398</f>
        <v>153.972</v>
      </c>
      <c r="P398" s="3" t="s">
        <v>21</v>
      </c>
    </row>
    <row r="399" customFormat="false" ht="15" hidden="false" customHeight="false" outlineLevel="0" collapsed="false">
      <c r="A399" s="7" t="n">
        <v>46088</v>
      </c>
      <c r="B399" s="8" t="s">
        <v>37</v>
      </c>
      <c r="C399" s="8" t="s">
        <v>17</v>
      </c>
      <c r="D399" s="8" t="s">
        <v>80</v>
      </c>
      <c r="E399" s="8" t="s">
        <v>81</v>
      </c>
      <c r="F399" s="8" t="s">
        <v>57</v>
      </c>
      <c r="G399" s="8" t="n">
        <v>6</v>
      </c>
      <c r="H399" s="9" t="n">
        <v>17.99</v>
      </c>
      <c r="I399" s="9" t="n">
        <v>6.5</v>
      </c>
      <c r="J399" s="10" t="n">
        <v>0.3</v>
      </c>
      <c r="K399" s="9" t="n">
        <f aca="false">G399*H399*(1-J399)</f>
        <v>75.558</v>
      </c>
      <c r="L399" s="9" t="n">
        <f aca="false">G399*I399</f>
        <v>39</v>
      </c>
      <c r="M399" s="9" t="n">
        <f aca="false">K399-L399</f>
        <v>36.558</v>
      </c>
      <c r="N399" s="11" t="n">
        <f aca="false">IF(K399=0,0,M399/K399)</f>
        <v>0.483840228698483</v>
      </c>
      <c r="O399" s="9" t="n">
        <f aca="false">(G399*H399)-K399</f>
        <v>32.382</v>
      </c>
      <c r="P399" s="8" t="s">
        <v>21</v>
      </c>
    </row>
    <row r="400" customFormat="false" ht="15" hidden="false" customHeight="false" outlineLevel="0" collapsed="false">
      <c r="A400" s="2" t="n">
        <v>46106</v>
      </c>
      <c r="B400" s="3" t="s">
        <v>27</v>
      </c>
      <c r="C400" s="3" t="s">
        <v>28</v>
      </c>
      <c r="D400" s="3" t="s">
        <v>61</v>
      </c>
      <c r="E400" s="3" t="s">
        <v>62</v>
      </c>
      <c r="F400" s="3" t="s">
        <v>34</v>
      </c>
      <c r="G400" s="3" t="n">
        <v>20</v>
      </c>
      <c r="H400" s="4" t="n">
        <v>12.99</v>
      </c>
      <c r="I400" s="4" t="n">
        <v>4.5</v>
      </c>
      <c r="J400" s="5" t="n">
        <v>0</v>
      </c>
      <c r="K400" s="4" t="n">
        <f aca="false">G400*H400*(1-J400)</f>
        <v>259.8</v>
      </c>
      <c r="L400" s="4" t="n">
        <f aca="false">G400*I400</f>
        <v>90</v>
      </c>
      <c r="M400" s="4" t="n">
        <f aca="false">K400-L400</f>
        <v>169.8</v>
      </c>
      <c r="N400" s="6" t="n">
        <f aca="false">IF(K400=0,0,M400/K400)</f>
        <v>0.653579676674365</v>
      </c>
      <c r="O400" s="4" t="n">
        <f aca="false">(G400*H400)-K400</f>
        <v>0</v>
      </c>
      <c r="P400" s="3" t="s">
        <v>21</v>
      </c>
    </row>
    <row r="401" customFormat="false" ht="15" hidden="false" customHeight="false" outlineLevel="0" collapsed="false">
      <c r="A401" s="7" t="n">
        <v>46032</v>
      </c>
      <c r="B401" s="8" t="s">
        <v>27</v>
      </c>
      <c r="C401" s="8" t="s">
        <v>28</v>
      </c>
      <c r="D401" s="8" t="s">
        <v>29</v>
      </c>
      <c r="E401" s="8" t="s">
        <v>30</v>
      </c>
      <c r="F401" s="8" t="s">
        <v>20</v>
      </c>
      <c r="G401" s="8" t="n">
        <v>19</v>
      </c>
      <c r="H401" s="9" t="n">
        <v>89.99</v>
      </c>
      <c r="I401" s="9" t="n">
        <v>42</v>
      </c>
      <c r="J401" s="10" t="n">
        <v>0</v>
      </c>
      <c r="K401" s="9" t="n">
        <f aca="false">G401*H401*(1-J401)</f>
        <v>1709.81</v>
      </c>
      <c r="L401" s="9" t="n">
        <f aca="false">G401*I401</f>
        <v>798</v>
      </c>
      <c r="M401" s="9" t="n">
        <f aca="false">K401-L401</f>
        <v>911.81</v>
      </c>
      <c r="N401" s="11" t="n">
        <f aca="false">IF(K401=0,0,M401/K401)</f>
        <v>0.533281475719524</v>
      </c>
      <c r="O401" s="9" t="n">
        <f aca="false">(G401*H401)-K401</f>
        <v>0</v>
      </c>
      <c r="P401" s="8" t="s">
        <v>21</v>
      </c>
    </row>
    <row r="402" customFormat="false" ht="15" hidden="false" customHeight="false" outlineLevel="0" collapsed="false">
      <c r="A402" s="2" t="n">
        <v>46098</v>
      </c>
      <c r="B402" s="3" t="s">
        <v>64</v>
      </c>
      <c r="C402" s="3" t="s">
        <v>65</v>
      </c>
      <c r="D402" s="3" t="s">
        <v>80</v>
      </c>
      <c r="E402" s="3" t="s">
        <v>81</v>
      </c>
      <c r="F402" s="3" t="s">
        <v>57</v>
      </c>
      <c r="G402" s="3" t="n">
        <v>22</v>
      </c>
      <c r="H402" s="4" t="n">
        <v>17.99</v>
      </c>
      <c r="I402" s="4" t="n">
        <v>6.5</v>
      </c>
      <c r="J402" s="5" t="n">
        <v>0.1</v>
      </c>
      <c r="K402" s="4" t="n">
        <f aca="false">G402*H402*(1-J402)</f>
        <v>356.202</v>
      </c>
      <c r="L402" s="4" t="n">
        <f aca="false">G402*I402</f>
        <v>143</v>
      </c>
      <c r="M402" s="4" t="n">
        <f aca="false">K402-L402</f>
        <v>213.202</v>
      </c>
      <c r="N402" s="6" t="n">
        <f aca="false">IF(K402=0,0,M402/K402)</f>
        <v>0.59854240009882</v>
      </c>
      <c r="O402" s="4" t="n">
        <f aca="false">(G402*H402)-K402</f>
        <v>39.578</v>
      </c>
      <c r="P402" s="3" t="s">
        <v>21</v>
      </c>
    </row>
    <row r="403" customFormat="false" ht="15" hidden="false" customHeight="false" outlineLevel="0" collapsed="false">
      <c r="A403" s="7" t="n">
        <v>46118</v>
      </c>
      <c r="B403" s="8" t="s">
        <v>27</v>
      </c>
      <c r="C403" s="8" t="s">
        <v>28</v>
      </c>
      <c r="D403" s="8" t="s">
        <v>95</v>
      </c>
      <c r="E403" s="8" t="s">
        <v>96</v>
      </c>
      <c r="F403" s="8" t="s">
        <v>50</v>
      </c>
      <c r="G403" s="8" t="n">
        <v>26</v>
      </c>
      <c r="H403" s="9" t="n">
        <v>34.99</v>
      </c>
      <c r="I403" s="9" t="n">
        <v>12</v>
      </c>
      <c r="J403" s="10" t="n">
        <v>0.1</v>
      </c>
      <c r="K403" s="9" t="n">
        <f aca="false">G403*H403*(1-J403)</f>
        <v>818.766</v>
      </c>
      <c r="L403" s="9" t="n">
        <f aca="false">G403*I403</f>
        <v>312</v>
      </c>
      <c r="M403" s="9" t="n">
        <f aca="false">K403-L403</f>
        <v>506.766</v>
      </c>
      <c r="N403" s="11" t="n">
        <f aca="false">IF(K403=0,0,M403/K403)</f>
        <v>0.618938744403163</v>
      </c>
      <c r="O403" s="9" t="n">
        <f aca="false">(G403*H403)-K403</f>
        <v>90.9739999999999</v>
      </c>
      <c r="P403" s="8" t="s">
        <v>21</v>
      </c>
    </row>
    <row r="404" customFormat="false" ht="15" hidden="false" customHeight="false" outlineLevel="0" collapsed="false">
      <c r="A404" s="2" t="n">
        <v>46026</v>
      </c>
      <c r="B404" s="3" t="s">
        <v>58</v>
      </c>
      <c r="C404" s="3" t="s">
        <v>58</v>
      </c>
      <c r="D404" s="3" t="s">
        <v>32</v>
      </c>
      <c r="E404" s="3" t="s">
        <v>33</v>
      </c>
      <c r="F404" s="3" t="s">
        <v>34</v>
      </c>
      <c r="G404" s="3" t="n">
        <v>26</v>
      </c>
      <c r="H404" s="4" t="n">
        <v>18.99</v>
      </c>
      <c r="I404" s="4" t="n">
        <v>6</v>
      </c>
      <c r="J404" s="5" t="n">
        <v>0</v>
      </c>
      <c r="K404" s="4" t="n">
        <f aca="false">G404*H404*(1-J404)</f>
        <v>493.74</v>
      </c>
      <c r="L404" s="4" t="n">
        <f aca="false">G404*I404</f>
        <v>156</v>
      </c>
      <c r="M404" s="4" t="n">
        <f aca="false">K404-L404</f>
        <v>337.74</v>
      </c>
      <c r="N404" s="6" t="n">
        <f aca="false">IF(K404=0,0,M404/K404)</f>
        <v>0.684044233807267</v>
      </c>
      <c r="O404" s="4" t="n">
        <f aca="false">(G404*H404)-K404</f>
        <v>0</v>
      </c>
      <c r="P404" s="3" t="s">
        <v>21</v>
      </c>
    </row>
    <row r="405" customFormat="false" ht="15" hidden="false" customHeight="false" outlineLevel="0" collapsed="false">
      <c r="A405" s="7" t="n">
        <v>46093</v>
      </c>
      <c r="B405" s="8" t="s">
        <v>16</v>
      </c>
      <c r="C405" s="8" t="s">
        <v>17</v>
      </c>
      <c r="D405" s="8" t="s">
        <v>88</v>
      </c>
      <c r="E405" s="8" t="s">
        <v>89</v>
      </c>
      <c r="F405" s="8" t="s">
        <v>57</v>
      </c>
      <c r="G405" s="8" t="n">
        <v>28</v>
      </c>
      <c r="H405" s="9" t="n">
        <v>12.99</v>
      </c>
      <c r="I405" s="9" t="n">
        <v>4.5</v>
      </c>
      <c r="J405" s="10" t="n">
        <v>0.15</v>
      </c>
      <c r="K405" s="9" t="n">
        <f aca="false">G405*H405*(1-J405)</f>
        <v>309.162</v>
      </c>
      <c r="L405" s="9" t="n">
        <f aca="false">G405*I405</f>
        <v>126</v>
      </c>
      <c r="M405" s="9" t="n">
        <f aca="false">K405-L405</f>
        <v>183.162</v>
      </c>
      <c r="N405" s="11" t="n">
        <f aca="false">IF(K405=0,0,M405/K405)</f>
        <v>0.592446678440429</v>
      </c>
      <c r="O405" s="9" t="n">
        <f aca="false">(G405*H405)-K405</f>
        <v>54.558</v>
      </c>
      <c r="P405" s="8" t="s">
        <v>21</v>
      </c>
    </row>
    <row r="406" customFormat="false" ht="15" hidden="false" customHeight="false" outlineLevel="0" collapsed="false">
      <c r="A406" s="2" t="n">
        <v>46122</v>
      </c>
      <c r="B406" s="3" t="s">
        <v>41</v>
      </c>
      <c r="C406" s="3" t="s">
        <v>28</v>
      </c>
      <c r="D406" s="3" t="s">
        <v>80</v>
      </c>
      <c r="E406" s="3" t="s">
        <v>81</v>
      </c>
      <c r="F406" s="3" t="s">
        <v>57</v>
      </c>
      <c r="G406" s="3" t="n">
        <v>1</v>
      </c>
      <c r="H406" s="4" t="n">
        <v>17.99</v>
      </c>
      <c r="I406" s="4" t="n">
        <v>6.5</v>
      </c>
      <c r="J406" s="5" t="n">
        <v>0.3</v>
      </c>
      <c r="K406" s="4" t="n">
        <f aca="false">G406*H406*(1-J406)</f>
        <v>12.593</v>
      </c>
      <c r="L406" s="4" t="n">
        <f aca="false">G406*I406</f>
        <v>6.5</v>
      </c>
      <c r="M406" s="4" t="n">
        <f aca="false">K406-L406</f>
        <v>6.093</v>
      </c>
      <c r="N406" s="6" t="n">
        <f aca="false">IF(K406=0,0,M406/K406)</f>
        <v>0.483840228698483</v>
      </c>
      <c r="O406" s="4" t="n">
        <f aca="false">(G406*H406)-K406</f>
        <v>5.397</v>
      </c>
      <c r="P406" s="3" t="s">
        <v>21</v>
      </c>
    </row>
    <row r="407" customFormat="false" ht="15" hidden="false" customHeight="false" outlineLevel="0" collapsed="false">
      <c r="A407" s="7" t="n">
        <v>46127</v>
      </c>
      <c r="B407" s="8" t="s">
        <v>16</v>
      </c>
      <c r="C407" s="8" t="s">
        <v>17</v>
      </c>
      <c r="D407" s="8" t="s">
        <v>44</v>
      </c>
      <c r="E407" s="8" t="s">
        <v>45</v>
      </c>
      <c r="F407" s="8" t="s">
        <v>40</v>
      </c>
      <c r="G407" s="8" t="n">
        <v>25</v>
      </c>
      <c r="H407" s="9" t="n">
        <v>29.99</v>
      </c>
      <c r="I407" s="9" t="n">
        <v>11</v>
      </c>
      <c r="J407" s="10" t="n">
        <v>0.3</v>
      </c>
      <c r="K407" s="9" t="n">
        <f aca="false">G407*H407*(1-J407)</f>
        <v>524.825</v>
      </c>
      <c r="L407" s="9" t="n">
        <f aca="false">G407*I407</f>
        <v>275</v>
      </c>
      <c r="M407" s="9" t="n">
        <f aca="false">K407-L407</f>
        <v>249.825</v>
      </c>
      <c r="N407" s="11" t="n">
        <f aca="false">IF(K407=0,0,M407/K407)</f>
        <v>0.476015814795408</v>
      </c>
      <c r="O407" s="9" t="n">
        <f aca="false">(G407*H407)-K407</f>
        <v>224.925</v>
      </c>
      <c r="P407" s="8" t="s">
        <v>21</v>
      </c>
    </row>
    <row r="408" customFormat="false" ht="15" hidden="false" customHeight="false" outlineLevel="0" collapsed="false">
      <c r="A408" s="2" t="n">
        <v>46057</v>
      </c>
      <c r="B408" s="3" t="s">
        <v>16</v>
      </c>
      <c r="C408" s="3" t="s">
        <v>17</v>
      </c>
      <c r="D408" s="3" t="s">
        <v>93</v>
      </c>
      <c r="E408" s="3" t="s">
        <v>94</v>
      </c>
      <c r="F408" s="3" t="s">
        <v>34</v>
      </c>
      <c r="G408" s="3" t="n">
        <v>22</v>
      </c>
      <c r="H408" s="4" t="n">
        <v>29.99</v>
      </c>
      <c r="I408" s="4" t="n">
        <v>9</v>
      </c>
      <c r="J408" s="5" t="n">
        <v>0</v>
      </c>
      <c r="K408" s="4" t="n">
        <f aca="false">G408*H408*(1-J408)</f>
        <v>659.78</v>
      </c>
      <c r="L408" s="4" t="n">
        <f aca="false">G408*I408</f>
        <v>198</v>
      </c>
      <c r="M408" s="4" t="n">
        <f aca="false">K408-L408</f>
        <v>461.78</v>
      </c>
      <c r="N408" s="6" t="n">
        <f aca="false">IF(K408=0,0,M408/K408)</f>
        <v>0.699899966655552</v>
      </c>
      <c r="O408" s="4" t="n">
        <f aca="false">(G408*H408)-K408</f>
        <v>0</v>
      </c>
      <c r="P408" s="3" t="s">
        <v>21</v>
      </c>
    </row>
    <row r="409" customFormat="false" ht="15" hidden="false" customHeight="false" outlineLevel="0" collapsed="false">
      <c r="A409" s="7" t="n">
        <v>46101</v>
      </c>
      <c r="B409" s="8" t="s">
        <v>31</v>
      </c>
      <c r="C409" s="8" t="s">
        <v>23</v>
      </c>
      <c r="D409" s="8" t="s">
        <v>80</v>
      </c>
      <c r="E409" s="8" t="s">
        <v>81</v>
      </c>
      <c r="F409" s="8" t="s">
        <v>57</v>
      </c>
      <c r="G409" s="8" t="n">
        <v>30</v>
      </c>
      <c r="H409" s="9" t="n">
        <v>17.99</v>
      </c>
      <c r="I409" s="9" t="n">
        <v>6.5</v>
      </c>
      <c r="J409" s="10" t="n">
        <v>0.3</v>
      </c>
      <c r="K409" s="9" t="n">
        <f aca="false">G409*H409*(1-J409)</f>
        <v>377.79</v>
      </c>
      <c r="L409" s="9" t="n">
        <f aca="false">G409*I409</f>
        <v>195</v>
      </c>
      <c r="M409" s="9" t="n">
        <f aca="false">K409-L409</f>
        <v>182.79</v>
      </c>
      <c r="N409" s="11" t="n">
        <f aca="false">IF(K409=0,0,M409/K409)</f>
        <v>0.483840228698483</v>
      </c>
      <c r="O409" s="9" t="n">
        <f aca="false">(G409*H409)-K409</f>
        <v>161.91</v>
      </c>
      <c r="P409" s="8" t="s">
        <v>21</v>
      </c>
    </row>
    <row r="410" customFormat="false" ht="15" hidden="false" customHeight="false" outlineLevel="0" collapsed="false">
      <c r="A410" s="2" t="n">
        <v>46078</v>
      </c>
      <c r="B410" s="3" t="s">
        <v>16</v>
      </c>
      <c r="C410" s="3" t="s">
        <v>17</v>
      </c>
      <c r="D410" s="3" t="s">
        <v>35</v>
      </c>
      <c r="E410" s="3" t="s">
        <v>36</v>
      </c>
      <c r="F410" s="3" t="s">
        <v>26</v>
      </c>
      <c r="G410" s="3" t="n">
        <v>2</v>
      </c>
      <c r="H410" s="4" t="n">
        <v>69.99</v>
      </c>
      <c r="I410" s="4" t="n">
        <v>30</v>
      </c>
      <c r="J410" s="5" t="n">
        <v>0.55</v>
      </c>
      <c r="K410" s="4" t="n">
        <f aca="false">G410*H410*(1-J410)</f>
        <v>62.991</v>
      </c>
      <c r="L410" s="4" t="n">
        <f aca="false">G410*I410</f>
        <v>60</v>
      </c>
      <c r="M410" s="4" t="n">
        <f aca="false">K410-L410</f>
        <v>2.99099999999999</v>
      </c>
      <c r="N410" s="6" t="n">
        <f aca="false">IF(K410=0,0,M410/K410)</f>
        <v>0.0474829737581558</v>
      </c>
      <c r="O410" s="4" t="n">
        <f aca="false">(G410*H410)-K410</f>
        <v>76.989</v>
      </c>
      <c r="P410" s="14" t="s">
        <v>97</v>
      </c>
    </row>
    <row r="411" customFormat="false" ht="15" hidden="false" customHeight="false" outlineLevel="0" collapsed="false">
      <c r="A411" s="7" t="n">
        <v>46046</v>
      </c>
      <c r="B411" s="8" t="s">
        <v>58</v>
      </c>
      <c r="C411" s="8" t="s">
        <v>58</v>
      </c>
      <c r="D411" s="8" t="s">
        <v>32</v>
      </c>
      <c r="E411" s="8" t="s">
        <v>33</v>
      </c>
      <c r="F411" s="8" t="s">
        <v>34</v>
      </c>
      <c r="G411" s="8" t="n">
        <v>18</v>
      </c>
      <c r="H411" s="9" t="n">
        <v>18.99</v>
      </c>
      <c r="I411" s="9" t="n">
        <v>6</v>
      </c>
      <c r="J411" s="10" t="n">
        <v>0.3</v>
      </c>
      <c r="K411" s="9" t="n">
        <f aca="false">G411*H411*(1-J411)</f>
        <v>239.274</v>
      </c>
      <c r="L411" s="9" t="n">
        <f aca="false">G411*I411</f>
        <v>108</v>
      </c>
      <c r="M411" s="9" t="n">
        <f aca="false">K411-L411</f>
        <v>131.274</v>
      </c>
      <c r="N411" s="11" t="n">
        <f aca="false">IF(K411=0,0,M411/K411)</f>
        <v>0.548634619724667</v>
      </c>
      <c r="O411" s="9" t="n">
        <f aca="false">(G411*H411)-K411</f>
        <v>102.546</v>
      </c>
      <c r="P411" s="8" t="s">
        <v>21</v>
      </c>
    </row>
    <row r="412" customFormat="false" ht="15" hidden="false" customHeight="false" outlineLevel="0" collapsed="false">
      <c r="A412" s="2" t="n">
        <v>46082</v>
      </c>
      <c r="B412" s="3" t="s">
        <v>41</v>
      </c>
      <c r="C412" s="3" t="s">
        <v>28</v>
      </c>
      <c r="D412" s="3" t="s">
        <v>95</v>
      </c>
      <c r="E412" s="3" t="s">
        <v>96</v>
      </c>
      <c r="F412" s="3" t="s">
        <v>50</v>
      </c>
      <c r="G412" s="3" t="n">
        <v>4</v>
      </c>
      <c r="H412" s="4" t="n">
        <v>34.99</v>
      </c>
      <c r="I412" s="4" t="n">
        <v>12</v>
      </c>
      <c r="J412" s="5" t="n">
        <v>0.2</v>
      </c>
      <c r="K412" s="4" t="n">
        <f aca="false">G412*H412*(1-J412)</f>
        <v>111.968</v>
      </c>
      <c r="L412" s="4" t="n">
        <f aca="false">G412*I412</f>
        <v>48</v>
      </c>
      <c r="M412" s="4" t="n">
        <f aca="false">K412-L412</f>
        <v>63.968</v>
      </c>
      <c r="N412" s="6" t="n">
        <f aca="false">IF(K412=0,0,M412/K412)</f>
        <v>0.571306087453558</v>
      </c>
      <c r="O412" s="4" t="n">
        <f aca="false">(G412*H412)-K412</f>
        <v>27.992</v>
      </c>
      <c r="P412" s="3" t="s">
        <v>21</v>
      </c>
    </row>
    <row r="413" customFormat="false" ht="15" hidden="false" customHeight="false" outlineLevel="0" collapsed="false">
      <c r="A413" s="7" t="n">
        <v>46103</v>
      </c>
      <c r="B413" s="8" t="s">
        <v>37</v>
      </c>
      <c r="C413" s="8" t="s">
        <v>17</v>
      </c>
      <c r="D413" s="8" t="s">
        <v>82</v>
      </c>
      <c r="E413" s="8" t="s">
        <v>83</v>
      </c>
      <c r="F413" s="8" t="s">
        <v>26</v>
      </c>
      <c r="G413" s="8" t="n">
        <v>23</v>
      </c>
      <c r="H413" s="9" t="n">
        <v>44.99</v>
      </c>
      <c r="I413" s="9" t="n">
        <v>18</v>
      </c>
      <c r="J413" s="10" t="n">
        <v>0.1</v>
      </c>
      <c r="K413" s="9" t="n">
        <f aca="false">G413*H413*(1-J413)</f>
        <v>931.293</v>
      </c>
      <c r="L413" s="9" t="n">
        <f aca="false">G413*I413</f>
        <v>414</v>
      </c>
      <c r="M413" s="9" t="n">
        <f aca="false">K413-L413</f>
        <v>517.293</v>
      </c>
      <c r="N413" s="11" t="n">
        <f aca="false">IF(K413=0,0,M413/K413)</f>
        <v>0.555456768170705</v>
      </c>
      <c r="O413" s="9" t="n">
        <f aca="false">(G413*H413)-K413</f>
        <v>103.477</v>
      </c>
      <c r="P413" s="8" t="s">
        <v>21</v>
      </c>
    </row>
    <row r="414" customFormat="false" ht="15" hidden="false" customHeight="false" outlineLevel="0" collapsed="false">
      <c r="A414" s="2" t="n">
        <v>46055</v>
      </c>
      <c r="B414" s="3" t="s">
        <v>22</v>
      </c>
      <c r="C414" s="3" t="s">
        <v>23</v>
      </c>
      <c r="D414" s="3" t="s">
        <v>66</v>
      </c>
      <c r="E414" s="3" t="s">
        <v>67</v>
      </c>
      <c r="F414" s="3" t="s">
        <v>57</v>
      </c>
      <c r="G414" s="3" t="n">
        <v>1</v>
      </c>
      <c r="H414" s="4" t="n">
        <v>14.99</v>
      </c>
      <c r="I414" s="4" t="n">
        <v>5.5</v>
      </c>
      <c r="J414" s="5" t="n">
        <v>0.2</v>
      </c>
      <c r="K414" s="4" t="n">
        <f aca="false">G414*H414*(1-J414)</f>
        <v>11.992</v>
      </c>
      <c r="L414" s="4" t="n">
        <f aca="false">G414*I414</f>
        <v>5.5</v>
      </c>
      <c r="M414" s="4" t="n">
        <f aca="false">K414-L414</f>
        <v>6.492</v>
      </c>
      <c r="N414" s="6" t="n">
        <f aca="false">IF(K414=0,0,M414/K414)</f>
        <v>0.541360907271514</v>
      </c>
      <c r="O414" s="4" t="n">
        <f aca="false">(G414*H414)-K414</f>
        <v>2.998</v>
      </c>
      <c r="P414" s="3" t="s">
        <v>21</v>
      </c>
    </row>
    <row r="415" customFormat="false" ht="15" hidden="false" customHeight="false" outlineLevel="0" collapsed="false">
      <c r="A415" s="7" t="n">
        <v>46110</v>
      </c>
      <c r="B415" s="8" t="s">
        <v>64</v>
      </c>
      <c r="C415" s="8" t="s">
        <v>65</v>
      </c>
      <c r="D415" s="8" t="s">
        <v>35</v>
      </c>
      <c r="E415" s="8" t="s">
        <v>36</v>
      </c>
      <c r="F415" s="8" t="s">
        <v>26</v>
      </c>
      <c r="G415" s="8" t="n">
        <v>2</v>
      </c>
      <c r="H415" s="9" t="n">
        <v>69.99</v>
      </c>
      <c r="I415" s="9" t="n">
        <v>30</v>
      </c>
      <c r="J415" s="10" t="n">
        <v>0</v>
      </c>
      <c r="K415" s="9" t="n">
        <f aca="false">G415*H415*(1-J415)</f>
        <v>139.98</v>
      </c>
      <c r="L415" s="9" t="n">
        <f aca="false">G415*I415</f>
        <v>60</v>
      </c>
      <c r="M415" s="9" t="n">
        <f aca="false">K415-L415</f>
        <v>79.98</v>
      </c>
      <c r="N415" s="11" t="n">
        <f aca="false">IF(K415=0,0,M415/K415)</f>
        <v>0.57136733819117</v>
      </c>
      <c r="O415" s="9" t="n">
        <f aca="false">(G415*H415)-K415</f>
        <v>0</v>
      </c>
      <c r="P415" s="8" t="s">
        <v>21</v>
      </c>
    </row>
    <row r="416" customFormat="false" ht="15" hidden="false" customHeight="false" outlineLevel="0" collapsed="false">
      <c r="A416" s="2" t="n">
        <v>46023</v>
      </c>
      <c r="B416" s="3" t="s">
        <v>37</v>
      </c>
      <c r="C416" s="3" t="s">
        <v>17</v>
      </c>
      <c r="D416" s="3" t="s">
        <v>24</v>
      </c>
      <c r="E416" s="3" t="s">
        <v>25</v>
      </c>
      <c r="F416" s="3" t="s">
        <v>26</v>
      </c>
      <c r="G416" s="3" t="n">
        <v>9</v>
      </c>
      <c r="H416" s="4" t="n">
        <v>59.99</v>
      </c>
      <c r="I416" s="4" t="n">
        <v>24</v>
      </c>
      <c r="J416" s="5" t="n">
        <v>0</v>
      </c>
      <c r="K416" s="4" t="n">
        <f aca="false">G416*H416*(1-J416)</f>
        <v>539.91</v>
      </c>
      <c r="L416" s="4" t="n">
        <f aca="false">G416*I416</f>
        <v>216</v>
      </c>
      <c r="M416" s="4" t="n">
        <f aca="false">K416-L416</f>
        <v>323.91</v>
      </c>
      <c r="N416" s="6" t="n">
        <f aca="false">IF(K416=0,0,M416/K416)</f>
        <v>0.59993332222037</v>
      </c>
      <c r="O416" s="4" t="n">
        <f aca="false">(G416*H416)-K416</f>
        <v>0</v>
      </c>
      <c r="P416" s="3" t="s">
        <v>21</v>
      </c>
    </row>
    <row r="417" customFormat="false" ht="15" hidden="false" customHeight="false" outlineLevel="0" collapsed="false">
      <c r="A417" s="7" t="n">
        <v>46034</v>
      </c>
      <c r="B417" s="8" t="s">
        <v>22</v>
      </c>
      <c r="C417" s="8" t="s">
        <v>23</v>
      </c>
      <c r="D417" s="8" t="s">
        <v>78</v>
      </c>
      <c r="E417" s="8" t="s">
        <v>79</v>
      </c>
      <c r="F417" s="8" t="s">
        <v>20</v>
      </c>
      <c r="G417" s="8" t="n">
        <v>6</v>
      </c>
      <c r="H417" s="9" t="n">
        <v>39.99</v>
      </c>
      <c r="I417" s="9" t="n">
        <v>16</v>
      </c>
      <c r="J417" s="10" t="n">
        <v>0.05</v>
      </c>
      <c r="K417" s="9" t="n">
        <f aca="false">G417*H417*(1-J417)</f>
        <v>227.943</v>
      </c>
      <c r="L417" s="9" t="n">
        <f aca="false">G417*I417</f>
        <v>96</v>
      </c>
      <c r="M417" s="9" t="n">
        <f aca="false">K417-L417</f>
        <v>131.943</v>
      </c>
      <c r="N417" s="11" t="n">
        <f aca="false">IF(K417=0,0,M417/K417)</f>
        <v>0.578842078940788</v>
      </c>
      <c r="O417" s="9" t="n">
        <f aca="false">(G417*H417)-K417</f>
        <v>11.997</v>
      </c>
      <c r="P417" s="8" t="s">
        <v>21</v>
      </c>
    </row>
    <row r="418" customFormat="false" ht="15" hidden="false" customHeight="false" outlineLevel="0" collapsed="false">
      <c r="A418" s="2" t="n">
        <v>46025</v>
      </c>
      <c r="B418" s="3" t="s">
        <v>22</v>
      </c>
      <c r="C418" s="3" t="s">
        <v>23</v>
      </c>
      <c r="D418" s="3" t="s">
        <v>38</v>
      </c>
      <c r="E418" s="3" t="s">
        <v>39</v>
      </c>
      <c r="F418" s="3" t="s">
        <v>40</v>
      </c>
      <c r="G418" s="3" t="n">
        <v>28</v>
      </c>
      <c r="H418" s="4" t="n">
        <v>12.99</v>
      </c>
      <c r="I418" s="4" t="n">
        <v>4</v>
      </c>
      <c r="J418" s="5" t="n">
        <v>0</v>
      </c>
      <c r="K418" s="4" t="n">
        <f aca="false">G418*H418*(1-J418)</f>
        <v>363.72</v>
      </c>
      <c r="L418" s="4" t="n">
        <f aca="false">G418*I418</f>
        <v>112</v>
      </c>
      <c r="M418" s="4" t="n">
        <f aca="false">K418-L418</f>
        <v>251.72</v>
      </c>
      <c r="N418" s="6" t="n">
        <f aca="false">IF(K418=0,0,M418/K418)</f>
        <v>0.692070823710547</v>
      </c>
      <c r="O418" s="4" t="n">
        <f aca="false">(G418*H418)-K418</f>
        <v>0</v>
      </c>
      <c r="P418" s="3" t="s">
        <v>21</v>
      </c>
    </row>
    <row r="419" customFormat="false" ht="15" hidden="false" customHeight="false" outlineLevel="0" collapsed="false">
      <c r="A419" s="7" t="n">
        <v>46112</v>
      </c>
      <c r="B419" s="8" t="s">
        <v>16</v>
      </c>
      <c r="C419" s="8" t="s">
        <v>17</v>
      </c>
      <c r="D419" s="8" t="s">
        <v>84</v>
      </c>
      <c r="E419" s="8" t="s">
        <v>85</v>
      </c>
      <c r="F419" s="8" t="s">
        <v>20</v>
      </c>
      <c r="G419" s="8" t="n">
        <v>16</v>
      </c>
      <c r="H419" s="9" t="n">
        <v>34.99</v>
      </c>
      <c r="I419" s="9" t="n">
        <v>13</v>
      </c>
      <c r="J419" s="10" t="n">
        <v>0.1</v>
      </c>
      <c r="K419" s="9" t="n">
        <f aca="false">G419*H419*(1-J419)</f>
        <v>503.856</v>
      </c>
      <c r="L419" s="9" t="n">
        <f aca="false">G419*I419</f>
        <v>208</v>
      </c>
      <c r="M419" s="9" t="n">
        <f aca="false">K419-L419</f>
        <v>295.856</v>
      </c>
      <c r="N419" s="11" t="n">
        <f aca="false">IF(K419=0,0,M419/K419)</f>
        <v>0.587183639770093</v>
      </c>
      <c r="O419" s="9" t="n">
        <f aca="false">(G419*H419)-K419</f>
        <v>55.984</v>
      </c>
      <c r="P419" s="8" t="s">
        <v>21</v>
      </c>
    </row>
    <row r="420" customFormat="false" ht="15" hidden="false" customHeight="false" outlineLevel="0" collapsed="false">
      <c r="A420" s="2" t="n">
        <v>46073</v>
      </c>
      <c r="B420" s="3" t="s">
        <v>22</v>
      </c>
      <c r="C420" s="3" t="s">
        <v>23</v>
      </c>
      <c r="D420" s="3" t="s">
        <v>51</v>
      </c>
      <c r="E420" s="3" t="s">
        <v>52</v>
      </c>
      <c r="F420" s="3" t="s">
        <v>50</v>
      </c>
      <c r="G420" s="3" t="n">
        <v>12</v>
      </c>
      <c r="H420" s="4" t="n">
        <v>19.99</v>
      </c>
      <c r="I420" s="4" t="n">
        <v>7</v>
      </c>
      <c r="J420" s="5" t="n">
        <v>0.15</v>
      </c>
      <c r="K420" s="4" t="n">
        <f aca="false">G420*H420*(1-J420)</f>
        <v>203.898</v>
      </c>
      <c r="L420" s="4" t="n">
        <f aca="false">G420*I420</f>
        <v>84</v>
      </c>
      <c r="M420" s="4" t="n">
        <f aca="false">K420-L420</f>
        <v>119.898</v>
      </c>
      <c r="N420" s="6" t="n">
        <f aca="false">IF(K420=0,0,M420/K420)</f>
        <v>0.588029308772033</v>
      </c>
      <c r="O420" s="4" t="n">
        <f aca="false">(G420*H420)-K420</f>
        <v>35.982</v>
      </c>
      <c r="P420" s="3" t="s">
        <v>21</v>
      </c>
    </row>
    <row r="421" customFormat="false" ht="15" hidden="false" customHeight="false" outlineLevel="0" collapsed="false">
      <c r="A421" s="7" t="n">
        <v>46061</v>
      </c>
      <c r="B421" s="8" t="s">
        <v>31</v>
      </c>
      <c r="C421" s="8" t="s">
        <v>23</v>
      </c>
      <c r="D421" s="8" t="s">
        <v>24</v>
      </c>
      <c r="E421" s="8" t="s">
        <v>25</v>
      </c>
      <c r="F421" s="8" t="s">
        <v>26</v>
      </c>
      <c r="G421" s="8" t="n">
        <v>30</v>
      </c>
      <c r="H421" s="9" t="n">
        <v>54.99</v>
      </c>
      <c r="I421" s="9" t="n">
        <v>24</v>
      </c>
      <c r="J421" s="10" t="n">
        <v>0</v>
      </c>
      <c r="K421" s="9" t="n">
        <f aca="false">G421*H421*(1-J421)</f>
        <v>1649.7</v>
      </c>
      <c r="L421" s="9" t="n">
        <f aca="false">G421*I421</f>
        <v>720</v>
      </c>
      <c r="M421" s="9" t="n">
        <f aca="false">K421-L421</f>
        <v>929.7</v>
      </c>
      <c r="N421" s="11" t="n">
        <f aca="false">IF(K421=0,0,M421/K421)</f>
        <v>0.563557010365521</v>
      </c>
      <c r="O421" s="9" t="n">
        <f aca="false">(G421*H421)-K421</f>
        <v>0</v>
      </c>
      <c r="P421" s="8" t="s">
        <v>21</v>
      </c>
    </row>
    <row r="422" customFormat="false" ht="15" hidden="false" customHeight="false" outlineLevel="0" collapsed="false">
      <c r="A422" s="2" t="n">
        <v>46103</v>
      </c>
      <c r="B422" s="3" t="s">
        <v>16</v>
      </c>
      <c r="C422" s="3" t="s">
        <v>17</v>
      </c>
      <c r="D422" s="3" t="s">
        <v>68</v>
      </c>
      <c r="E422" s="3" t="s">
        <v>69</v>
      </c>
      <c r="F422" s="3" t="s">
        <v>40</v>
      </c>
      <c r="G422" s="3" t="n">
        <v>6</v>
      </c>
      <c r="H422" s="4" t="n">
        <v>24.99</v>
      </c>
      <c r="I422" s="4" t="n">
        <v>9</v>
      </c>
      <c r="J422" s="5" t="n">
        <v>0.3</v>
      </c>
      <c r="K422" s="4" t="n">
        <f aca="false">G422*H422*(1-J422)</f>
        <v>104.958</v>
      </c>
      <c r="L422" s="4" t="n">
        <f aca="false">G422*I422</f>
        <v>54</v>
      </c>
      <c r="M422" s="4" t="n">
        <f aca="false">K422-L422</f>
        <v>50.958</v>
      </c>
      <c r="N422" s="6" t="n">
        <f aca="false">IF(K422=0,0,M422/K422)</f>
        <v>0.48550848910993</v>
      </c>
      <c r="O422" s="4" t="n">
        <f aca="false">(G422*H422)-K422</f>
        <v>44.982</v>
      </c>
      <c r="P422" s="3" t="s">
        <v>21</v>
      </c>
    </row>
    <row r="423" customFormat="false" ht="15" hidden="false" customHeight="false" outlineLevel="0" collapsed="false">
      <c r="A423" s="7" t="n">
        <v>46065</v>
      </c>
      <c r="B423" s="8" t="s">
        <v>64</v>
      </c>
      <c r="C423" s="8" t="s">
        <v>65</v>
      </c>
      <c r="D423" s="8" t="s">
        <v>74</v>
      </c>
      <c r="E423" s="8" t="s">
        <v>75</v>
      </c>
      <c r="F423" s="8" t="s">
        <v>40</v>
      </c>
      <c r="G423" s="8" t="n">
        <v>24</v>
      </c>
      <c r="H423" s="9" t="n">
        <v>29.99</v>
      </c>
      <c r="I423" s="9" t="n">
        <v>13</v>
      </c>
      <c r="J423" s="10" t="n">
        <v>0</v>
      </c>
      <c r="K423" s="9" t="n">
        <f aca="false">G423*H423*(1-J423)</f>
        <v>719.76</v>
      </c>
      <c r="L423" s="9" t="n">
        <f aca="false">G423*I423</f>
        <v>312</v>
      </c>
      <c r="M423" s="9" t="n">
        <f aca="false">K423-L423</f>
        <v>407.76</v>
      </c>
      <c r="N423" s="11" t="n">
        <f aca="false">IF(K423=0,0,M423/K423)</f>
        <v>0.566522174058019</v>
      </c>
      <c r="O423" s="9" t="n">
        <f aca="false">(G423*H423)-K423</f>
        <v>0</v>
      </c>
      <c r="P423" s="8" t="s">
        <v>21</v>
      </c>
    </row>
    <row r="424" customFormat="false" ht="15" hidden="false" customHeight="false" outlineLevel="0" collapsed="false">
      <c r="A424" s="2" t="n">
        <v>46036</v>
      </c>
      <c r="B424" s="3" t="s">
        <v>27</v>
      </c>
      <c r="C424" s="3" t="s">
        <v>28</v>
      </c>
      <c r="D424" s="3" t="s">
        <v>74</v>
      </c>
      <c r="E424" s="3" t="s">
        <v>75</v>
      </c>
      <c r="F424" s="3" t="s">
        <v>40</v>
      </c>
      <c r="G424" s="3" t="n">
        <v>22</v>
      </c>
      <c r="H424" s="4" t="n">
        <v>29.99</v>
      </c>
      <c r="I424" s="4" t="n">
        <v>13</v>
      </c>
      <c r="J424" s="5" t="n">
        <v>0.05</v>
      </c>
      <c r="K424" s="4" t="n">
        <f aca="false">G424*H424*(1-J424)</f>
        <v>626.791</v>
      </c>
      <c r="L424" s="4" t="n">
        <f aca="false">G424*I424</f>
        <v>286</v>
      </c>
      <c r="M424" s="4" t="n">
        <f aca="false">K424-L424</f>
        <v>340.791</v>
      </c>
      <c r="N424" s="6" t="n">
        <f aca="false">IF(K424=0,0,M424/K424)</f>
        <v>0.54370755164002</v>
      </c>
      <c r="O424" s="4" t="n">
        <f aca="false">(G424*H424)-K424</f>
        <v>32.989</v>
      </c>
      <c r="P424" s="3" t="s">
        <v>21</v>
      </c>
    </row>
    <row r="425" customFormat="false" ht="15" hidden="false" customHeight="false" outlineLevel="0" collapsed="false">
      <c r="A425" s="7" t="n">
        <v>46026</v>
      </c>
      <c r="B425" s="8" t="s">
        <v>37</v>
      </c>
      <c r="C425" s="8" t="s">
        <v>17</v>
      </c>
      <c r="D425" s="8" t="s">
        <v>72</v>
      </c>
      <c r="E425" s="8" t="s">
        <v>73</v>
      </c>
      <c r="F425" s="8" t="s">
        <v>57</v>
      </c>
      <c r="G425" s="8" t="n">
        <v>12</v>
      </c>
      <c r="H425" s="9" t="n">
        <v>19.99</v>
      </c>
      <c r="I425" s="9" t="n">
        <v>7</v>
      </c>
      <c r="J425" s="10" t="n">
        <v>0.3</v>
      </c>
      <c r="K425" s="9" t="n">
        <f aca="false">G425*H425*(1-J425)</f>
        <v>167.916</v>
      </c>
      <c r="L425" s="9" t="n">
        <f aca="false">G425*I425</f>
        <v>84</v>
      </c>
      <c r="M425" s="9" t="n">
        <f aca="false">K425-L425</f>
        <v>83.916</v>
      </c>
      <c r="N425" s="11" t="n">
        <f aca="false">IF(K425=0,0,M425/K425)</f>
        <v>0.499749874937469</v>
      </c>
      <c r="O425" s="9" t="n">
        <f aca="false">(G425*H425)-K425</f>
        <v>71.964</v>
      </c>
      <c r="P425" s="8" t="s">
        <v>21</v>
      </c>
    </row>
    <row r="426" customFormat="false" ht="15" hidden="false" customHeight="false" outlineLevel="0" collapsed="false">
      <c r="A426" s="2" t="n">
        <v>46077</v>
      </c>
      <c r="B426" s="3" t="s">
        <v>37</v>
      </c>
      <c r="C426" s="3" t="s">
        <v>17</v>
      </c>
      <c r="D426" s="3" t="s">
        <v>95</v>
      </c>
      <c r="E426" s="3" t="s">
        <v>96</v>
      </c>
      <c r="F426" s="3" t="s">
        <v>50</v>
      </c>
      <c r="G426" s="3" t="n">
        <v>23</v>
      </c>
      <c r="H426" s="4" t="n">
        <v>34.99</v>
      </c>
      <c r="I426" s="4" t="n">
        <v>12</v>
      </c>
      <c r="J426" s="5" t="n">
        <v>0.1</v>
      </c>
      <c r="K426" s="4" t="n">
        <f aca="false">G426*H426*(1-J426)</f>
        <v>724.293</v>
      </c>
      <c r="L426" s="4" t="n">
        <f aca="false">G426*I426</f>
        <v>276</v>
      </c>
      <c r="M426" s="4" t="n">
        <f aca="false">K426-L426</f>
        <v>448.293</v>
      </c>
      <c r="N426" s="6" t="n">
        <f aca="false">IF(K426=0,0,M426/K426)</f>
        <v>0.618938744403163</v>
      </c>
      <c r="O426" s="4" t="n">
        <f aca="false">(G426*H426)-K426</f>
        <v>80.477</v>
      </c>
      <c r="P426" s="3" t="s">
        <v>21</v>
      </c>
    </row>
    <row r="427" customFormat="false" ht="15" hidden="false" customHeight="false" outlineLevel="0" collapsed="false">
      <c r="A427" s="7" t="n">
        <v>46046</v>
      </c>
      <c r="B427" s="8" t="s">
        <v>27</v>
      </c>
      <c r="C427" s="8" t="s">
        <v>28</v>
      </c>
      <c r="D427" s="8" t="s">
        <v>82</v>
      </c>
      <c r="E427" s="8" t="s">
        <v>83</v>
      </c>
      <c r="F427" s="8" t="s">
        <v>26</v>
      </c>
      <c r="G427" s="8" t="n">
        <v>9</v>
      </c>
      <c r="H427" s="9" t="n">
        <v>44.99</v>
      </c>
      <c r="I427" s="9" t="n">
        <v>18</v>
      </c>
      <c r="J427" s="10" t="n">
        <v>0.15</v>
      </c>
      <c r="K427" s="9" t="n">
        <f aca="false">G427*H427*(1-J427)</f>
        <v>344.1735</v>
      </c>
      <c r="L427" s="9" t="n">
        <f aca="false">G427*I427</f>
        <v>162</v>
      </c>
      <c r="M427" s="9" t="n">
        <f aca="false">K427-L427</f>
        <v>182.1735</v>
      </c>
      <c r="N427" s="11" t="n">
        <f aca="false">IF(K427=0,0,M427/K427)</f>
        <v>0.529307166298393</v>
      </c>
      <c r="O427" s="9" t="n">
        <f aca="false">(G427*H427)-K427</f>
        <v>60.7365</v>
      </c>
      <c r="P427" s="8" t="s">
        <v>21</v>
      </c>
    </row>
    <row r="428" customFormat="false" ht="15" hidden="false" customHeight="false" outlineLevel="0" collapsed="false">
      <c r="A428" s="2" t="n">
        <v>46038</v>
      </c>
      <c r="B428" s="3" t="s">
        <v>64</v>
      </c>
      <c r="C428" s="3" t="s">
        <v>65</v>
      </c>
      <c r="D428" s="3" t="s">
        <v>24</v>
      </c>
      <c r="E428" s="3" t="s">
        <v>25</v>
      </c>
      <c r="F428" s="3" t="s">
        <v>26</v>
      </c>
      <c r="G428" s="3" t="n">
        <v>15</v>
      </c>
      <c r="H428" s="4" t="n">
        <v>59.99</v>
      </c>
      <c r="I428" s="4" t="n">
        <v>24</v>
      </c>
      <c r="J428" s="5" t="n">
        <v>0</v>
      </c>
      <c r="K428" s="4" t="n">
        <f aca="false">G428*H428*(1-J428)</f>
        <v>899.85</v>
      </c>
      <c r="L428" s="4" t="n">
        <f aca="false">G428*I428</f>
        <v>360</v>
      </c>
      <c r="M428" s="4" t="n">
        <f aca="false">K428-L428</f>
        <v>539.85</v>
      </c>
      <c r="N428" s="6" t="n">
        <f aca="false">IF(K428=0,0,M428/K428)</f>
        <v>0.59993332222037</v>
      </c>
      <c r="O428" s="4" t="n">
        <f aca="false">(G428*H428)-K428</f>
        <v>0</v>
      </c>
      <c r="P428" s="3" t="s">
        <v>21</v>
      </c>
    </row>
    <row r="429" customFormat="false" ht="15" hidden="false" customHeight="false" outlineLevel="0" collapsed="false">
      <c r="A429" s="7" t="n">
        <v>46090</v>
      </c>
      <c r="B429" s="8" t="s">
        <v>27</v>
      </c>
      <c r="C429" s="8" t="s">
        <v>28</v>
      </c>
      <c r="D429" s="8" t="s">
        <v>95</v>
      </c>
      <c r="E429" s="8" t="s">
        <v>96</v>
      </c>
      <c r="F429" s="8" t="s">
        <v>50</v>
      </c>
      <c r="G429" s="8" t="n">
        <v>2</v>
      </c>
      <c r="H429" s="9" t="n">
        <v>34.99</v>
      </c>
      <c r="I429" s="9" t="n">
        <v>12</v>
      </c>
      <c r="J429" s="10" t="n">
        <v>0</v>
      </c>
      <c r="K429" s="9" t="n">
        <f aca="false">G429*H429*(1-J429)</f>
        <v>69.98</v>
      </c>
      <c r="L429" s="9" t="n">
        <f aca="false">G429*I429</f>
        <v>24</v>
      </c>
      <c r="M429" s="9" t="n">
        <f aca="false">K429-L429</f>
        <v>45.98</v>
      </c>
      <c r="N429" s="11" t="n">
        <f aca="false">IF(K429=0,0,M429/K429)</f>
        <v>0.657044869962847</v>
      </c>
      <c r="O429" s="9" t="n">
        <f aca="false">(G429*H429)-K429</f>
        <v>0</v>
      </c>
      <c r="P429" s="8" t="s">
        <v>21</v>
      </c>
    </row>
    <row r="430" customFormat="false" ht="15" hidden="false" customHeight="false" outlineLevel="0" collapsed="false">
      <c r="A430" s="2" t="n">
        <v>46128</v>
      </c>
      <c r="B430" s="3" t="s">
        <v>41</v>
      </c>
      <c r="C430" s="3" t="s">
        <v>28</v>
      </c>
      <c r="D430" s="3" t="s">
        <v>72</v>
      </c>
      <c r="E430" s="3" t="s">
        <v>73</v>
      </c>
      <c r="F430" s="3" t="s">
        <v>57</v>
      </c>
      <c r="G430" s="3" t="n">
        <v>27</v>
      </c>
      <c r="H430" s="4" t="n">
        <v>19.99</v>
      </c>
      <c r="I430" s="4" t="n">
        <v>7</v>
      </c>
      <c r="J430" s="5" t="n">
        <v>0</v>
      </c>
      <c r="K430" s="4" t="n">
        <f aca="false">G430*H430*(1-J430)</f>
        <v>539.73</v>
      </c>
      <c r="L430" s="4" t="n">
        <f aca="false">G430*I430</f>
        <v>189</v>
      </c>
      <c r="M430" s="4" t="n">
        <f aca="false">K430-L430</f>
        <v>350.73</v>
      </c>
      <c r="N430" s="6" t="n">
        <f aca="false">IF(K430=0,0,M430/K430)</f>
        <v>0.649824912456228</v>
      </c>
      <c r="O430" s="4" t="n">
        <f aca="false">(G430*H430)-K430</f>
        <v>0</v>
      </c>
      <c r="P430" s="3" t="s">
        <v>21</v>
      </c>
    </row>
    <row r="431" customFormat="false" ht="15" hidden="false" customHeight="false" outlineLevel="0" collapsed="false">
      <c r="A431" s="7" t="n">
        <v>46033</v>
      </c>
      <c r="B431" s="8" t="s">
        <v>64</v>
      </c>
      <c r="C431" s="8" t="s">
        <v>65</v>
      </c>
      <c r="D431" s="8" t="s">
        <v>80</v>
      </c>
      <c r="E431" s="8" t="s">
        <v>81</v>
      </c>
      <c r="F431" s="8" t="s">
        <v>57</v>
      </c>
      <c r="G431" s="8" t="n">
        <v>27</v>
      </c>
      <c r="H431" s="9" t="n">
        <v>17.99</v>
      </c>
      <c r="I431" s="9" t="n">
        <v>6.5</v>
      </c>
      <c r="J431" s="10" t="n">
        <v>0</v>
      </c>
      <c r="K431" s="9" t="n">
        <f aca="false">G431*H431*(1-J431)</f>
        <v>485.73</v>
      </c>
      <c r="L431" s="9" t="n">
        <f aca="false">G431*I431</f>
        <v>175.5</v>
      </c>
      <c r="M431" s="9" t="n">
        <f aca="false">K431-L431</f>
        <v>310.23</v>
      </c>
      <c r="N431" s="11" t="n">
        <f aca="false">IF(K431=0,0,M431/K431)</f>
        <v>0.638688160088938</v>
      </c>
      <c r="O431" s="9" t="n">
        <f aca="false">(G431*H431)-K431</f>
        <v>0</v>
      </c>
      <c r="P431" s="8" t="s">
        <v>21</v>
      </c>
    </row>
    <row r="432" customFormat="false" ht="15" hidden="false" customHeight="false" outlineLevel="0" collapsed="false">
      <c r="A432" s="2" t="n">
        <v>46131</v>
      </c>
      <c r="B432" s="3" t="s">
        <v>22</v>
      </c>
      <c r="C432" s="3" t="s">
        <v>23</v>
      </c>
      <c r="D432" s="3" t="s">
        <v>95</v>
      </c>
      <c r="E432" s="3" t="s">
        <v>96</v>
      </c>
      <c r="F432" s="3" t="s">
        <v>50</v>
      </c>
      <c r="G432" s="3" t="n">
        <v>5</v>
      </c>
      <c r="H432" s="4" t="n">
        <v>34.99</v>
      </c>
      <c r="I432" s="4" t="n">
        <v>12</v>
      </c>
      <c r="J432" s="5" t="n">
        <v>0.05</v>
      </c>
      <c r="K432" s="4" t="n">
        <f aca="false">G432*H432*(1-J432)</f>
        <v>166.2025</v>
      </c>
      <c r="L432" s="4" t="n">
        <f aca="false">G432*I432</f>
        <v>60</v>
      </c>
      <c r="M432" s="4" t="n">
        <f aca="false">K432-L432</f>
        <v>106.2025</v>
      </c>
      <c r="N432" s="6" t="n">
        <f aca="false">IF(K432=0,0,M432/K432)</f>
        <v>0.638994599960891</v>
      </c>
      <c r="O432" s="4" t="n">
        <f aca="false">(G432*H432)-K432</f>
        <v>8.7475</v>
      </c>
      <c r="P432" s="3" t="s">
        <v>21</v>
      </c>
    </row>
    <row r="433" customFormat="false" ht="15" hidden="false" customHeight="false" outlineLevel="0" collapsed="false">
      <c r="A433" s="7" t="n">
        <v>46026</v>
      </c>
      <c r="B433" s="8" t="s">
        <v>41</v>
      </c>
      <c r="C433" s="8" t="s">
        <v>28</v>
      </c>
      <c r="D433" s="8" t="s">
        <v>80</v>
      </c>
      <c r="E433" s="8" t="s">
        <v>81</v>
      </c>
      <c r="F433" s="8" t="s">
        <v>57</v>
      </c>
      <c r="G433" s="8" t="n">
        <v>8</v>
      </c>
      <c r="H433" s="9" t="n">
        <v>17.99</v>
      </c>
      <c r="I433" s="9" t="n">
        <v>6.5</v>
      </c>
      <c r="J433" s="10" t="n">
        <v>0</v>
      </c>
      <c r="K433" s="9" t="n">
        <f aca="false">G433*H433*(1-J433)</f>
        <v>143.92</v>
      </c>
      <c r="L433" s="9" t="n">
        <f aca="false">G433*I433</f>
        <v>52</v>
      </c>
      <c r="M433" s="9" t="n">
        <f aca="false">K433-L433</f>
        <v>91.92</v>
      </c>
      <c r="N433" s="11" t="n">
        <f aca="false">IF(K433=0,0,M433/K433)</f>
        <v>0.638688160088938</v>
      </c>
      <c r="O433" s="9" t="n">
        <f aca="false">(G433*H433)-K433</f>
        <v>0</v>
      </c>
      <c r="P433" s="8" t="s">
        <v>21</v>
      </c>
    </row>
    <row r="434" customFormat="false" ht="15" hidden="false" customHeight="false" outlineLevel="0" collapsed="false">
      <c r="A434" s="2" t="n">
        <v>46070</v>
      </c>
      <c r="B434" s="3" t="s">
        <v>31</v>
      </c>
      <c r="C434" s="3" t="s">
        <v>23</v>
      </c>
      <c r="D434" s="3" t="s">
        <v>18</v>
      </c>
      <c r="E434" s="3" t="s">
        <v>19</v>
      </c>
      <c r="F434" s="3" t="s">
        <v>20</v>
      </c>
      <c r="G434" s="3" t="n">
        <v>23</v>
      </c>
      <c r="H434" s="4" t="n">
        <v>26.99</v>
      </c>
      <c r="I434" s="4" t="n">
        <v>10.5</v>
      </c>
      <c r="J434" s="5" t="n">
        <v>0.2</v>
      </c>
      <c r="K434" s="4" t="n">
        <f aca="false">G434*H434*(1-J434)</f>
        <v>496.616</v>
      </c>
      <c r="L434" s="4" t="n">
        <f aca="false">G434*I434</f>
        <v>241.5</v>
      </c>
      <c r="M434" s="4" t="n">
        <f aca="false">K434-L434</f>
        <v>255.116</v>
      </c>
      <c r="N434" s="6" t="n">
        <f aca="false">IF(K434=0,0,M434/K434)</f>
        <v>0.513708781030011</v>
      </c>
      <c r="O434" s="4" t="n">
        <f aca="false">(G434*H434)-K434</f>
        <v>124.154</v>
      </c>
      <c r="P434" s="3" t="s">
        <v>21</v>
      </c>
    </row>
    <row r="435" customFormat="false" ht="15" hidden="false" customHeight="false" outlineLevel="0" collapsed="false">
      <c r="A435" s="7" t="n">
        <v>46066</v>
      </c>
      <c r="B435" s="8" t="s">
        <v>58</v>
      </c>
      <c r="C435" s="8" t="s">
        <v>58</v>
      </c>
      <c r="D435" s="8" t="s">
        <v>38</v>
      </c>
      <c r="E435" s="8" t="s">
        <v>39</v>
      </c>
      <c r="F435" s="8" t="s">
        <v>40</v>
      </c>
      <c r="G435" s="8" t="n">
        <v>295</v>
      </c>
      <c r="H435" s="9" t="n">
        <v>12.99</v>
      </c>
      <c r="I435" s="9" t="n">
        <v>4</v>
      </c>
      <c r="J435" s="10" t="n">
        <v>0</v>
      </c>
      <c r="K435" s="9" t="n">
        <f aca="false">G435*H435*(1-J435)</f>
        <v>3832.05</v>
      </c>
      <c r="L435" s="9" t="n">
        <f aca="false">G435*I435</f>
        <v>1180</v>
      </c>
      <c r="M435" s="9" t="n">
        <f aca="false">K435-L435</f>
        <v>2652.05</v>
      </c>
      <c r="N435" s="11" t="n">
        <f aca="false">IF(K435=0,0,M435/K435)</f>
        <v>0.692070823710547</v>
      </c>
      <c r="O435" s="9" t="n">
        <f aca="false">(G435*H435)-K435</f>
        <v>0</v>
      </c>
      <c r="P435" s="13" t="s">
        <v>92</v>
      </c>
    </row>
    <row r="436" customFormat="false" ht="15" hidden="false" customHeight="false" outlineLevel="0" collapsed="false">
      <c r="A436" s="2" t="n">
        <v>46118</v>
      </c>
      <c r="B436" s="3" t="s">
        <v>27</v>
      </c>
      <c r="C436" s="3" t="s">
        <v>28</v>
      </c>
      <c r="D436" s="3" t="s">
        <v>93</v>
      </c>
      <c r="E436" s="3" t="s">
        <v>94</v>
      </c>
      <c r="F436" s="3" t="s">
        <v>34</v>
      </c>
      <c r="G436" s="3" t="n">
        <v>26</v>
      </c>
      <c r="H436" s="4" t="n">
        <v>29.99</v>
      </c>
      <c r="I436" s="4" t="n">
        <v>9</v>
      </c>
      <c r="J436" s="5" t="n">
        <v>0.25</v>
      </c>
      <c r="K436" s="4" t="n">
        <f aca="false">G436*H436*(1-J436)</f>
        <v>584.805</v>
      </c>
      <c r="L436" s="4" t="n">
        <f aca="false">G436*I436</f>
        <v>234</v>
      </c>
      <c r="M436" s="4" t="n">
        <f aca="false">K436-L436</f>
        <v>350.805</v>
      </c>
      <c r="N436" s="6" t="n">
        <f aca="false">IF(K436=0,0,M436/K436)</f>
        <v>0.599866622207403</v>
      </c>
      <c r="O436" s="4" t="n">
        <f aca="false">(G436*H436)-K436</f>
        <v>194.935</v>
      </c>
      <c r="P436" s="3" t="s">
        <v>21</v>
      </c>
    </row>
    <row r="437" customFormat="false" ht="15" hidden="false" customHeight="false" outlineLevel="0" collapsed="false">
      <c r="A437" s="7" t="n">
        <v>46100</v>
      </c>
      <c r="B437" s="8" t="s">
        <v>16</v>
      </c>
      <c r="C437" s="8" t="s">
        <v>17</v>
      </c>
      <c r="D437" s="8" t="s">
        <v>48</v>
      </c>
      <c r="E437" s="8" t="s">
        <v>49</v>
      </c>
      <c r="F437" s="8" t="s">
        <v>50</v>
      </c>
      <c r="G437" s="8" t="n">
        <v>3</v>
      </c>
      <c r="H437" s="9" t="n">
        <v>59.99</v>
      </c>
      <c r="I437" s="9" t="n">
        <v>20</v>
      </c>
      <c r="J437" s="10" t="n">
        <v>0.25</v>
      </c>
      <c r="K437" s="9" t="n">
        <f aca="false">G437*H437*(1-J437)</f>
        <v>134.9775</v>
      </c>
      <c r="L437" s="9" t="n">
        <f aca="false">G437*I437</f>
        <v>60</v>
      </c>
      <c r="M437" s="9" t="n">
        <f aca="false">K437-L437</f>
        <v>74.9775</v>
      </c>
      <c r="N437" s="11" t="n">
        <f aca="false">IF(K437=0,0,M437/K437)</f>
        <v>0.555481469133745</v>
      </c>
      <c r="O437" s="9" t="n">
        <f aca="false">(G437*H437)-K437</f>
        <v>44.9925</v>
      </c>
      <c r="P437" s="8" t="s">
        <v>21</v>
      </c>
    </row>
    <row r="438" customFormat="false" ht="15" hidden="false" customHeight="false" outlineLevel="0" collapsed="false">
      <c r="A438" s="2" t="n">
        <v>46058</v>
      </c>
      <c r="B438" s="3" t="s">
        <v>31</v>
      </c>
      <c r="C438" s="3" t="s">
        <v>23</v>
      </c>
      <c r="D438" s="3" t="s">
        <v>59</v>
      </c>
      <c r="E438" s="3" t="s">
        <v>60</v>
      </c>
      <c r="F438" s="3" t="s">
        <v>50</v>
      </c>
      <c r="G438" s="3" t="n">
        <v>13</v>
      </c>
      <c r="H438" s="4" t="n">
        <v>24.99</v>
      </c>
      <c r="I438" s="4" t="n">
        <v>8.5</v>
      </c>
      <c r="J438" s="5" t="n">
        <v>0.1</v>
      </c>
      <c r="K438" s="4" t="n">
        <f aca="false">G438*H438*(1-J438)</f>
        <v>292.383</v>
      </c>
      <c r="L438" s="4" t="n">
        <f aca="false">G438*I438</f>
        <v>110.5</v>
      </c>
      <c r="M438" s="4" t="n">
        <f aca="false">K438-L438</f>
        <v>181.883</v>
      </c>
      <c r="N438" s="6" t="n">
        <f aca="false">IF(K438=0,0,M438/K438)</f>
        <v>0.622071050642479</v>
      </c>
      <c r="O438" s="4" t="n">
        <f aca="false">(G438*H438)-K438</f>
        <v>32.487</v>
      </c>
      <c r="P438" s="3" t="s">
        <v>21</v>
      </c>
    </row>
    <row r="439" customFormat="false" ht="15" hidden="false" customHeight="false" outlineLevel="0" collapsed="false">
      <c r="A439" s="7" t="n">
        <v>46118</v>
      </c>
      <c r="B439" s="8" t="s">
        <v>27</v>
      </c>
      <c r="C439" s="8" t="s">
        <v>28</v>
      </c>
      <c r="D439" s="8" t="s">
        <v>24</v>
      </c>
      <c r="E439" s="8" t="s">
        <v>25</v>
      </c>
      <c r="F439" s="8" t="s">
        <v>26</v>
      </c>
      <c r="G439" s="8" t="n">
        <v>20</v>
      </c>
      <c r="H439" s="9" t="n">
        <v>54.99</v>
      </c>
      <c r="I439" s="9" t="n">
        <v>24</v>
      </c>
      <c r="J439" s="10" t="n">
        <v>0.15</v>
      </c>
      <c r="K439" s="9" t="n">
        <f aca="false">G439*H439*(1-J439)</f>
        <v>934.83</v>
      </c>
      <c r="L439" s="9" t="n">
        <f aca="false">G439*I439</f>
        <v>480</v>
      </c>
      <c r="M439" s="9" t="n">
        <f aca="false">K439-L439</f>
        <v>454.83</v>
      </c>
      <c r="N439" s="11" t="n">
        <f aca="false">IF(K439=0,0,M439/K439)</f>
        <v>0.486537659253554</v>
      </c>
      <c r="O439" s="9" t="n">
        <f aca="false">(G439*H439)-K439</f>
        <v>164.97</v>
      </c>
      <c r="P439" s="8" t="s">
        <v>21</v>
      </c>
    </row>
    <row r="440" customFormat="false" ht="15" hidden="false" customHeight="false" outlineLevel="0" collapsed="false">
      <c r="A440" s="2" t="n">
        <v>46069</v>
      </c>
      <c r="B440" s="3" t="s">
        <v>31</v>
      </c>
      <c r="C440" s="3" t="s">
        <v>23</v>
      </c>
      <c r="D440" s="3" t="s">
        <v>66</v>
      </c>
      <c r="E440" s="3" t="s">
        <v>67</v>
      </c>
      <c r="F440" s="3" t="s">
        <v>57</v>
      </c>
      <c r="G440" s="3" t="n">
        <v>28</v>
      </c>
      <c r="H440" s="4" t="n">
        <v>14.99</v>
      </c>
      <c r="I440" s="4" t="n">
        <v>5.5</v>
      </c>
      <c r="J440" s="5" t="n">
        <v>0.25</v>
      </c>
      <c r="K440" s="4" t="n">
        <f aca="false">G440*H440*(1-J440)</f>
        <v>314.79</v>
      </c>
      <c r="L440" s="4" t="n">
        <f aca="false">G440*I440</f>
        <v>154</v>
      </c>
      <c r="M440" s="4" t="n">
        <f aca="false">K440-L440</f>
        <v>160.79</v>
      </c>
      <c r="N440" s="6" t="n">
        <f aca="false">IF(K440=0,0,M440/K440)</f>
        <v>0.510784967756282</v>
      </c>
      <c r="O440" s="4" t="n">
        <f aca="false">(G440*H440)-K440</f>
        <v>104.93</v>
      </c>
      <c r="P440" s="3" t="s">
        <v>21</v>
      </c>
    </row>
    <row r="441" customFormat="false" ht="15" hidden="false" customHeight="false" outlineLevel="0" collapsed="false">
      <c r="A441" s="7" t="n">
        <v>46109</v>
      </c>
      <c r="B441" s="8" t="s">
        <v>58</v>
      </c>
      <c r="C441" s="8" t="s">
        <v>58</v>
      </c>
      <c r="D441" s="8" t="s">
        <v>46</v>
      </c>
      <c r="E441" s="8" t="s">
        <v>47</v>
      </c>
      <c r="F441" s="8" t="s">
        <v>20</v>
      </c>
      <c r="G441" s="8" t="n">
        <v>422</v>
      </c>
      <c r="H441" s="9" t="n">
        <v>44.99</v>
      </c>
      <c r="I441" s="9" t="n">
        <v>18</v>
      </c>
      <c r="J441" s="10" t="n">
        <v>0</v>
      </c>
      <c r="K441" s="9" t="n">
        <f aca="false">G441*H441*(1-J441)</f>
        <v>18985.78</v>
      </c>
      <c r="L441" s="9" t="n">
        <f aca="false">G441*I441</f>
        <v>7596</v>
      </c>
      <c r="M441" s="9" t="n">
        <f aca="false">K441-L441</f>
        <v>11389.78</v>
      </c>
      <c r="N441" s="11" t="n">
        <f aca="false">IF(K441=0,0,M441/K441)</f>
        <v>0.599911091353634</v>
      </c>
      <c r="O441" s="9" t="n">
        <f aca="false">(G441*H441)-K441</f>
        <v>0</v>
      </c>
      <c r="P441" s="13" t="s">
        <v>92</v>
      </c>
    </row>
    <row r="442" customFormat="false" ht="15" hidden="false" customHeight="false" outlineLevel="0" collapsed="false">
      <c r="A442" s="2" t="n">
        <v>46092</v>
      </c>
      <c r="B442" s="3" t="s">
        <v>27</v>
      </c>
      <c r="C442" s="3" t="s">
        <v>28</v>
      </c>
      <c r="D442" s="3" t="s">
        <v>74</v>
      </c>
      <c r="E442" s="3" t="s">
        <v>75</v>
      </c>
      <c r="F442" s="3" t="s">
        <v>40</v>
      </c>
      <c r="G442" s="3" t="n">
        <v>6</v>
      </c>
      <c r="H442" s="4" t="n">
        <v>29.99</v>
      </c>
      <c r="I442" s="4" t="n">
        <v>13</v>
      </c>
      <c r="J442" s="5" t="n">
        <v>0</v>
      </c>
      <c r="K442" s="4" t="n">
        <f aca="false">G442*H442*(1-J442)</f>
        <v>179.94</v>
      </c>
      <c r="L442" s="4" t="n">
        <f aca="false">G442*I442</f>
        <v>78</v>
      </c>
      <c r="M442" s="4" t="n">
        <f aca="false">K442-L442</f>
        <v>101.94</v>
      </c>
      <c r="N442" s="6" t="n">
        <f aca="false">IF(K442=0,0,M442/K442)</f>
        <v>0.566522174058019</v>
      </c>
      <c r="O442" s="4" t="n">
        <f aca="false">(G442*H442)-K442</f>
        <v>0</v>
      </c>
      <c r="P442" s="3" t="s">
        <v>21</v>
      </c>
    </row>
    <row r="443" customFormat="false" ht="15" hidden="false" customHeight="false" outlineLevel="0" collapsed="false">
      <c r="A443" s="7" t="n">
        <v>46098</v>
      </c>
      <c r="B443" s="8" t="s">
        <v>27</v>
      </c>
      <c r="C443" s="8" t="s">
        <v>28</v>
      </c>
      <c r="D443" s="8" t="s">
        <v>42</v>
      </c>
      <c r="E443" s="8" t="s">
        <v>43</v>
      </c>
      <c r="F443" s="8" t="s">
        <v>34</v>
      </c>
      <c r="G443" s="8" t="n">
        <v>26</v>
      </c>
      <c r="H443" s="9" t="n">
        <v>11.99</v>
      </c>
      <c r="I443" s="9" t="n">
        <v>3.5</v>
      </c>
      <c r="J443" s="10" t="n">
        <v>0.3</v>
      </c>
      <c r="K443" s="9" t="n">
        <f aca="false">G443*H443*(1-J443)</f>
        <v>218.218</v>
      </c>
      <c r="L443" s="9" t="n">
        <f aca="false">G443*I443</f>
        <v>91</v>
      </c>
      <c r="M443" s="9" t="n">
        <f aca="false">K443-L443</f>
        <v>127.218</v>
      </c>
      <c r="N443" s="11" t="n">
        <f aca="false">IF(K443=0,0,M443/K443)</f>
        <v>0.582985821517932</v>
      </c>
      <c r="O443" s="9" t="n">
        <f aca="false">(G443*H443)-K443</f>
        <v>93.522</v>
      </c>
      <c r="P443" s="8" t="s">
        <v>21</v>
      </c>
    </row>
    <row r="444" customFormat="false" ht="15" hidden="false" customHeight="false" outlineLevel="0" collapsed="false">
      <c r="A444" s="2" t="n">
        <v>46131</v>
      </c>
      <c r="B444" s="3" t="s">
        <v>22</v>
      </c>
      <c r="C444" s="3" t="s">
        <v>23</v>
      </c>
      <c r="D444" s="3" t="s">
        <v>74</v>
      </c>
      <c r="E444" s="3" t="s">
        <v>75</v>
      </c>
      <c r="F444" s="3" t="s">
        <v>40</v>
      </c>
      <c r="G444" s="3" t="n">
        <v>18</v>
      </c>
      <c r="H444" s="4" t="n">
        <v>29.99</v>
      </c>
      <c r="I444" s="4" t="n">
        <v>13</v>
      </c>
      <c r="J444" s="5" t="n">
        <v>0.1</v>
      </c>
      <c r="K444" s="4" t="n">
        <f aca="false">G444*H444*(1-J444)</f>
        <v>485.838</v>
      </c>
      <c r="L444" s="4" t="n">
        <f aca="false">G444*I444</f>
        <v>234</v>
      </c>
      <c r="M444" s="4" t="n">
        <f aca="false">K444-L444</f>
        <v>251.838</v>
      </c>
      <c r="N444" s="6" t="n">
        <f aca="false">IF(K444=0,0,M444/K444)</f>
        <v>0.518357971175577</v>
      </c>
      <c r="O444" s="4" t="n">
        <f aca="false">(G444*H444)-K444</f>
        <v>53.982</v>
      </c>
      <c r="P444" s="3" t="s">
        <v>21</v>
      </c>
    </row>
    <row r="445" customFormat="false" ht="15" hidden="false" customHeight="false" outlineLevel="0" collapsed="false">
      <c r="A445" s="7" t="n">
        <v>46059</v>
      </c>
      <c r="B445" s="8" t="s">
        <v>64</v>
      </c>
      <c r="C445" s="8" t="s">
        <v>65</v>
      </c>
      <c r="D445" s="8" t="s">
        <v>35</v>
      </c>
      <c r="E445" s="8" t="s">
        <v>36</v>
      </c>
      <c r="F445" s="8" t="s">
        <v>26</v>
      </c>
      <c r="G445" s="8" t="n">
        <v>7</v>
      </c>
      <c r="H445" s="9" t="n">
        <v>69.99</v>
      </c>
      <c r="I445" s="9" t="n">
        <v>30</v>
      </c>
      <c r="J445" s="10" t="n">
        <v>0</v>
      </c>
      <c r="K445" s="9" t="n">
        <f aca="false">G445*H445*(1-J445)</f>
        <v>489.93</v>
      </c>
      <c r="L445" s="9" t="n">
        <f aca="false">G445*I445</f>
        <v>210</v>
      </c>
      <c r="M445" s="9" t="n">
        <f aca="false">K445-L445</f>
        <v>279.93</v>
      </c>
      <c r="N445" s="11" t="n">
        <f aca="false">IF(K445=0,0,M445/K445)</f>
        <v>0.57136733819117</v>
      </c>
      <c r="O445" s="9" t="n">
        <f aca="false">(G445*H445)-K445</f>
        <v>0</v>
      </c>
      <c r="P445" s="8" t="s">
        <v>21</v>
      </c>
    </row>
    <row r="446" customFormat="false" ht="15" hidden="false" customHeight="false" outlineLevel="0" collapsed="false">
      <c r="A446" s="2" t="n">
        <v>46105</v>
      </c>
      <c r="B446" s="3" t="s">
        <v>41</v>
      </c>
      <c r="C446" s="3" t="s">
        <v>28</v>
      </c>
      <c r="D446" s="3" t="s">
        <v>66</v>
      </c>
      <c r="E446" s="3" t="s">
        <v>67</v>
      </c>
      <c r="F446" s="3" t="s">
        <v>57</v>
      </c>
      <c r="G446" s="3" t="n">
        <v>19</v>
      </c>
      <c r="H446" s="4" t="n">
        <v>14.99</v>
      </c>
      <c r="I446" s="4" t="n">
        <v>5.5</v>
      </c>
      <c r="J446" s="5" t="n">
        <v>0.3</v>
      </c>
      <c r="K446" s="4" t="n">
        <f aca="false">G446*H446*(1-J446)</f>
        <v>199.367</v>
      </c>
      <c r="L446" s="4" t="n">
        <f aca="false">G446*I446</f>
        <v>104.5</v>
      </c>
      <c r="M446" s="4" t="n">
        <f aca="false">K446-L446</f>
        <v>94.867</v>
      </c>
      <c r="N446" s="6" t="n">
        <f aca="false">IF(K446=0,0,M446/K446)</f>
        <v>0.475841036881731</v>
      </c>
      <c r="O446" s="4" t="n">
        <f aca="false">(G446*H446)-K446</f>
        <v>85.443</v>
      </c>
      <c r="P446" s="3" t="s">
        <v>21</v>
      </c>
    </row>
    <row r="447" customFormat="false" ht="15" hidden="false" customHeight="false" outlineLevel="0" collapsed="false">
      <c r="A447" s="7" t="n">
        <v>46103</v>
      </c>
      <c r="B447" s="8" t="s">
        <v>27</v>
      </c>
      <c r="C447" s="8" t="s">
        <v>28</v>
      </c>
      <c r="D447" s="8" t="s">
        <v>82</v>
      </c>
      <c r="E447" s="8" t="s">
        <v>83</v>
      </c>
      <c r="F447" s="8" t="s">
        <v>26</v>
      </c>
      <c r="G447" s="8" t="n">
        <v>17</v>
      </c>
      <c r="H447" s="9" t="n">
        <v>44.99</v>
      </c>
      <c r="I447" s="9" t="n">
        <v>18</v>
      </c>
      <c r="J447" s="10" t="n">
        <v>0.05</v>
      </c>
      <c r="K447" s="9" t="n">
        <f aca="false">G447*H447*(1-J447)</f>
        <v>726.5885</v>
      </c>
      <c r="L447" s="9" t="n">
        <f aca="false">G447*I447</f>
        <v>306</v>
      </c>
      <c r="M447" s="9" t="n">
        <f aca="false">K447-L447</f>
        <v>420.5885</v>
      </c>
      <c r="N447" s="11" t="n">
        <f aca="false">IF(K447=0,0,M447/K447)</f>
        <v>0.578853780372246</v>
      </c>
      <c r="O447" s="9" t="n">
        <f aca="false">(G447*H447)-K447</f>
        <v>38.2415000000001</v>
      </c>
      <c r="P447" s="8" t="s">
        <v>21</v>
      </c>
    </row>
    <row r="448" customFormat="false" ht="15" hidden="false" customHeight="false" outlineLevel="0" collapsed="false">
      <c r="A448" s="2" t="n">
        <v>46045</v>
      </c>
      <c r="B448" s="3" t="s">
        <v>41</v>
      </c>
      <c r="C448" s="3" t="s">
        <v>28</v>
      </c>
      <c r="D448" s="3" t="s">
        <v>32</v>
      </c>
      <c r="E448" s="3" t="s">
        <v>33</v>
      </c>
      <c r="F448" s="3" t="s">
        <v>34</v>
      </c>
      <c r="G448" s="3" t="n">
        <v>2</v>
      </c>
      <c r="H448" s="4" t="n">
        <v>18.99</v>
      </c>
      <c r="I448" s="4" t="n">
        <v>6</v>
      </c>
      <c r="J448" s="5" t="n">
        <v>0</v>
      </c>
      <c r="K448" s="4" t="n">
        <f aca="false">G448*H448*(1-J448)</f>
        <v>37.98</v>
      </c>
      <c r="L448" s="4" t="n">
        <f aca="false">G448*I448</f>
        <v>12</v>
      </c>
      <c r="M448" s="4" t="n">
        <f aca="false">K448-L448</f>
        <v>25.98</v>
      </c>
      <c r="N448" s="6" t="n">
        <f aca="false">IF(K448=0,0,M448/K448)</f>
        <v>0.684044233807267</v>
      </c>
      <c r="O448" s="4" t="n">
        <f aca="false">(G448*H448)-K448</f>
        <v>0</v>
      </c>
      <c r="P448" s="3" t="s">
        <v>21</v>
      </c>
    </row>
    <row r="449" customFormat="false" ht="15" hidden="false" customHeight="false" outlineLevel="0" collapsed="false">
      <c r="A449" s="7" t="n">
        <v>46130</v>
      </c>
      <c r="B449" s="8" t="s">
        <v>31</v>
      </c>
      <c r="C449" s="8" t="s">
        <v>23</v>
      </c>
      <c r="D449" s="8" t="s">
        <v>82</v>
      </c>
      <c r="E449" s="8" t="s">
        <v>83</v>
      </c>
      <c r="F449" s="8" t="s">
        <v>26</v>
      </c>
      <c r="G449" s="8" t="n">
        <v>2</v>
      </c>
      <c r="H449" s="9" t="n">
        <v>44.99</v>
      </c>
      <c r="I449" s="9" t="n">
        <v>18</v>
      </c>
      <c r="J449" s="10" t="n">
        <v>0.15</v>
      </c>
      <c r="K449" s="9" t="n">
        <f aca="false">G449*H449*(1-J449)</f>
        <v>76.483</v>
      </c>
      <c r="L449" s="9" t="n">
        <f aca="false">G449*I449</f>
        <v>36</v>
      </c>
      <c r="M449" s="9" t="n">
        <f aca="false">K449-L449</f>
        <v>40.483</v>
      </c>
      <c r="N449" s="11" t="n">
        <f aca="false">IF(K449=0,0,M449/K449)</f>
        <v>0.529307166298393</v>
      </c>
      <c r="O449" s="9" t="n">
        <f aca="false">(G449*H449)-K449</f>
        <v>13.497</v>
      </c>
      <c r="P449" s="8" t="s">
        <v>21</v>
      </c>
    </row>
    <row r="450" customFormat="false" ht="15" hidden="false" customHeight="false" outlineLevel="0" collapsed="false">
      <c r="A450" s="2" t="n">
        <v>46072</v>
      </c>
      <c r="B450" s="3" t="s">
        <v>31</v>
      </c>
      <c r="C450" s="3" t="s">
        <v>23</v>
      </c>
      <c r="D450" s="3" t="s">
        <v>90</v>
      </c>
      <c r="E450" s="3" t="s">
        <v>91</v>
      </c>
      <c r="F450" s="3" t="s">
        <v>26</v>
      </c>
      <c r="G450" s="3" t="n">
        <v>14</v>
      </c>
      <c r="H450" s="4" t="n">
        <v>29.99</v>
      </c>
      <c r="I450" s="4" t="n">
        <v>11</v>
      </c>
      <c r="J450" s="5" t="n">
        <v>0.1</v>
      </c>
      <c r="K450" s="4" t="n">
        <f aca="false">G450*H450*(1-J450)</f>
        <v>377.874</v>
      </c>
      <c r="L450" s="4" t="n">
        <f aca="false">G450*I450</f>
        <v>154</v>
      </c>
      <c r="M450" s="4" t="n">
        <f aca="false">K450-L450</f>
        <v>223.874</v>
      </c>
      <c r="N450" s="6" t="n">
        <f aca="false">IF(K450=0,0,M450/K450)</f>
        <v>0.592456744840873</v>
      </c>
      <c r="O450" s="4" t="n">
        <f aca="false">(G450*H450)-K450</f>
        <v>41.986</v>
      </c>
      <c r="P450" s="3" t="s">
        <v>21</v>
      </c>
    </row>
    <row r="451" customFormat="false" ht="15" hidden="false" customHeight="false" outlineLevel="0" collapsed="false">
      <c r="A451" s="7" t="n">
        <v>46129</v>
      </c>
      <c r="B451" s="8" t="s">
        <v>41</v>
      </c>
      <c r="C451" s="8" t="s">
        <v>28</v>
      </c>
      <c r="D451" s="8" t="s">
        <v>84</v>
      </c>
      <c r="E451" s="8" t="s">
        <v>85</v>
      </c>
      <c r="F451" s="8" t="s">
        <v>20</v>
      </c>
      <c r="G451" s="8" t="n">
        <v>14</v>
      </c>
      <c r="H451" s="9" t="n">
        <v>34.99</v>
      </c>
      <c r="I451" s="9" t="n">
        <v>13</v>
      </c>
      <c r="J451" s="10" t="n">
        <v>0</v>
      </c>
      <c r="K451" s="9" t="n">
        <f aca="false">G451*H451*(1-J451)</f>
        <v>489.86</v>
      </c>
      <c r="L451" s="9" t="n">
        <f aca="false">G451*I451</f>
        <v>182</v>
      </c>
      <c r="M451" s="9" t="n">
        <f aca="false">K451-L451</f>
        <v>307.86</v>
      </c>
      <c r="N451" s="11" t="n">
        <f aca="false">IF(K451=0,0,M451/K451)</f>
        <v>0.628465275793084</v>
      </c>
      <c r="O451" s="9" t="n">
        <f aca="false">(G451*H451)-K451</f>
        <v>0</v>
      </c>
      <c r="P451" s="8" t="s">
        <v>21</v>
      </c>
    </row>
    <row r="452" customFormat="false" ht="15" hidden="false" customHeight="false" outlineLevel="0" collapsed="false">
      <c r="A452" s="2" t="n">
        <v>46129</v>
      </c>
      <c r="B452" s="3" t="s">
        <v>31</v>
      </c>
      <c r="C452" s="3" t="s">
        <v>23</v>
      </c>
      <c r="D452" s="3" t="s">
        <v>76</v>
      </c>
      <c r="E452" s="3" t="s">
        <v>77</v>
      </c>
      <c r="F452" s="3" t="s">
        <v>34</v>
      </c>
      <c r="G452" s="3" t="n">
        <v>11</v>
      </c>
      <c r="H452" s="4" t="n">
        <v>49.99</v>
      </c>
      <c r="I452" s="4" t="n">
        <v>14</v>
      </c>
      <c r="J452" s="5" t="n">
        <v>0.25</v>
      </c>
      <c r="K452" s="4" t="n">
        <f aca="false">G452*H452*(1-J452)</f>
        <v>412.4175</v>
      </c>
      <c r="L452" s="4" t="n">
        <f aca="false">G452*I452</f>
        <v>154</v>
      </c>
      <c r="M452" s="4" t="n">
        <f aca="false">K452-L452</f>
        <v>258.4175</v>
      </c>
      <c r="N452" s="6" t="n">
        <f aca="false">IF(K452=0,0,M452/K452)</f>
        <v>0.626591985063679</v>
      </c>
      <c r="O452" s="4" t="n">
        <f aca="false">(G452*H452)-K452</f>
        <v>137.4725</v>
      </c>
      <c r="P452" s="3" t="s">
        <v>21</v>
      </c>
    </row>
    <row r="453" customFormat="false" ht="15" hidden="false" customHeight="false" outlineLevel="0" collapsed="false">
      <c r="A453" s="7" t="n">
        <v>46029</v>
      </c>
      <c r="B453" s="8" t="s">
        <v>16</v>
      </c>
      <c r="C453" s="8" t="s">
        <v>17</v>
      </c>
      <c r="D453" s="8" t="s">
        <v>68</v>
      </c>
      <c r="E453" s="8" t="s">
        <v>69</v>
      </c>
      <c r="F453" s="8" t="s">
        <v>40</v>
      </c>
      <c r="G453" s="8" t="n">
        <v>19</v>
      </c>
      <c r="H453" s="9" t="n">
        <v>24.99</v>
      </c>
      <c r="I453" s="9" t="n">
        <v>9</v>
      </c>
      <c r="J453" s="10" t="n">
        <v>0</v>
      </c>
      <c r="K453" s="9" t="n">
        <f aca="false">G453*H453*(1-J453)</f>
        <v>474.81</v>
      </c>
      <c r="L453" s="9" t="n">
        <f aca="false">G453*I453</f>
        <v>171</v>
      </c>
      <c r="M453" s="9" t="n">
        <f aca="false">K453-L453</f>
        <v>303.81</v>
      </c>
      <c r="N453" s="11" t="n">
        <f aca="false">IF(K453=0,0,M453/K453)</f>
        <v>0.639855942376951</v>
      </c>
      <c r="O453" s="9" t="n">
        <f aca="false">(G453*H453)-K453</f>
        <v>0</v>
      </c>
      <c r="P453" s="8" t="s">
        <v>21</v>
      </c>
    </row>
    <row r="454" customFormat="false" ht="15" hidden="false" customHeight="false" outlineLevel="0" collapsed="false">
      <c r="A454" s="2" t="n">
        <v>46100</v>
      </c>
      <c r="B454" s="3" t="s">
        <v>58</v>
      </c>
      <c r="C454" s="3" t="s">
        <v>58</v>
      </c>
      <c r="D454" s="3" t="s">
        <v>68</v>
      </c>
      <c r="E454" s="3" t="s">
        <v>69</v>
      </c>
      <c r="F454" s="3" t="s">
        <v>40</v>
      </c>
      <c r="G454" s="3" t="n">
        <v>16</v>
      </c>
      <c r="H454" s="4" t="n">
        <v>24.99</v>
      </c>
      <c r="I454" s="4" t="n">
        <v>9</v>
      </c>
      <c r="J454" s="5" t="n">
        <v>0</v>
      </c>
      <c r="K454" s="4" t="n">
        <f aca="false">G454*H454*(1-J454)</f>
        <v>399.84</v>
      </c>
      <c r="L454" s="4" t="n">
        <f aca="false">G454*I454</f>
        <v>144</v>
      </c>
      <c r="M454" s="4" t="n">
        <f aca="false">K454-L454</f>
        <v>255.84</v>
      </c>
      <c r="N454" s="6" t="n">
        <f aca="false">IF(K454=0,0,M454/K454)</f>
        <v>0.639855942376951</v>
      </c>
      <c r="O454" s="4" t="n">
        <f aca="false">(G454*H454)-K454</f>
        <v>0</v>
      </c>
      <c r="P454" s="3" t="s">
        <v>21</v>
      </c>
    </row>
    <row r="455" customFormat="false" ht="15" hidden="false" customHeight="false" outlineLevel="0" collapsed="false">
      <c r="A455" s="7" t="n">
        <v>46095</v>
      </c>
      <c r="B455" s="8" t="s">
        <v>64</v>
      </c>
      <c r="C455" s="8" t="s">
        <v>65</v>
      </c>
      <c r="D455" s="8" t="s">
        <v>48</v>
      </c>
      <c r="E455" s="8" t="s">
        <v>49</v>
      </c>
      <c r="F455" s="8" t="s">
        <v>50</v>
      </c>
      <c r="G455" s="8" t="n">
        <v>1</v>
      </c>
      <c r="H455" s="9" t="n">
        <v>54.99</v>
      </c>
      <c r="I455" s="9" t="n">
        <v>20</v>
      </c>
      <c r="J455" s="10" t="n">
        <v>0.15</v>
      </c>
      <c r="K455" s="9" t="n">
        <f aca="false">G455*H455*(1-J455)</f>
        <v>46.7415</v>
      </c>
      <c r="L455" s="9" t="n">
        <f aca="false">G455*I455</f>
        <v>20</v>
      </c>
      <c r="M455" s="9" t="n">
        <f aca="false">K455-L455</f>
        <v>26.7415</v>
      </c>
      <c r="N455" s="11" t="n">
        <f aca="false">IF(K455=0,0,M455/K455)</f>
        <v>0.572114716044629</v>
      </c>
      <c r="O455" s="9" t="n">
        <f aca="false">(G455*H455)-K455</f>
        <v>8.2485</v>
      </c>
      <c r="P455" s="8" t="s">
        <v>21</v>
      </c>
    </row>
    <row r="456" customFormat="false" ht="15" hidden="false" customHeight="false" outlineLevel="0" collapsed="false">
      <c r="A456" s="2" t="n">
        <v>46088</v>
      </c>
      <c r="B456" s="3" t="s">
        <v>58</v>
      </c>
      <c r="C456" s="3" t="s">
        <v>58</v>
      </c>
      <c r="D456" s="3" t="s">
        <v>53</v>
      </c>
      <c r="E456" s="3" t="s">
        <v>54</v>
      </c>
      <c r="F456" s="3" t="s">
        <v>50</v>
      </c>
      <c r="G456" s="3" t="n">
        <v>4</v>
      </c>
      <c r="H456" s="4" t="n">
        <v>22.99</v>
      </c>
      <c r="I456" s="4" t="n">
        <v>8</v>
      </c>
      <c r="J456" s="5" t="n">
        <v>0.15</v>
      </c>
      <c r="K456" s="4" t="n">
        <f aca="false">G456*H456*(1-J456)</f>
        <v>78.166</v>
      </c>
      <c r="L456" s="4" t="n">
        <f aca="false">G456*I456</f>
        <v>32</v>
      </c>
      <c r="M456" s="4" t="n">
        <f aca="false">K456-L456</f>
        <v>46.166</v>
      </c>
      <c r="N456" s="6" t="n">
        <f aca="false">IF(K456=0,0,M456/K456)</f>
        <v>0.590614845329171</v>
      </c>
      <c r="O456" s="4" t="n">
        <f aca="false">(G456*H456)-K456</f>
        <v>13.794</v>
      </c>
      <c r="P456" s="3" t="s">
        <v>21</v>
      </c>
    </row>
    <row r="457" customFormat="false" ht="15" hidden="false" customHeight="false" outlineLevel="0" collapsed="false">
      <c r="A457" s="7" t="n">
        <v>46130</v>
      </c>
      <c r="B457" s="8" t="s">
        <v>41</v>
      </c>
      <c r="C457" s="8" t="s">
        <v>28</v>
      </c>
      <c r="D457" s="8" t="s">
        <v>72</v>
      </c>
      <c r="E457" s="8" t="s">
        <v>73</v>
      </c>
      <c r="F457" s="8" t="s">
        <v>57</v>
      </c>
      <c r="G457" s="8" t="n">
        <v>21</v>
      </c>
      <c r="H457" s="9" t="n">
        <v>19.99</v>
      </c>
      <c r="I457" s="9" t="n">
        <v>7</v>
      </c>
      <c r="J457" s="10" t="n">
        <v>0.25</v>
      </c>
      <c r="K457" s="9" t="n">
        <f aca="false">G457*H457*(1-J457)</f>
        <v>314.8425</v>
      </c>
      <c r="L457" s="9" t="n">
        <f aca="false">G457*I457</f>
        <v>147</v>
      </c>
      <c r="M457" s="9" t="n">
        <f aca="false">K457-L457</f>
        <v>167.8425</v>
      </c>
      <c r="N457" s="11" t="n">
        <f aca="false">IF(K457=0,0,M457/K457)</f>
        <v>0.533099883274971</v>
      </c>
      <c r="O457" s="9" t="n">
        <f aca="false">(G457*H457)-K457</f>
        <v>104.9475</v>
      </c>
      <c r="P457" s="8" t="s">
        <v>21</v>
      </c>
    </row>
    <row r="458" customFormat="false" ht="15" hidden="false" customHeight="false" outlineLevel="0" collapsed="false">
      <c r="A458" s="2" t="n">
        <v>46026</v>
      </c>
      <c r="B458" s="3" t="s">
        <v>27</v>
      </c>
      <c r="C458" s="3" t="s">
        <v>28</v>
      </c>
      <c r="D458" s="3" t="s">
        <v>35</v>
      </c>
      <c r="E458" s="3" t="s">
        <v>36</v>
      </c>
      <c r="F458" s="3" t="s">
        <v>26</v>
      </c>
      <c r="G458" s="3" t="n">
        <v>4</v>
      </c>
      <c r="H458" s="4" t="n">
        <v>69.99</v>
      </c>
      <c r="I458" s="4" t="n">
        <v>30</v>
      </c>
      <c r="J458" s="5" t="n">
        <v>0.7</v>
      </c>
      <c r="K458" s="4" t="n">
        <f aca="false">G458*H458*(1-J458)</f>
        <v>83.988</v>
      </c>
      <c r="L458" s="4" t="n">
        <f aca="false">G458*I458</f>
        <v>120</v>
      </c>
      <c r="M458" s="4" t="n">
        <f aca="false">K458-L458</f>
        <v>-36.012</v>
      </c>
      <c r="N458" s="6" t="n">
        <f aca="false">IF(K458=0,0,M458/K458)</f>
        <v>-0.428775539362766</v>
      </c>
      <c r="O458" s="4" t="n">
        <f aca="false">(G458*H458)-K458</f>
        <v>195.972</v>
      </c>
      <c r="P458" s="14" t="s">
        <v>97</v>
      </c>
    </row>
    <row r="459" customFormat="false" ht="15" hidden="false" customHeight="false" outlineLevel="0" collapsed="false">
      <c r="A459" s="7" t="n">
        <v>46092</v>
      </c>
      <c r="B459" s="8" t="s">
        <v>41</v>
      </c>
      <c r="C459" s="8" t="s">
        <v>28</v>
      </c>
      <c r="D459" s="8" t="s">
        <v>68</v>
      </c>
      <c r="E459" s="8" t="s">
        <v>69</v>
      </c>
      <c r="F459" s="8" t="s">
        <v>40</v>
      </c>
      <c r="G459" s="8" t="n">
        <v>11</v>
      </c>
      <c r="H459" s="9" t="n">
        <v>24.99</v>
      </c>
      <c r="I459" s="9" t="n">
        <v>9</v>
      </c>
      <c r="J459" s="10" t="n">
        <v>0.3</v>
      </c>
      <c r="K459" s="9" t="n">
        <f aca="false">G459*H459*(1-J459)</f>
        <v>192.423</v>
      </c>
      <c r="L459" s="9" t="n">
        <f aca="false">G459*I459</f>
        <v>99</v>
      </c>
      <c r="M459" s="9" t="n">
        <f aca="false">K459-L459</f>
        <v>93.423</v>
      </c>
      <c r="N459" s="11" t="n">
        <f aca="false">IF(K459=0,0,M459/K459)</f>
        <v>0.48550848910993</v>
      </c>
      <c r="O459" s="9" t="n">
        <f aca="false">(G459*H459)-K459</f>
        <v>82.467</v>
      </c>
      <c r="P459" s="8" t="s">
        <v>21</v>
      </c>
    </row>
    <row r="460" customFormat="false" ht="15" hidden="false" customHeight="false" outlineLevel="0" collapsed="false">
      <c r="A460" s="2" t="n">
        <v>46105</v>
      </c>
      <c r="B460" s="3" t="s">
        <v>64</v>
      </c>
      <c r="C460" s="3" t="s">
        <v>65</v>
      </c>
      <c r="D460" s="3" t="s">
        <v>68</v>
      </c>
      <c r="E460" s="3" t="s">
        <v>69</v>
      </c>
      <c r="F460" s="3" t="s">
        <v>40</v>
      </c>
      <c r="G460" s="3" t="n">
        <v>15</v>
      </c>
      <c r="H460" s="4" t="n">
        <v>24.99</v>
      </c>
      <c r="I460" s="4" t="n">
        <v>9</v>
      </c>
      <c r="J460" s="5" t="n">
        <v>0.25</v>
      </c>
      <c r="K460" s="4" t="n">
        <f aca="false">G460*H460*(1-J460)</f>
        <v>281.1375</v>
      </c>
      <c r="L460" s="4" t="n">
        <f aca="false">G460*I460</f>
        <v>135</v>
      </c>
      <c r="M460" s="4" t="n">
        <f aca="false">K460-L460</f>
        <v>146.1375</v>
      </c>
      <c r="N460" s="6" t="n">
        <f aca="false">IF(K460=0,0,M460/K460)</f>
        <v>0.519807923169268</v>
      </c>
      <c r="O460" s="4" t="n">
        <f aca="false">(G460*H460)-K460</f>
        <v>93.7125</v>
      </c>
      <c r="P460" s="3" t="s">
        <v>21</v>
      </c>
    </row>
    <row r="461" customFormat="false" ht="15" hidden="false" customHeight="false" outlineLevel="0" collapsed="false">
      <c r="A461" s="7" t="n">
        <v>46088</v>
      </c>
      <c r="B461" s="8" t="s">
        <v>22</v>
      </c>
      <c r="C461" s="8" t="s">
        <v>23</v>
      </c>
      <c r="D461" s="8" t="s">
        <v>55</v>
      </c>
      <c r="E461" s="8" t="s">
        <v>56</v>
      </c>
      <c r="F461" s="8" t="s">
        <v>57</v>
      </c>
      <c r="G461" s="8" t="n">
        <v>17</v>
      </c>
      <c r="H461" s="9" t="n">
        <v>29.99</v>
      </c>
      <c r="I461" s="9" t="n">
        <v>11</v>
      </c>
      <c r="J461" s="10" t="n">
        <v>0</v>
      </c>
      <c r="K461" s="9" t="n">
        <f aca="false">G461*H461*(1-J461)</f>
        <v>509.83</v>
      </c>
      <c r="L461" s="9" t="n">
        <f aca="false">G461*I461</f>
        <v>187</v>
      </c>
      <c r="M461" s="9" t="n">
        <f aca="false">K461-L461</f>
        <v>322.83</v>
      </c>
      <c r="N461" s="11" t="n">
        <f aca="false">IF(K461=0,0,M461/K461)</f>
        <v>0.633211070356786</v>
      </c>
      <c r="O461" s="9" t="n">
        <f aca="false">(G461*H461)-K461</f>
        <v>0</v>
      </c>
      <c r="P461" s="8" t="s">
        <v>21</v>
      </c>
    </row>
    <row r="462" customFormat="false" ht="15" hidden="false" customHeight="false" outlineLevel="0" collapsed="false">
      <c r="A462" s="2" t="n">
        <v>46059</v>
      </c>
      <c r="B462" s="3" t="s">
        <v>27</v>
      </c>
      <c r="C462" s="3" t="s">
        <v>28</v>
      </c>
      <c r="D462" s="3" t="s">
        <v>51</v>
      </c>
      <c r="E462" s="3" t="s">
        <v>52</v>
      </c>
      <c r="F462" s="3" t="s">
        <v>50</v>
      </c>
      <c r="G462" s="3" t="n">
        <v>4</v>
      </c>
      <c r="H462" s="4" t="n">
        <v>19.99</v>
      </c>
      <c r="I462" s="4" t="n">
        <v>7</v>
      </c>
      <c r="J462" s="5" t="n">
        <v>0.25</v>
      </c>
      <c r="K462" s="4" t="n">
        <f aca="false">G462*H462*(1-J462)</f>
        <v>59.97</v>
      </c>
      <c r="L462" s="4" t="n">
        <f aca="false">G462*I462</f>
        <v>28</v>
      </c>
      <c r="M462" s="4" t="n">
        <f aca="false">K462-L462</f>
        <v>31.97</v>
      </c>
      <c r="N462" s="6" t="n">
        <f aca="false">IF(K462=0,0,M462/K462)</f>
        <v>0.533099883274971</v>
      </c>
      <c r="O462" s="4" t="n">
        <f aca="false">(G462*H462)-K462</f>
        <v>19.99</v>
      </c>
      <c r="P462" s="3" t="s">
        <v>21</v>
      </c>
    </row>
    <row r="463" customFormat="false" ht="15" hidden="false" customHeight="false" outlineLevel="0" collapsed="false">
      <c r="A463" s="7" t="n">
        <v>46069</v>
      </c>
      <c r="B463" s="8" t="s">
        <v>64</v>
      </c>
      <c r="C463" s="8" t="s">
        <v>65</v>
      </c>
      <c r="D463" s="8" t="s">
        <v>35</v>
      </c>
      <c r="E463" s="8" t="s">
        <v>36</v>
      </c>
      <c r="F463" s="8" t="s">
        <v>26</v>
      </c>
      <c r="G463" s="8" t="n">
        <v>15</v>
      </c>
      <c r="H463" s="9" t="n">
        <v>69.99</v>
      </c>
      <c r="I463" s="9" t="n">
        <v>30</v>
      </c>
      <c r="J463" s="10" t="n">
        <v>0</v>
      </c>
      <c r="K463" s="9" t="n">
        <f aca="false">G463*H463*(1-J463)</f>
        <v>1049.85</v>
      </c>
      <c r="L463" s="9" t="n">
        <f aca="false">G463*I463</f>
        <v>450</v>
      </c>
      <c r="M463" s="9" t="n">
        <f aca="false">K463-L463</f>
        <v>599.85</v>
      </c>
      <c r="N463" s="11" t="n">
        <f aca="false">IF(K463=0,0,M463/K463)</f>
        <v>0.57136733819117</v>
      </c>
      <c r="O463" s="9" t="n">
        <f aca="false">(G463*H463)-K463</f>
        <v>0</v>
      </c>
      <c r="P463" s="8" t="s">
        <v>21</v>
      </c>
    </row>
    <row r="464" customFormat="false" ht="15" hidden="false" customHeight="false" outlineLevel="0" collapsed="false">
      <c r="A464" s="2" t="n">
        <v>46030</v>
      </c>
      <c r="B464" s="3" t="s">
        <v>58</v>
      </c>
      <c r="C464" s="3" t="s">
        <v>58</v>
      </c>
      <c r="D464" s="3" t="s">
        <v>68</v>
      </c>
      <c r="E464" s="3" t="s">
        <v>69</v>
      </c>
      <c r="F464" s="3" t="s">
        <v>40</v>
      </c>
      <c r="G464" s="3" t="n">
        <v>13</v>
      </c>
      <c r="H464" s="4" t="n">
        <v>24.99</v>
      </c>
      <c r="I464" s="4" t="n">
        <v>9</v>
      </c>
      <c r="J464" s="5" t="n">
        <v>0.1</v>
      </c>
      <c r="K464" s="4" t="n">
        <f aca="false">G464*H464*(1-J464)</f>
        <v>292.383</v>
      </c>
      <c r="L464" s="4" t="n">
        <f aca="false">G464*I464</f>
        <v>117</v>
      </c>
      <c r="M464" s="4" t="n">
        <f aca="false">K464-L464</f>
        <v>175.383</v>
      </c>
      <c r="N464" s="6" t="n">
        <f aca="false">IF(K464=0,0,M464/K464)</f>
        <v>0.59983993597439</v>
      </c>
      <c r="O464" s="4" t="n">
        <f aca="false">(G464*H464)-K464</f>
        <v>32.487</v>
      </c>
      <c r="P464" s="3" t="s">
        <v>21</v>
      </c>
    </row>
    <row r="465" customFormat="false" ht="15" hidden="false" customHeight="false" outlineLevel="0" collapsed="false">
      <c r="A465" s="7" t="n">
        <v>46082</v>
      </c>
      <c r="B465" s="8" t="s">
        <v>27</v>
      </c>
      <c r="C465" s="8" t="s">
        <v>28</v>
      </c>
      <c r="D465" s="8" t="s">
        <v>24</v>
      </c>
      <c r="E465" s="8" t="s">
        <v>25</v>
      </c>
      <c r="F465" s="8" t="s">
        <v>26</v>
      </c>
      <c r="G465" s="8" t="n">
        <v>26</v>
      </c>
      <c r="H465" s="9" t="n">
        <v>54.99</v>
      </c>
      <c r="I465" s="9" t="n">
        <v>24</v>
      </c>
      <c r="J465" s="10" t="n">
        <v>0</v>
      </c>
      <c r="K465" s="9" t="n">
        <f aca="false">G465*H465*(1-J465)</f>
        <v>1429.74</v>
      </c>
      <c r="L465" s="9" t="n">
        <f aca="false">G465*I465</f>
        <v>624</v>
      </c>
      <c r="M465" s="9" t="n">
        <f aca="false">K465-L465</f>
        <v>805.74</v>
      </c>
      <c r="N465" s="11" t="n">
        <f aca="false">IF(K465=0,0,M465/K465)</f>
        <v>0.563557010365521</v>
      </c>
      <c r="O465" s="9" t="n">
        <f aca="false">(G465*H465)-K465</f>
        <v>0</v>
      </c>
      <c r="P465" s="8" t="s">
        <v>21</v>
      </c>
    </row>
    <row r="466" customFormat="false" ht="15" hidden="false" customHeight="false" outlineLevel="0" collapsed="false">
      <c r="A466" s="2" t="n">
        <v>46107</v>
      </c>
      <c r="B466" s="3" t="s">
        <v>16</v>
      </c>
      <c r="C466" s="3" t="s">
        <v>17</v>
      </c>
      <c r="D466" s="3" t="s">
        <v>93</v>
      </c>
      <c r="E466" s="3" t="s">
        <v>94</v>
      </c>
      <c r="F466" s="3" t="s">
        <v>34</v>
      </c>
      <c r="G466" s="3" t="n">
        <v>24</v>
      </c>
      <c r="H466" s="4" t="n">
        <v>29.99</v>
      </c>
      <c r="I466" s="4" t="n">
        <v>9</v>
      </c>
      <c r="J466" s="5" t="n">
        <v>0.15</v>
      </c>
      <c r="K466" s="4" t="n">
        <f aca="false">G466*H466*(1-J466)</f>
        <v>611.796</v>
      </c>
      <c r="L466" s="4" t="n">
        <f aca="false">G466*I466</f>
        <v>216</v>
      </c>
      <c r="M466" s="4" t="n">
        <f aca="false">K466-L466</f>
        <v>395.796</v>
      </c>
      <c r="N466" s="6" t="n">
        <f aca="false">IF(K466=0,0,M466/K466)</f>
        <v>0.646941137241826</v>
      </c>
      <c r="O466" s="4" t="n">
        <f aca="false">(G466*H466)-K466</f>
        <v>107.964</v>
      </c>
      <c r="P466" s="3" t="s">
        <v>21</v>
      </c>
    </row>
    <row r="467" customFormat="false" ht="15" hidden="false" customHeight="false" outlineLevel="0" collapsed="false">
      <c r="A467" s="7" t="n">
        <v>46130</v>
      </c>
      <c r="B467" s="8" t="s">
        <v>41</v>
      </c>
      <c r="C467" s="8" t="s">
        <v>28</v>
      </c>
      <c r="D467" s="8" t="s">
        <v>70</v>
      </c>
      <c r="E467" s="8" t="s">
        <v>71</v>
      </c>
      <c r="F467" s="8" t="s">
        <v>20</v>
      </c>
      <c r="G467" s="8" t="n">
        <v>25</v>
      </c>
      <c r="H467" s="9" t="n">
        <v>49.99</v>
      </c>
      <c r="I467" s="9" t="n">
        <v>19</v>
      </c>
      <c r="J467" s="10" t="n">
        <v>0</v>
      </c>
      <c r="K467" s="9" t="n">
        <f aca="false">G467*H467*(1-J467)</f>
        <v>1249.75</v>
      </c>
      <c r="L467" s="9" t="n">
        <f aca="false">G467*I467</f>
        <v>475</v>
      </c>
      <c r="M467" s="9" t="n">
        <f aca="false">K467-L467</f>
        <v>774.75</v>
      </c>
      <c r="N467" s="11" t="n">
        <f aca="false">IF(K467=0,0,M467/K467)</f>
        <v>0.619923984796959</v>
      </c>
      <c r="O467" s="9" t="n">
        <f aca="false">(G467*H467)-K467</f>
        <v>0</v>
      </c>
      <c r="P467" s="8" t="s">
        <v>21</v>
      </c>
    </row>
    <row r="468" customFormat="false" ht="15" hidden="false" customHeight="false" outlineLevel="0" collapsed="false">
      <c r="A468" s="2" t="n">
        <v>46078</v>
      </c>
      <c r="B468" s="3" t="s">
        <v>41</v>
      </c>
      <c r="C468" s="3" t="s">
        <v>28</v>
      </c>
      <c r="D468" s="3" t="s">
        <v>18</v>
      </c>
      <c r="E468" s="3" t="s">
        <v>19</v>
      </c>
      <c r="F468" s="3" t="s">
        <v>20</v>
      </c>
      <c r="G468" s="3" t="n">
        <v>6</v>
      </c>
      <c r="H468" s="4" t="n">
        <v>26.99</v>
      </c>
      <c r="I468" s="4" t="n">
        <v>10.5</v>
      </c>
      <c r="J468" s="5" t="n">
        <v>0.05</v>
      </c>
      <c r="K468" s="4" t="n">
        <f aca="false">G468*H468*(1-J468)</f>
        <v>153.843</v>
      </c>
      <c r="L468" s="4" t="n">
        <f aca="false">G468*I468</f>
        <v>63</v>
      </c>
      <c r="M468" s="4" t="n">
        <f aca="false">K468-L468</f>
        <v>90.843</v>
      </c>
      <c r="N468" s="6" t="n">
        <f aca="false">IF(K468=0,0,M468/K468)</f>
        <v>0.590491605077904</v>
      </c>
      <c r="O468" s="4" t="n">
        <f aca="false">(G468*H468)-K468</f>
        <v>8.09700000000001</v>
      </c>
      <c r="P468" s="3" t="s">
        <v>21</v>
      </c>
    </row>
    <row r="469" customFormat="false" ht="15" hidden="false" customHeight="false" outlineLevel="0" collapsed="false">
      <c r="A469" s="7" t="n">
        <v>46129</v>
      </c>
      <c r="B469" s="8" t="s">
        <v>37</v>
      </c>
      <c r="C469" s="8" t="s">
        <v>17</v>
      </c>
      <c r="D469" s="8" t="s">
        <v>42</v>
      </c>
      <c r="E469" s="8" t="s">
        <v>43</v>
      </c>
      <c r="F469" s="8" t="s">
        <v>34</v>
      </c>
      <c r="G469" s="8" t="n">
        <v>27</v>
      </c>
      <c r="H469" s="9" t="n">
        <v>11.99</v>
      </c>
      <c r="I469" s="9" t="n">
        <v>3.5</v>
      </c>
      <c r="J469" s="10" t="n">
        <v>0.3</v>
      </c>
      <c r="K469" s="9" t="n">
        <f aca="false">G469*H469*(1-J469)</f>
        <v>226.611</v>
      </c>
      <c r="L469" s="9" t="n">
        <f aca="false">G469*I469</f>
        <v>94.5</v>
      </c>
      <c r="M469" s="9" t="n">
        <f aca="false">K469-L469</f>
        <v>132.111</v>
      </c>
      <c r="N469" s="11" t="n">
        <f aca="false">IF(K469=0,0,M469/K469)</f>
        <v>0.582985821517932</v>
      </c>
      <c r="O469" s="9" t="n">
        <f aca="false">(G469*H469)-K469</f>
        <v>97.119</v>
      </c>
      <c r="P469" s="8" t="s">
        <v>21</v>
      </c>
    </row>
    <row r="470" customFormat="false" ht="15" hidden="false" customHeight="false" outlineLevel="0" collapsed="false">
      <c r="A470" s="2" t="n">
        <v>46071</v>
      </c>
      <c r="B470" s="3" t="s">
        <v>27</v>
      </c>
      <c r="C470" s="3" t="s">
        <v>28</v>
      </c>
      <c r="D470" s="3" t="s">
        <v>42</v>
      </c>
      <c r="E470" s="3" t="s">
        <v>43</v>
      </c>
      <c r="F470" s="3" t="s">
        <v>34</v>
      </c>
      <c r="G470" s="3" t="n">
        <v>18</v>
      </c>
      <c r="H470" s="4" t="n">
        <v>11.99</v>
      </c>
      <c r="I470" s="4" t="n">
        <v>3.5</v>
      </c>
      <c r="J470" s="5" t="n">
        <v>0.25</v>
      </c>
      <c r="K470" s="4" t="n">
        <f aca="false">G470*H470*(1-J470)</f>
        <v>161.865</v>
      </c>
      <c r="L470" s="4" t="n">
        <f aca="false">G470*I470</f>
        <v>63</v>
      </c>
      <c r="M470" s="4" t="n">
        <f aca="false">K470-L470</f>
        <v>98.865</v>
      </c>
      <c r="N470" s="6" t="n">
        <f aca="false">IF(K470=0,0,M470/K470)</f>
        <v>0.61078676675007</v>
      </c>
      <c r="O470" s="4" t="n">
        <f aca="false">(G470*H470)-K470</f>
        <v>53.955</v>
      </c>
      <c r="P470" s="3" t="s">
        <v>21</v>
      </c>
    </row>
    <row r="471" customFormat="false" ht="15" hidden="false" customHeight="false" outlineLevel="0" collapsed="false">
      <c r="A471" s="7" t="n">
        <v>46075</v>
      </c>
      <c r="B471" s="8" t="s">
        <v>58</v>
      </c>
      <c r="C471" s="8" t="s">
        <v>58</v>
      </c>
      <c r="D471" s="8" t="s">
        <v>86</v>
      </c>
      <c r="E471" s="8" t="s">
        <v>87</v>
      </c>
      <c r="F471" s="8" t="s">
        <v>40</v>
      </c>
      <c r="G471" s="8" t="n">
        <v>13</v>
      </c>
      <c r="H471" s="9" t="n">
        <v>16.99</v>
      </c>
      <c r="I471" s="9" t="n">
        <v>5.5</v>
      </c>
      <c r="J471" s="10" t="n">
        <v>0.1</v>
      </c>
      <c r="K471" s="9" t="n">
        <f aca="false">G471*H471*(1-J471)</f>
        <v>198.783</v>
      </c>
      <c r="L471" s="9" t="n">
        <f aca="false">G471*I471</f>
        <v>71.5</v>
      </c>
      <c r="M471" s="9" t="n">
        <f aca="false">K471-L471</f>
        <v>127.283</v>
      </c>
      <c r="N471" s="11" t="n">
        <f aca="false">IF(K471=0,0,M471/K471)</f>
        <v>0.640311294225361</v>
      </c>
      <c r="O471" s="9" t="n">
        <f aca="false">(G471*H471)-K471</f>
        <v>22.087</v>
      </c>
      <c r="P471" s="8" t="s">
        <v>21</v>
      </c>
    </row>
    <row r="472" customFormat="false" ht="15" hidden="false" customHeight="false" outlineLevel="0" collapsed="false">
      <c r="A472" s="2" t="n">
        <v>46103</v>
      </c>
      <c r="B472" s="3" t="s">
        <v>27</v>
      </c>
      <c r="C472" s="3" t="s">
        <v>28</v>
      </c>
      <c r="D472" s="3" t="s">
        <v>74</v>
      </c>
      <c r="E472" s="3" t="s">
        <v>75</v>
      </c>
      <c r="F472" s="3" t="s">
        <v>40</v>
      </c>
      <c r="G472" s="3" t="n">
        <v>9</v>
      </c>
      <c r="H472" s="4" t="n">
        <v>29.99</v>
      </c>
      <c r="I472" s="4" t="n">
        <v>13</v>
      </c>
      <c r="J472" s="5" t="n">
        <v>0.25</v>
      </c>
      <c r="K472" s="4" t="n">
        <f aca="false">G472*H472*(1-J472)</f>
        <v>202.4325</v>
      </c>
      <c r="L472" s="4" t="n">
        <f aca="false">G472*I472</f>
        <v>117</v>
      </c>
      <c r="M472" s="4" t="n">
        <f aca="false">K472-L472</f>
        <v>85.4325</v>
      </c>
      <c r="N472" s="6" t="n">
        <f aca="false">IF(K472=0,0,M472/K472)</f>
        <v>0.422029565410692</v>
      </c>
      <c r="O472" s="4" t="n">
        <f aca="false">(G472*H472)-K472</f>
        <v>67.4775</v>
      </c>
      <c r="P472" s="3" t="s">
        <v>21</v>
      </c>
    </row>
    <row r="473" customFormat="false" ht="15" hidden="false" customHeight="false" outlineLevel="0" collapsed="false">
      <c r="A473" s="7" t="n">
        <v>46107</v>
      </c>
      <c r="B473" s="8" t="s">
        <v>64</v>
      </c>
      <c r="C473" s="8" t="s">
        <v>65</v>
      </c>
      <c r="D473" s="8" t="s">
        <v>51</v>
      </c>
      <c r="E473" s="8" t="s">
        <v>52</v>
      </c>
      <c r="F473" s="8" t="s">
        <v>50</v>
      </c>
      <c r="G473" s="8" t="n">
        <v>14</v>
      </c>
      <c r="H473" s="9" t="n">
        <v>19.99</v>
      </c>
      <c r="I473" s="9" t="n">
        <v>7</v>
      </c>
      <c r="J473" s="10" t="n">
        <v>0.1</v>
      </c>
      <c r="K473" s="9" t="n">
        <f aca="false">G473*H473*(1-J473)</f>
        <v>251.874</v>
      </c>
      <c r="L473" s="9" t="n">
        <f aca="false">G473*I473</f>
        <v>98</v>
      </c>
      <c r="M473" s="9" t="n">
        <f aca="false">K473-L473</f>
        <v>153.874</v>
      </c>
      <c r="N473" s="11" t="n">
        <f aca="false">IF(K473=0,0,M473/K473)</f>
        <v>0.610916569395809</v>
      </c>
      <c r="O473" s="9" t="n">
        <f aca="false">(G473*H473)-K473</f>
        <v>27.986</v>
      </c>
      <c r="P473" s="8" t="s">
        <v>21</v>
      </c>
    </row>
    <row r="474" customFormat="false" ht="15" hidden="false" customHeight="false" outlineLevel="0" collapsed="false">
      <c r="A474" s="2" t="n">
        <v>46035</v>
      </c>
      <c r="B474" s="3" t="s">
        <v>64</v>
      </c>
      <c r="C474" s="3" t="s">
        <v>65</v>
      </c>
      <c r="D474" s="3" t="s">
        <v>48</v>
      </c>
      <c r="E474" s="3" t="s">
        <v>49</v>
      </c>
      <c r="F474" s="3" t="s">
        <v>50</v>
      </c>
      <c r="G474" s="3" t="n">
        <v>23</v>
      </c>
      <c r="H474" s="4" t="n">
        <v>54.99</v>
      </c>
      <c r="I474" s="4" t="n">
        <v>20</v>
      </c>
      <c r="J474" s="5" t="n">
        <v>0.15</v>
      </c>
      <c r="K474" s="4" t="n">
        <f aca="false">G474*H474*(1-J474)</f>
        <v>1075.0545</v>
      </c>
      <c r="L474" s="4" t="n">
        <f aca="false">G474*I474</f>
        <v>460</v>
      </c>
      <c r="M474" s="4" t="n">
        <f aca="false">K474-L474</f>
        <v>615.0545</v>
      </c>
      <c r="N474" s="6" t="n">
        <f aca="false">IF(K474=0,0,M474/K474)</f>
        <v>0.572114716044628</v>
      </c>
      <c r="O474" s="4" t="n">
        <f aca="false">(G474*H474)-K474</f>
        <v>189.7155</v>
      </c>
      <c r="P474" s="3" t="s">
        <v>21</v>
      </c>
    </row>
    <row r="475" customFormat="false" ht="15" hidden="false" customHeight="false" outlineLevel="0" collapsed="false">
      <c r="A475" s="7" t="n">
        <v>46091</v>
      </c>
      <c r="B475" s="8" t="s">
        <v>16</v>
      </c>
      <c r="C475" s="8" t="s">
        <v>17</v>
      </c>
      <c r="D475" s="8" t="s">
        <v>48</v>
      </c>
      <c r="E475" s="8" t="s">
        <v>49</v>
      </c>
      <c r="F475" s="8" t="s">
        <v>50</v>
      </c>
      <c r="G475" s="8" t="n">
        <v>23</v>
      </c>
      <c r="H475" s="9" t="n">
        <v>54.99</v>
      </c>
      <c r="I475" s="9" t="n">
        <v>20</v>
      </c>
      <c r="J475" s="10" t="n">
        <v>0.05</v>
      </c>
      <c r="K475" s="9" t="n">
        <f aca="false">G475*H475*(1-J475)</f>
        <v>1201.5315</v>
      </c>
      <c r="L475" s="9" t="n">
        <f aca="false">G475*I475</f>
        <v>460</v>
      </c>
      <c r="M475" s="9" t="n">
        <f aca="false">K475-L475</f>
        <v>741.5315</v>
      </c>
      <c r="N475" s="11" t="n">
        <f aca="false">IF(K475=0,0,M475/K475)</f>
        <v>0.617155272250457</v>
      </c>
      <c r="O475" s="9" t="n">
        <f aca="false">(G475*H475)-K475</f>
        <v>63.2385000000002</v>
      </c>
      <c r="P475" s="8" t="s">
        <v>21</v>
      </c>
    </row>
    <row r="476" customFormat="false" ht="15" hidden="false" customHeight="false" outlineLevel="0" collapsed="false">
      <c r="A476" s="2" t="n">
        <v>46111</v>
      </c>
      <c r="B476" s="3" t="s">
        <v>41</v>
      </c>
      <c r="C476" s="3" t="s">
        <v>28</v>
      </c>
      <c r="D476" s="3" t="s">
        <v>95</v>
      </c>
      <c r="E476" s="3" t="s">
        <v>96</v>
      </c>
      <c r="F476" s="3" t="s">
        <v>50</v>
      </c>
      <c r="G476" s="3" t="n">
        <v>12</v>
      </c>
      <c r="H476" s="4" t="n">
        <v>34.99</v>
      </c>
      <c r="I476" s="4" t="n">
        <v>12</v>
      </c>
      <c r="J476" s="5" t="n">
        <v>0</v>
      </c>
      <c r="K476" s="4" t="n">
        <f aca="false">G476*H476*(1-J476)</f>
        <v>419.88</v>
      </c>
      <c r="L476" s="4" t="n">
        <f aca="false">G476*I476</f>
        <v>144</v>
      </c>
      <c r="M476" s="4" t="n">
        <f aca="false">K476-L476</f>
        <v>275.88</v>
      </c>
      <c r="N476" s="6" t="n">
        <f aca="false">IF(K476=0,0,M476/K476)</f>
        <v>0.657044869962847</v>
      </c>
      <c r="O476" s="4" t="n">
        <f aca="false">(G476*H476)-K476</f>
        <v>0</v>
      </c>
      <c r="P476" s="3" t="s">
        <v>21</v>
      </c>
    </row>
    <row r="477" customFormat="false" ht="15" hidden="false" customHeight="false" outlineLevel="0" collapsed="false">
      <c r="A477" s="7" t="n">
        <v>46048</v>
      </c>
      <c r="B477" s="8" t="s">
        <v>31</v>
      </c>
      <c r="C477" s="8" t="s">
        <v>23</v>
      </c>
      <c r="D477" s="8" t="s">
        <v>80</v>
      </c>
      <c r="E477" s="8" t="s">
        <v>81</v>
      </c>
      <c r="F477" s="8" t="s">
        <v>57</v>
      </c>
      <c r="G477" s="8" t="n">
        <v>5</v>
      </c>
      <c r="H477" s="9" t="n">
        <v>17.99</v>
      </c>
      <c r="I477" s="9" t="n">
        <v>6.5</v>
      </c>
      <c r="J477" s="10" t="n">
        <v>0</v>
      </c>
      <c r="K477" s="9" t="n">
        <f aca="false">G477*H477*(1-J477)</f>
        <v>89.95</v>
      </c>
      <c r="L477" s="9" t="n">
        <f aca="false">G477*I477</f>
        <v>32.5</v>
      </c>
      <c r="M477" s="9" t="n">
        <f aca="false">K477-L477</f>
        <v>57.45</v>
      </c>
      <c r="N477" s="11" t="n">
        <f aca="false">IF(K477=0,0,M477/K477)</f>
        <v>0.638688160088938</v>
      </c>
      <c r="O477" s="9" t="n">
        <f aca="false">(G477*H477)-K477</f>
        <v>0</v>
      </c>
      <c r="P477" s="8" t="s">
        <v>21</v>
      </c>
    </row>
    <row r="478" customFormat="false" ht="15" hidden="false" customHeight="false" outlineLevel="0" collapsed="false">
      <c r="A478" s="2" t="n">
        <v>46039</v>
      </c>
      <c r="B478" s="3" t="s">
        <v>31</v>
      </c>
      <c r="C478" s="3" t="s">
        <v>23</v>
      </c>
      <c r="D478" s="3" t="s">
        <v>86</v>
      </c>
      <c r="E478" s="3" t="s">
        <v>87</v>
      </c>
      <c r="F478" s="3" t="s">
        <v>40</v>
      </c>
      <c r="G478" s="3" t="n">
        <v>25</v>
      </c>
      <c r="H478" s="4" t="n">
        <v>16.99</v>
      </c>
      <c r="I478" s="4" t="n">
        <v>5.5</v>
      </c>
      <c r="J478" s="5" t="n">
        <v>0.3</v>
      </c>
      <c r="K478" s="4" t="n">
        <f aca="false">G478*H478*(1-J478)</f>
        <v>297.325</v>
      </c>
      <c r="L478" s="4" t="n">
        <f aca="false">G478*I478</f>
        <v>137.5</v>
      </c>
      <c r="M478" s="4" t="n">
        <f aca="false">K478-L478</f>
        <v>159.825</v>
      </c>
      <c r="N478" s="6" t="n">
        <f aca="false">IF(K478=0,0,M478/K478)</f>
        <v>0.537543092575464</v>
      </c>
      <c r="O478" s="4" t="n">
        <f aca="false">(G478*H478)-K478</f>
        <v>127.425</v>
      </c>
      <c r="P478" s="3" t="s">
        <v>21</v>
      </c>
    </row>
    <row r="479" customFormat="false" ht="15" hidden="false" customHeight="false" outlineLevel="0" collapsed="false">
      <c r="A479" s="7" t="n">
        <v>46125</v>
      </c>
      <c r="B479" s="8" t="s">
        <v>31</v>
      </c>
      <c r="C479" s="8" t="s">
        <v>23</v>
      </c>
      <c r="D479" s="8" t="s">
        <v>90</v>
      </c>
      <c r="E479" s="8" t="s">
        <v>91</v>
      </c>
      <c r="F479" s="8" t="s">
        <v>26</v>
      </c>
      <c r="G479" s="8" t="n">
        <v>1</v>
      </c>
      <c r="H479" s="9" t="n">
        <v>24.99</v>
      </c>
      <c r="I479" s="9" t="n">
        <v>11</v>
      </c>
      <c r="J479" s="10" t="n">
        <v>0.1</v>
      </c>
      <c r="K479" s="9" t="n">
        <f aca="false">G479*H479*(1-J479)</f>
        <v>22.491</v>
      </c>
      <c r="L479" s="9" t="n">
        <f aca="false">G479*I479</f>
        <v>11</v>
      </c>
      <c r="M479" s="9" t="n">
        <f aca="false">K479-L479</f>
        <v>11.491</v>
      </c>
      <c r="N479" s="11" t="n">
        <f aca="false">IF(K479=0,0,M479/K479)</f>
        <v>0.510915477302032</v>
      </c>
      <c r="O479" s="9" t="n">
        <f aca="false">(G479*H479)-K479</f>
        <v>2.499</v>
      </c>
      <c r="P479" s="8" t="s">
        <v>21</v>
      </c>
    </row>
    <row r="480" customFormat="false" ht="15" hidden="false" customHeight="false" outlineLevel="0" collapsed="false">
      <c r="A480" s="2" t="n">
        <v>46083</v>
      </c>
      <c r="B480" s="3" t="s">
        <v>41</v>
      </c>
      <c r="C480" s="3" t="s">
        <v>28</v>
      </c>
      <c r="D480" s="3" t="s">
        <v>51</v>
      </c>
      <c r="E480" s="3" t="s">
        <v>52</v>
      </c>
      <c r="F480" s="3" t="s">
        <v>50</v>
      </c>
      <c r="G480" s="3" t="n">
        <v>7</v>
      </c>
      <c r="H480" s="4" t="n">
        <v>19.99</v>
      </c>
      <c r="I480" s="4" t="n">
        <v>7</v>
      </c>
      <c r="J480" s="5" t="n">
        <v>0.25</v>
      </c>
      <c r="K480" s="4" t="n">
        <f aca="false">G480*H480*(1-J480)</f>
        <v>104.9475</v>
      </c>
      <c r="L480" s="4" t="n">
        <f aca="false">G480*I480</f>
        <v>49</v>
      </c>
      <c r="M480" s="4" t="n">
        <f aca="false">K480-L480</f>
        <v>55.9475</v>
      </c>
      <c r="N480" s="6" t="n">
        <f aca="false">IF(K480=0,0,M480/K480)</f>
        <v>0.533099883274971</v>
      </c>
      <c r="O480" s="4" t="n">
        <f aca="false">(G480*H480)-K480</f>
        <v>34.9825</v>
      </c>
      <c r="P480" s="3" t="s">
        <v>21</v>
      </c>
    </row>
    <row r="481" customFormat="false" ht="15" hidden="false" customHeight="false" outlineLevel="0" collapsed="false">
      <c r="A481" s="7" t="n">
        <v>46087</v>
      </c>
      <c r="B481" s="8" t="s">
        <v>22</v>
      </c>
      <c r="C481" s="8" t="s">
        <v>23</v>
      </c>
      <c r="D481" s="8" t="s">
        <v>68</v>
      </c>
      <c r="E481" s="8" t="s">
        <v>69</v>
      </c>
      <c r="F481" s="8" t="s">
        <v>40</v>
      </c>
      <c r="G481" s="8" t="n">
        <v>21</v>
      </c>
      <c r="H481" s="9" t="n">
        <v>24.99</v>
      </c>
      <c r="I481" s="9" t="n">
        <v>9</v>
      </c>
      <c r="J481" s="10" t="n">
        <v>0.05</v>
      </c>
      <c r="K481" s="9" t="n">
        <f aca="false">G481*H481*(1-J481)</f>
        <v>498.5505</v>
      </c>
      <c r="L481" s="9" t="n">
        <f aca="false">G481*I481</f>
        <v>189</v>
      </c>
      <c r="M481" s="9" t="n">
        <f aca="false">K481-L481</f>
        <v>309.5505</v>
      </c>
      <c r="N481" s="11" t="n">
        <f aca="false">IF(K481=0,0,M481/K481)</f>
        <v>0.620900991975738</v>
      </c>
      <c r="O481" s="9" t="n">
        <f aca="false">(G481*H481)-K481</f>
        <v>26.2395</v>
      </c>
      <c r="P481" s="8" t="s">
        <v>21</v>
      </c>
    </row>
    <row r="482" customFormat="false" ht="15" hidden="false" customHeight="false" outlineLevel="0" collapsed="false">
      <c r="A482" s="2" t="n">
        <v>46087</v>
      </c>
      <c r="B482" s="3" t="s">
        <v>58</v>
      </c>
      <c r="C482" s="3" t="s">
        <v>58</v>
      </c>
      <c r="D482" s="3" t="s">
        <v>68</v>
      </c>
      <c r="E482" s="3" t="s">
        <v>69</v>
      </c>
      <c r="F482" s="3" t="s">
        <v>40</v>
      </c>
      <c r="G482" s="3" t="n">
        <v>16</v>
      </c>
      <c r="H482" s="4" t="n">
        <v>24.99</v>
      </c>
      <c r="I482" s="4" t="n">
        <v>9</v>
      </c>
      <c r="J482" s="5" t="n">
        <v>0</v>
      </c>
      <c r="K482" s="4" t="n">
        <f aca="false">G482*H482*(1-J482)</f>
        <v>399.84</v>
      </c>
      <c r="L482" s="4" t="n">
        <f aca="false">G482*I482</f>
        <v>144</v>
      </c>
      <c r="M482" s="4" t="n">
        <f aca="false">K482-L482</f>
        <v>255.84</v>
      </c>
      <c r="N482" s="6" t="n">
        <f aca="false">IF(K482=0,0,M482/K482)</f>
        <v>0.639855942376951</v>
      </c>
      <c r="O482" s="4" t="n">
        <f aca="false">(G482*H482)-K482</f>
        <v>0</v>
      </c>
      <c r="P482" s="3" t="s">
        <v>21</v>
      </c>
    </row>
    <row r="483" customFormat="false" ht="15" hidden="false" customHeight="false" outlineLevel="0" collapsed="false">
      <c r="A483" s="7" t="n">
        <v>46090</v>
      </c>
      <c r="B483" s="8" t="s">
        <v>37</v>
      </c>
      <c r="C483" s="8" t="s">
        <v>17</v>
      </c>
      <c r="D483" s="8" t="s">
        <v>76</v>
      </c>
      <c r="E483" s="8" t="s">
        <v>77</v>
      </c>
      <c r="F483" s="8" t="s">
        <v>34</v>
      </c>
      <c r="G483" s="8" t="n">
        <v>28</v>
      </c>
      <c r="H483" s="9" t="n">
        <v>49.99</v>
      </c>
      <c r="I483" s="9" t="n">
        <v>14</v>
      </c>
      <c r="J483" s="10" t="n">
        <v>0.1</v>
      </c>
      <c r="K483" s="9" t="n">
        <f aca="false">G483*H483*(1-J483)</f>
        <v>1259.748</v>
      </c>
      <c r="L483" s="9" t="n">
        <f aca="false">G483*I483</f>
        <v>392</v>
      </c>
      <c r="M483" s="9" t="n">
        <f aca="false">K483-L483</f>
        <v>867.748</v>
      </c>
      <c r="N483" s="11" t="n">
        <f aca="false">IF(K483=0,0,M483/K483)</f>
        <v>0.688826654219733</v>
      </c>
      <c r="O483" s="9" t="n">
        <f aca="false">(G483*H483)-K483</f>
        <v>139.972</v>
      </c>
      <c r="P483" s="8" t="s">
        <v>21</v>
      </c>
    </row>
    <row r="484" customFormat="false" ht="15" hidden="false" customHeight="false" outlineLevel="0" collapsed="false">
      <c r="A484" s="2" t="n">
        <v>46067</v>
      </c>
      <c r="B484" s="3" t="s">
        <v>64</v>
      </c>
      <c r="C484" s="3" t="s">
        <v>65</v>
      </c>
      <c r="D484" s="3" t="s">
        <v>35</v>
      </c>
      <c r="E484" s="3" t="s">
        <v>36</v>
      </c>
      <c r="F484" s="3" t="s">
        <v>26</v>
      </c>
      <c r="G484" s="3" t="n">
        <v>13</v>
      </c>
      <c r="H484" s="4" t="n">
        <v>69.99</v>
      </c>
      <c r="I484" s="4" t="n">
        <v>30</v>
      </c>
      <c r="J484" s="5" t="n">
        <v>0.3</v>
      </c>
      <c r="K484" s="4" t="n">
        <f aca="false">G484*H484*(1-J484)</f>
        <v>636.909</v>
      </c>
      <c r="L484" s="4" t="n">
        <f aca="false">G484*I484</f>
        <v>390</v>
      </c>
      <c r="M484" s="4" t="n">
        <f aca="false">K484-L484</f>
        <v>246.909</v>
      </c>
      <c r="N484" s="6" t="n">
        <f aca="false">IF(K484=0,0,M484/K484)</f>
        <v>0.387667625987386</v>
      </c>
      <c r="O484" s="4" t="n">
        <f aca="false">(G484*H484)-K484</f>
        <v>272.961</v>
      </c>
      <c r="P484" s="3" t="s">
        <v>21</v>
      </c>
    </row>
    <row r="485" customFormat="false" ht="15" hidden="false" customHeight="false" outlineLevel="0" collapsed="false">
      <c r="A485" s="7" t="n">
        <v>46071</v>
      </c>
      <c r="B485" s="8" t="s">
        <v>41</v>
      </c>
      <c r="C485" s="8" t="s">
        <v>28</v>
      </c>
      <c r="D485" s="8" t="s">
        <v>55</v>
      </c>
      <c r="E485" s="8" t="s">
        <v>56</v>
      </c>
      <c r="F485" s="8" t="s">
        <v>57</v>
      </c>
      <c r="G485" s="8" t="n">
        <v>22</v>
      </c>
      <c r="H485" s="9" t="n">
        <v>29.99</v>
      </c>
      <c r="I485" s="9" t="n">
        <v>11</v>
      </c>
      <c r="J485" s="10" t="n">
        <v>0</v>
      </c>
      <c r="K485" s="9" t="n">
        <f aca="false">G485*H485*(1-J485)</f>
        <v>659.78</v>
      </c>
      <c r="L485" s="9" t="n">
        <f aca="false">G485*I485</f>
        <v>242</v>
      </c>
      <c r="M485" s="9" t="n">
        <f aca="false">K485-L485</f>
        <v>417.78</v>
      </c>
      <c r="N485" s="11" t="n">
        <f aca="false">IF(K485=0,0,M485/K485)</f>
        <v>0.633211070356786</v>
      </c>
      <c r="O485" s="9" t="n">
        <f aca="false">(G485*H485)-K485</f>
        <v>0</v>
      </c>
      <c r="P485" s="8" t="s">
        <v>21</v>
      </c>
    </row>
    <row r="486" customFormat="false" ht="15" hidden="false" customHeight="false" outlineLevel="0" collapsed="false">
      <c r="A486" s="2" t="n">
        <v>46080</v>
      </c>
      <c r="B486" s="3" t="s">
        <v>27</v>
      </c>
      <c r="C486" s="3" t="s">
        <v>28</v>
      </c>
      <c r="D486" s="3" t="s">
        <v>51</v>
      </c>
      <c r="E486" s="3" t="s">
        <v>52</v>
      </c>
      <c r="F486" s="3" t="s">
        <v>50</v>
      </c>
      <c r="G486" s="3" t="n">
        <v>28</v>
      </c>
      <c r="H486" s="4" t="n">
        <v>19.99</v>
      </c>
      <c r="I486" s="4" t="n">
        <v>7</v>
      </c>
      <c r="J486" s="5" t="n">
        <v>0</v>
      </c>
      <c r="K486" s="4" t="n">
        <f aca="false">G486*H486*(1-J486)</f>
        <v>559.72</v>
      </c>
      <c r="L486" s="4" t="n">
        <f aca="false">G486*I486</f>
        <v>196</v>
      </c>
      <c r="M486" s="4" t="n">
        <f aca="false">K486-L486</f>
        <v>363.72</v>
      </c>
      <c r="N486" s="6" t="n">
        <f aca="false">IF(K486=0,0,M486/K486)</f>
        <v>0.649824912456228</v>
      </c>
      <c r="O486" s="4" t="n">
        <f aca="false">(G486*H486)-K486</f>
        <v>0</v>
      </c>
      <c r="P486" s="3" t="s">
        <v>21</v>
      </c>
    </row>
    <row r="487" customFormat="false" ht="15" hidden="false" customHeight="false" outlineLevel="0" collapsed="false">
      <c r="A487" s="7" t="n">
        <v>46046</v>
      </c>
      <c r="B487" s="8" t="s">
        <v>22</v>
      </c>
      <c r="C487" s="8" t="s">
        <v>23</v>
      </c>
      <c r="D487" s="8" t="s">
        <v>55</v>
      </c>
      <c r="E487" s="8" t="s">
        <v>56</v>
      </c>
      <c r="F487" s="8" t="s">
        <v>57</v>
      </c>
      <c r="G487" s="8" t="n">
        <v>12</v>
      </c>
      <c r="H487" s="9" t="n">
        <v>29.99</v>
      </c>
      <c r="I487" s="9" t="n">
        <v>11</v>
      </c>
      <c r="J487" s="10" t="n">
        <v>0</v>
      </c>
      <c r="K487" s="9" t="n">
        <f aca="false">G487*H487*(1-J487)</f>
        <v>359.88</v>
      </c>
      <c r="L487" s="9" t="n">
        <f aca="false">G487*I487</f>
        <v>132</v>
      </c>
      <c r="M487" s="9" t="n">
        <f aca="false">K487-L487</f>
        <v>227.88</v>
      </c>
      <c r="N487" s="11" t="n">
        <f aca="false">IF(K487=0,0,M487/K487)</f>
        <v>0.633211070356786</v>
      </c>
      <c r="O487" s="9" t="n">
        <f aca="false">(G487*H487)-K487</f>
        <v>0</v>
      </c>
      <c r="P487" s="8" t="s">
        <v>21</v>
      </c>
    </row>
    <row r="488" customFormat="false" ht="15" hidden="false" customHeight="false" outlineLevel="0" collapsed="false">
      <c r="A488" s="2" t="n">
        <v>46050</v>
      </c>
      <c r="B488" s="3" t="s">
        <v>22</v>
      </c>
      <c r="C488" s="3" t="s">
        <v>23</v>
      </c>
      <c r="D488" s="3" t="s">
        <v>38</v>
      </c>
      <c r="E488" s="3" t="s">
        <v>39</v>
      </c>
      <c r="F488" s="3" t="s">
        <v>40</v>
      </c>
      <c r="G488" s="3" t="n">
        <v>15</v>
      </c>
      <c r="H488" s="4" t="n">
        <v>12.99</v>
      </c>
      <c r="I488" s="4" t="n">
        <v>4</v>
      </c>
      <c r="J488" s="5" t="n">
        <v>0.05</v>
      </c>
      <c r="K488" s="4" t="n">
        <f aca="false">G488*H488*(1-J488)</f>
        <v>185.1075</v>
      </c>
      <c r="L488" s="4" t="n">
        <f aca="false">G488*I488</f>
        <v>60</v>
      </c>
      <c r="M488" s="4" t="n">
        <f aca="false">K488-L488</f>
        <v>125.1075</v>
      </c>
      <c r="N488" s="6" t="n">
        <f aca="false">IF(K488=0,0,M488/K488)</f>
        <v>0.67586402495847</v>
      </c>
      <c r="O488" s="4" t="n">
        <f aca="false">(G488*H488)-K488</f>
        <v>9.74250000000001</v>
      </c>
      <c r="P488" s="3" t="s">
        <v>21</v>
      </c>
    </row>
    <row r="489" customFormat="false" ht="15" hidden="false" customHeight="false" outlineLevel="0" collapsed="false">
      <c r="A489" s="7" t="n">
        <v>46023</v>
      </c>
      <c r="B489" s="8" t="s">
        <v>27</v>
      </c>
      <c r="C489" s="8" t="s">
        <v>28</v>
      </c>
      <c r="D489" s="8" t="s">
        <v>55</v>
      </c>
      <c r="E489" s="8" t="s">
        <v>56</v>
      </c>
      <c r="F489" s="8" t="s">
        <v>57</v>
      </c>
      <c r="G489" s="8" t="n">
        <v>25</v>
      </c>
      <c r="H489" s="9" t="n">
        <v>29.99</v>
      </c>
      <c r="I489" s="9" t="n">
        <v>11</v>
      </c>
      <c r="J489" s="10" t="n">
        <v>0</v>
      </c>
      <c r="K489" s="9" t="n">
        <f aca="false">G489*H489*(1-J489)</f>
        <v>749.75</v>
      </c>
      <c r="L489" s="9" t="n">
        <f aca="false">G489*I489</f>
        <v>275</v>
      </c>
      <c r="M489" s="9" t="n">
        <f aca="false">K489-L489</f>
        <v>474.75</v>
      </c>
      <c r="N489" s="11" t="n">
        <f aca="false">IF(K489=0,0,M489/K489)</f>
        <v>0.633211070356786</v>
      </c>
      <c r="O489" s="9" t="n">
        <f aca="false">(G489*H489)-K489</f>
        <v>0</v>
      </c>
      <c r="P489" s="8" t="s">
        <v>21</v>
      </c>
    </row>
    <row r="490" customFormat="false" ht="15" hidden="false" customHeight="false" outlineLevel="0" collapsed="false">
      <c r="A490" s="2" t="n">
        <v>46041</v>
      </c>
      <c r="B490" s="3" t="s">
        <v>22</v>
      </c>
      <c r="C490" s="3" t="s">
        <v>23</v>
      </c>
      <c r="D490" s="3" t="s">
        <v>78</v>
      </c>
      <c r="E490" s="3" t="s">
        <v>79</v>
      </c>
      <c r="F490" s="3" t="s">
        <v>20</v>
      </c>
      <c r="G490" s="3" t="n">
        <v>1</v>
      </c>
      <c r="H490" s="4" t="n">
        <v>39.99</v>
      </c>
      <c r="I490" s="4" t="n">
        <v>16</v>
      </c>
      <c r="J490" s="5" t="n">
        <v>0.25</v>
      </c>
      <c r="K490" s="4" t="n">
        <f aca="false">G490*H490*(1-J490)</f>
        <v>29.9925</v>
      </c>
      <c r="L490" s="4" t="n">
        <f aca="false">G490*I490</f>
        <v>16</v>
      </c>
      <c r="M490" s="4" t="n">
        <f aca="false">K490-L490</f>
        <v>13.9925</v>
      </c>
      <c r="N490" s="6" t="n">
        <f aca="false">IF(K490=0,0,M490/K490)</f>
        <v>0.466533299991665</v>
      </c>
      <c r="O490" s="4" t="n">
        <f aca="false">(G490*H490)-K490</f>
        <v>9.9975</v>
      </c>
      <c r="P490" s="3" t="s">
        <v>21</v>
      </c>
    </row>
    <row r="491" customFormat="false" ht="15" hidden="false" customHeight="false" outlineLevel="0" collapsed="false">
      <c r="A491" s="7" t="n">
        <v>46087</v>
      </c>
      <c r="B491" s="8" t="s">
        <v>64</v>
      </c>
      <c r="C491" s="8" t="s">
        <v>65</v>
      </c>
      <c r="D491" s="8" t="s">
        <v>42</v>
      </c>
      <c r="E491" s="8" t="s">
        <v>43</v>
      </c>
      <c r="F491" s="8" t="s">
        <v>34</v>
      </c>
      <c r="G491" s="8" t="n">
        <v>23</v>
      </c>
      <c r="H491" s="9" t="n">
        <v>11.99</v>
      </c>
      <c r="I491" s="9" t="n">
        <v>3.5</v>
      </c>
      <c r="J491" s="10" t="n">
        <v>0</v>
      </c>
      <c r="K491" s="9" t="n">
        <f aca="false">G491*H491*(1-J491)</f>
        <v>275.77</v>
      </c>
      <c r="L491" s="9" t="n">
        <f aca="false">G491*I491</f>
        <v>80.5</v>
      </c>
      <c r="M491" s="9" t="n">
        <f aca="false">K491-L491</f>
        <v>195.27</v>
      </c>
      <c r="N491" s="11" t="n">
        <f aca="false">IF(K491=0,0,M491/K491)</f>
        <v>0.708090075062552</v>
      </c>
      <c r="O491" s="9" t="n">
        <f aca="false">(G491*H491)-K491</f>
        <v>0</v>
      </c>
      <c r="P491" s="8" t="s">
        <v>21</v>
      </c>
    </row>
    <row r="492" customFormat="false" ht="15" hidden="false" customHeight="false" outlineLevel="0" collapsed="false">
      <c r="A492" s="2" t="n">
        <v>46065</v>
      </c>
      <c r="B492" s="3" t="s">
        <v>58</v>
      </c>
      <c r="C492" s="3" t="s">
        <v>58</v>
      </c>
      <c r="D492" s="3" t="s">
        <v>72</v>
      </c>
      <c r="E492" s="3" t="s">
        <v>73</v>
      </c>
      <c r="F492" s="3" t="s">
        <v>57</v>
      </c>
      <c r="G492" s="3" t="n">
        <v>5</v>
      </c>
      <c r="H492" s="4" t="n">
        <v>19.99</v>
      </c>
      <c r="I492" s="4" t="n">
        <v>7</v>
      </c>
      <c r="J492" s="5" t="n">
        <v>0</v>
      </c>
      <c r="K492" s="4" t="n">
        <f aca="false">G492*H492*(1-J492)</f>
        <v>99.95</v>
      </c>
      <c r="L492" s="4" t="n">
        <f aca="false">G492*I492</f>
        <v>35</v>
      </c>
      <c r="M492" s="4" t="n">
        <f aca="false">K492-L492</f>
        <v>64.95</v>
      </c>
      <c r="N492" s="6" t="n">
        <f aca="false">IF(K492=0,0,M492/K492)</f>
        <v>0.649824912456228</v>
      </c>
      <c r="O492" s="4" t="n">
        <f aca="false">(G492*H492)-K492</f>
        <v>0</v>
      </c>
      <c r="P492" s="3" t="s">
        <v>21</v>
      </c>
    </row>
    <row r="493" customFormat="false" ht="15" hidden="false" customHeight="false" outlineLevel="0" collapsed="false">
      <c r="A493" s="7" t="n">
        <v>46080</v>
      </c>
      <c r="B493" s="8" t="s">
        <v>22</v>
      </c>
      <c r="C493" s="8" t="s">
        <v>23</v>
      </c>
      <c r="D493" s="8" t="s">
        <v>82</v>
      </c>
      <c r="E493" s="8" t="s">
        <v>83</v>
      </c>
      <c r="F493" s="8" t="s">
        <v>26</v>
      </c>
      <c r="G493" s="8" t="n">
        <v>14</v>
      </c>
      <c r="H493" s="9" t="n">
        <v>44.99</v>
      </c>
      <c r="I493" s="9" t="n">
        <v>18</v>
      </c>
      <c r="J493" s="10" t="n">
        <v>0.05</v>
      </c>
      <c r="K493" s="9" t="n">
        <f aca="false">G493*H493*(1-J493)</f>
        <v>598.367</v>
      </c>
      <c r="L493" s="9" t="n">
        <f aca="false">G493*I493</f>
        <v>252</v>
      </c>
      <c r="M493" s="9" t="n">
        <f aca="false">K493-L493</f>
        <v>346.367</v>
      </c>
      <c r="N493" s="11" t="n">
        <f aca="false">IF(K493=0,0,M493/K493)</f>
        <v>0.578853780372246</v>
      </c>
      <c r="O493" s="9" t="n">
        <f aca="false">(G493*H493)-K493</f>
        <v>31.4930000000001</v>
      </c>
      <c r="P493" s="8" t="s">
        <v>21</v>
      </c>
    </row>
    <row r="494" customFormat="false" ht="15" hidden="false" customHeight="false" outlineLevel="0" collapsed="false">
      <c r="A494" s="2" t="n">
        <v>46130</v>
      </c>
      <c r="B494" s="3" t="s">
        <v>16</v>
      </c>
      <c r="C494" s="3" t="s">
        <v>17</v>
      </c>
      <c r="D494" s="3" t="s">
        <v>66</v>
      </c>
      <c r="E494" s="3" t="s">
        <v>67</v>
      </c>
      <c r="F494" s="3" t="s">
        <v>57</v>
      </c>
      <c r="G494" s="3" t="n">
        <v>30</v>
      </c>
      <c r="H494" s="4" t="n">
        <v>14.99</v>
      </c>
      <c r="I494" s="4" t="n">
        <v>5.5</v>
      </c>
      <c r="J494" s="5" t="n">
        <v>0.15</v>
      </c>
      <c r="K494" s="4" t="n">
        <f aca="false">G494*H494*(1-J494)</f>
        <v>382.245</v>
      </c>
      <c r="L494" s="4" t="n">
        <f aca="false">G494*I494</f>
        <v>165</v>
      </c>
      <c r="M494" s="4" t="n">
        <f aca="false">K494-L494</f>
        <v>217.245</v>
      </c>
      <c r="N494" s="6" t="n">
        <f aca="false">IF(K494=0,0,M494/K494)</f>
        <v>0.568339677432014</v>
      </c>
      <c r="O494" s="4" t="n">
        <f aca="false">(G494*H494)-K494</f>
        <v>67.455</v>
      </c>
      <c r="P494" s="3" t="s">
        <v>21</v>
      </c>
    </row>
    <row r="495" customFormat="false" ht="15" hidden="false" customHeight="false" outlineLevel="0" collapsed="false">
      <c r="A495" s="7" t="n">
        <v>46088</v>
      </c>
      <c r="B495" s="8" t="s">
        <v>22</v>
      </c>
      <c r="C495" s="8" t="s">
        <v>23</v>
      </c>
      <c r="D495" s="8" t="s">
        <v>24</v>
      </c>
      <c r="E495" s="8" t="s">
        <v>25</v>
      </c>
      <c r="F495" s="8" t="s">
        <v>26</v>
      </c>
      <c r="G495" s="8" t="n">
        <v>18</v>
      </c>
      <c r="H495" s="9" t="n">
        <v>54.99</v>
      </c>
      <c r="I495" s="9" t="n">
        <v>24</v>
      </c>
      <c r="J495" s="10" t="n">
        <v>0.1</v>
      </c>
      <c r="K495" s="9" t="n">
        <f aca="false">G495*H495*(1-J495)</f>
        <v>890.838</v>
      </c>
      <c r="L495" s="9" t="n">
        <f aca="false">G495*I495</f>
        <v>432</v>
      </c>
      <c r="M495" s="9" t="n">
        <f aca="false">K495-L495</f>
        <v>458.838</v>
      </c>
      <c r="N495" s="11" t="n">
        <f aca="false">IF(K495=0,0,M495/K495)</f>
        <v>0.515063344850579</v>
      </c>
      <c r="O495" s="9" t="n">
        <f aca="false">(G495*H495)-K495</f>
        <v>98.982</v>
      </c>
      <c r="P495" s="8" t="s">
        <v>21</v>
      </c>
    </row>
    <row r="496" customFormat="false" ht="15" hidden="false" customHeight="false" outlineLevel="0" collapsed="false">
      <c r="A496" s="2" t="n">
        <v>46060</v>
      </c>
      <c r="B496" s="3" t="s">
        <v>27</v>
      </c>
      <c r="C496" s="3" t="s">
        <v>28</v>
      </c>
      <c r="D496" s="3" t="s">
        <v>68</v>
      </c>
      <c r="E496" s="3" t="s">
        <v>69</v>
      </c>
      <c r="F496" s="3" t="s">
        <v>40</v>
      </c>
      <c r="G496" s="3" t="n">
        <v>11</v>
      </c>
      <c r="H496" s="4" t="n">
        <v>24.99</v>
      </c>
      <c r="I496" s="4" t="n">
        <v>9</v>
      </c>
      <c r="J496" s="5" t="n">
        <v>0.1</v>
      </c>
      <c r="K496" s="4" t="n">
        <f aca="false">G496*H496*(1-J496)</f>
        <v>247.401</v>
      </c>
      <c r="L496" s="4" t="n">
        <f aca="false">G496*I496</f>
        <v>99</v>
      </c>
      <c r="M496" s="4" t="n">
        <f aca="false">K496-L496</f>
        <v>148.401</v>
      </c>
      <c r="N496" s="6" t="n">
        <f aca="false">IF(K496=0,0,M496/K496)</f>
        <v>0.59983993597439</v>
      </c>
      <c r="O496" s="4" t="n">
        <f aca="false">(G496*H496)-K496</f>
        <v>27.489</v>
      </c>
      <c r="P496" s="3" t="s">
        <v>21</v>
      </c>
    </row>
    <row r="497" customFormat="false" ht="15" hidden="false" customHeight="false" outlineLevel="0" collapsed="false">
      <c r="A497" s="7" t="n">
        <v>46059</v>
      </c>
      <c r="B497" s="8" t="s">
        <v>27</v>
      </c>
      <c r="C497" s="8" t="s">
        <v>28</v>
      </c>
      <c r="D497" s="8" t="s">
        <v>48</v>
      </c>
      <c r="E497" s="8" t="s">
        <v>49</v>
      </c>
      <c r="F497" s="8" t="s">
        <v>50</v>
      </c>
      <c r="G497" s="8" t="n">
        <v>3</v>
      </c>
      <c r="H497" s="9" t="n">
        <v>54.99</v>
      </c>
      <c r="I497" s="9" t="n">
        <v>20</v>
      </c>
      <c r="J497" s="10" t="n">
        <v>0.2</v>
      </c>
      <c r="K497" s="9" t="n">
        <f aca="false">G497*H497*(1-J497)</f>
        <v>131.976</v>
      </c>
      <c r="L497" s="9" t="n">
        <f aca="false">G497*I497</f>
        <v>60</v>
      </c>
      <c r="M497" s="9" t="n">
        <f aca="false">K497-L497</f>
        <v>71.976</v>
      </c>
      <c r="N497" s="11" t="n">
        <f aca="false">IF(K497=0,0,M497/K497)</f>
        <v>0.545371885797418</v>
      </c>
      <c r="O497" s="9" t="n">
        <f aca="false">(G497*H497)-K497</f>
        <v>32.994</v>
      </c>
      <c r="P497" s="8" t="s">
        <v>21</v>
      </c>
    </row>
    <row r="498" customFormat="false" ht="15" hidden="false" customHeight="false" outlineLevel="0" collapsed="false">
      <c r="A498" s="2" t="n">
        <v>46115</v>
      </c>
      <c r="B498" s="3" t="s">
        <v>22</v>
      </c>
      <c r="C498" s="3" t="s">
        <v>23</v>
      </c>
      <c r="D498" s="3" t="s">
        <v>66</v>
      </c>
      <c r="E498" s="3" t="s">
        <v>67</v>
      </c>
      <c r="F498" s="3" t="s">
        <v>57</v>
      </c>
      <c r="G498" s="3" t="n">
        <v>22</v>
      </c>
      <c r="H498" s="4" t="n">
        <v>14.99</v>
      </c>
      <c r="I498" s="4" t="n">
        <v>5.5</v>
      </c>
      <c r="J498" s="5" t="n">
        <v>0.15</v>
      </c>
      <c r="K498" s="4" t="n">
        <f aca="false">G498*H498*(1-J498)</f>
        <v>280.313</v>
      </c>
      <c r="L498" s="4" t="n">
        <f aca="false">G498*I498</f>
        <v>121</v>
      </c>
      <c r="M498" s="4" t="n">
        <f aca="false">K498-L498</f>
        <v>159.313</v>
      </c>
      <c r="N498" s="6" t="n">
        <f aca="false">IF(K498=0,0,M498/K498)</f>
        <v>0.568339677432014</v>
      </c>
      <c r="O498" s="4" t="n">
        <f aca="false">(G498*H498)-K498</f>
        <v>49.467</v>
      </c>
      <c r="P498" s="3" t="s">
        <v>21</v>
      </c>
    </row>
    <row r="499" customFormat="false" ht="15" hidden="false" customHeight="false" outlineLevel="0" collapsed="false">
      <c r="A499" s="7" t="n">
        <v>46094</v>
      </c>
      <c r="B499" s="8" t="s">
        <v>31</v>
      </c>
      <c r="C499" s="8" t="s">
        <v>23</v>
      </c>
      <c r="D499" s="8" t="s">
        <v>46</v>
      </c>
      <c r="E499" s="8" t="s">
        <v>47</v>
      </c>
      <c r="F499" s="8" t="s">
        <v>20</v>
      </c>
      <c r="G499" s="8" t="n">
        <v>3</v>
      </c>
      <c r="H499" s="9" t="n">
        <v>44.99</v>
      </c>
      <c r="I499" s="9" t="n">
        <v>18</v>
      </c>
      <c r="J499" s="10" t="n">
        <v>0</v>
      </c>
      <c r="K499" s="9" t="n">
        <f aca="false">G499*H499*(1-J499)</f>
        <v>134.97</v>
      </c>
      <c r="L499" s="9" t="n">
        <f aca="false">G499*I499</f>
        <v>54</v>
      </c>
      <c r="M499" s="9" t="n">
        <f aca="false">K499-L499</f>
        <v>80.97</v>
      </c>
      <c r="N499" s="11" t="n">
        <f aca="false">IF(K499=0,0,M499/K499)</f>
        <v>0.599911091353634</v>
      </c>
      <c r="O499" s="9" t="n">
        <f aca="false">(G499*H499)-K499</f>
        <v>0</v>
      </c>
      <c r="P499" s="8" t="s">
        <v>21</v>
      </c>
    </row>
    <row r="500" customFormat="false" ht="15" hidden="false" customHeight="false" outlineLevel="0" collapsed="false">
      <c r="A500" s="2" t="n">
        <v>46054</v>
      </c>
      <c r="B500" s="3" t="s">
        <v>31</v>
      </c>
      <c r="C500" s="3" t="s">
        <v>23</v>
      </c>
      <c r="D500" s="3" t="s">
        <v>66</v>
      </c>
      <c r="E500" s="3" t="s">
        <v>67</v>
      </c>
      <c r="F500" s="3" t="s">
        <v>57</v>
      </c>
      <c r="G500" s="3" t="n">
        <v>12</v>
      </c>
      <c r="H500" s="4" t="n">
        <v>14.99</v>
      </c>
      <c r="I500" s="4" t="n">
        <v>5.5</v>
      </c>
      <c r="J500" s="5" t="n">
        <v>0.1</v>
      </c>
      <c r="K500" s="4" t="n">
        <f aca="false">G500*H500*(1-J500)</f>
        <v>161.892</v>
      </c>
      <c r="L500" s="4" t="n">
        <f aca="false">G500*I500</f>
        <v>66</v>
      </c>
      <c r="M500" s="4" t="n">
        <f aca="false">K500-L500</f>
        <v>95.892</v>
      </c>
      <c r="N500" s="6" t="n">
        <f aca="false">IF(K500=0,0,M500/K500)</f>
        <v>0.592320806463568</v>
      </c>
      <c r="O500" s="4" t="n">
        <f aca="false">(G500*H500)-K500</f>
        <v>17.988</v>
      </c>
      <c r="P500" s="3" t="s">
        <v>21</v>
      </c>
    </row>
    <row r="501" customFormat="false" ht="15" hidden="false" customHeight="false" outlineLevel="0" collapsed="false">
      <c r="A501" s="7" t="n">
        <v>46111</v>
      </c>
      <c r="B501" s="8" t="s">
        <v>37</v>
      </c>
      <c r="C501" s="8" t="s">
        <v>17</v>
      </c>
      <c r="D501" s="8" t="s">
        <v>66</v>
      </c>
      <c r="E501" s="8" t="s">
        <v>67</v>
      </c>
      <c r="F501" s="8" t="s">
        <v>57</v>
      </c>
      <c r="G501" s="8" t="n">
        <v>11</v>
      </c>
      <c r="H501" s="9" t="n">
        <v>14.99</v>
      </c>
      <c r="I501" s="9" t="n">
        <v>5.5</v>
      </c>
      <c r="J501" s="10" t="n">
        <v>0</v>
      </c>
      <c r="K501" s="9" t="n">
        <f aca="false">G501*H501*(1-J501)</f>
        <v>164.89</v>
      </c>
      <c r="L501" s="9" t="n">
        <f aca="false">G501*I501</f>
        <v>60.5</v>
      </c>
      <c r="M501" s="9" t="n">
        <f aca="false">K501-L501</f>
        <v>104.39</v>
      </c>
      <c r="N501" s="11" t="n">
        <f aca="false">IF(K501=0,0,M501/K501)</f>
        <v>0.633088725817212</v>
      </c>
      <c r="O501" s="9" t="n">
        <f aca="false">(G501*H501)-K501</f>
        <v>0</v>
      </c>
      <c r="P501" s="8" t="s">
        <v>21</v>
      </c>
    </row>
    <row r="502" customFormat="false" ht="15" hidden="false" customHeight="false" outlineLevel="0" collapsed="false">
      <c r="A502" s="2" t="n">
        <v>46116</v>
      </c>
      <c r="B502" s="3" t="s">
        <v>16</v>
      </c>
      <c r="C502" s="3" t="s">
        <v>17</v>
      </c>
      <c r="D502" s="3" t="s">
        <v>59</v>
      </c>
      <c r="E502" s="3" t="s">
        <v>60</v>
      </c>
      <c r="F502" s="3" t="s">
        <v>50</v>
      </c>
      <c r="G502" s="3" t="n">
        <v>18</v>
      </c>
      <c r="H502" s="4" t="n">
        <v>24.99</v>
      </c>
      <c r="I502" s="4" t="n">
        <v>8.5</v>
      </c>
      <c r="J502" s="5" t="n">
        <v>0.1</v>
      </c>
      <c r="K502" s="4" t="n">
        <f aca="false">G502*H502*(1-J502)</f>
        <v>404.838</v>
      </c>
      <c r="L502" s="4" t="n">
        <f aca="false">G502*I502</f>
        <v>153</v>
      </c>
      <c r="M502" s="4" t="n">
        <f aca="false">K502-L502</f>
        <v>251.838</v>
      </c>
      <c r="N502" s="6" t="n">
        <f aca="false">IF(K502=0,0,M502/K502)</f>
        <v>0.622071050642479</v>
      </c>
      <c r="O502" s="4" t="n">
        <f aca="false">(G502*H502)-K502</f>
        <v>44.982</v>
      </c>
      <c r="P502" s="3" t="s">
        <v>21</v>
      </c>
    </row>
    <row r="503" customFormat="false" ht="15" hidden="false" customHeight="false" outlineLevel="0" collapsed="false">
      <c r="A503" s="7" t="n">
        <v>46108</v>
      </c>
      <c r="B503" s="8" t="s">
        <v>41</v>
      </c>
      <c r="C503" s="8" t="s">
        <v>28</v>
      </c>
      <c r="D503" s="8" t="s">
        <v>80</v>
      </c>
      <c r="E503" s="8" t="s">
        <v>81</v>
      </c>
      <c r="F503" s="8" t="s">
        <v>57</v>
      </c>
      <c r="G503" s="8" t="n">
        <v>11</v>
      </c>
      <c r="H503" s="9" t="n">
        <v>17.99</v>
      </c>
      <c r="I503" s="9" t="n">
        <v>6.5</v>
      </c>
      <c r="J503" s="10" t="n">
        <v>0.3</v>
      </c>
      <c r="K503" s="9" t="n">
        <f aca="false">G503*H503*(1-J503)</f>
        <v>138.523</v>
      </c>
      <c r="L503" s="9" t="n">
        <f aca="false">G503*I503</f>
        <v>71.5</v>
      </c>
      <c r="M503" s="9" t="n">
        <f aca="false">K503-L503</f>
        <v>67.023</v>
      </c>
      <c r="N503" s="11" t="n">
        <f aca="false">IF(K503=0,0,M503/K503)</f>
        <v>0.483840228698483</v>
      </c>
      <c r="O503" s="9" t="n">
        <f aca="false">(G503*H503)-K503</f>
        <v>59.367</v>
      </c>
      <c r="P503" s="8" t="s">
        <v>21</v>
      </c>
    </row>
    <row r="504" customFormat="false" ht="15" hidden="false" customHeight="false" outlineLevel="0" collapsed="false">
      <c r="A504" s="2" t="n">
        <v>46051</v>
      </c>
      <c r="B504" s="3" t="s">
        <v>22</v>
      </c>
      <c r="C504" s="3" t="s">
        <v>23</v>
      </c>
      <c r="D504" s="3" t="s">
        <v>66</v>
      </c>
      <c r="E504" s="3" t="s">
        <v>67</v>
      </c>
      <c r="F504" s="3" t="s">
        <v>57</v>
      </c>
      <c r="G504" s="3" t="n">
        <v>19</v>
      </c>
      <c r="H504" s="4" t="n">
        <v>14.99</v>
      </c>
      <c r="I504" s="4" t="n">
        <v>5.5</v>
      </c>
      <c r="J504" s="5" t="n">
        <v>0.15</v>
      </c>
      <c r="K504" s="4" t="n">
        <f aca="false">G504*H504*(1-J504)</f>
        <v>242.0885</v>
      </c>
      <c r="L504" s="4" t="n">
        <f aca="false">G504*I504</f>
        <v>104.5</v>
      </c>
      <c r="M504" s="4" t="n">
        <f aca="false">K504-L504</f>
        <v>137.5885</v>
      </c>
      <c r="N504" s="6" t="n">
        <f aca="false">IF(K504=0,0,M504/K504)</f>
        <v>0.568339677432013</v>
      </c>
      <c r="O504" s="4" t="n">
        <f aca="false">(G504*H504)-K504</f>
        <v>42.7215</v>
      </c>
      <c r="P504" s="3" t="s">
        <v>21</v>
      </c>
    </row>
    <row r="505" customFormat="false" ht="15" hidden="false" customHeight="false" outlineLevel="0" collapsed="false">
      <c r="A505" s="7" t="n">
        <v>46074</v>
      </c>
      <c r="B505" s="8" t="s">
        <v>31</v>
      </c>
      <c r="C505" s="8" t="s">
        <v>23</v>
      </c>
      <c r="D505" s="8" t="s">
        <v>29</v>
      </c>
      <c r="E505" s="8" t="s">
        <v>30</v>
      </c>
      <c r="F505" s="8" t="s">
        <v>20</v>
      </c>
      <c r="G505" s="8" t="n">
        <v>13</v>
      </c>
      <c r="H505" s="9" t="n">
        <v>89.99</v>
      </c>
      <c r="I505" s="9" t="n">
        <v>42</v>
      </c>
      <c r="J505" s="10" t="n">
        <v>0</v>
      </c>
      <c r="K505" s="9" t="n">
        <f aca="false">G505*H505*(1-J505)</f>
        <v>1169.87</v>
      </c>
      <c r="L505" s="9" t="n">
        <f aca="false">G505*I505</f>
        <v>546</v>
      </c>
      <c r="M505" s="9" t="n">
        <f aca="false">K505-L505</f>
        <v>623.87</v>
      </c>
      <c r="N505" s="11" t="n">
        <f aca="false">IF(K505=0,0,M505/K505)</f>
        <v>0.533281475719524</v>
      </c>
      <c r="O505" s="9" t="n">
        <f aca="false">(G505*H505)-K505</f>
        <v>0</v>
      </c>
      <c r="P505" s="8" t="s">
        <v>21</v>
      </c>
    </row>
    <row r="506" customFormat="false" ht="15" hidden="false" customHeight="false" outlineLevel="0" collapsed="false">
      <c r="A506" s="2" t="n">
        <v>46055</v>
      </c>
      <c r="B506" s="3" t="s">
        <v>41</v>
      </c>
      <c r="C506" s="3" t="s">
        <v>28</v>
      </c>
      <c r="D506" s="3" t="s">
        <v>46</v>
      </c>
      <c r="E506" s="3" t="s">
        <v>47</v>
      </c>
      <c r="F506" s="3" t="s">
        <v>20</v>
      </c>
      <c r="G506" s="3" t="n">
        <v>25</v>
      </c>
      <c r="H506" s="4" t="n">
        <v>44.99</v>
      </c>
      <c r="I506" s="4" t="n">
        <v>18</v>
      </c>
      <c r="J506" s="5" t="n">
        <v>0.1</v>
      </c>
      <c r="K506" s="4" t="n">
        <f aca="false">G506*H506*(1-J506)</f>
        <v>1012.275</v>
      </c>
      <c r="L506" s="4" t="n">
        <f aca="false">G506*I506</f>
        <v>450</v>
      </c>
      <c r="M506" s="4" t="n">
        <f aca="false">K506-L506</f>
        <v>562.275</v>
      </c>
      <c r="N506" s="6" t="n">
        <f aca="false">IF(K506=0,0,M506/K506)</f>
        <v>0.555456768170705</v>
      </c>
      <c r="O506" s="4" t="n">
        <f aca="false">(G506*H506)-K506</f>
        <v>112.475</v>
      </c>
      <c r="P506" s="3" t="s">
        <v>21</v>
      </c>
    </row>
    <row r="507" customFormat="false" ht="15" hidden="false" customHeight="false" outlineLevel="0" collapsed="false">
      <c r="A507" s="7" t="n">
        <v>46026</v>
      </c>
      <c r="B507" s="8" t="s">
        <v>22</v>
      </c>
      <c r="C507" s="8" t="s">
        <v>23</v>
      </c>
      <c r="D507" s="8" t="s">
        <v>93</v>
      </c>
      <c r="E507" s="8" t="s">
        <v>94</v>
      </c>
      <c r="F507" s="8" t="s">
        <v>34</v>
      </c>
      <c r="G507" s="8" t="n">
        <v>2</v>
      </c>
      <c r="H507" s="9" t="n">
        <v>29.99</v>
      </c>
      <c r="I507" s="9" t="n">
        <v>9</v>
      </c>
      <c r="J507" s="10" t="n">
        <v>0</v>
      </c>
      <c r="K507" s="9" t="n">
        <f aca="false">G507*H507*(1-J507)</f>
        <v>59.98</v>
      </c>
      <c r="L507" s="9" t="n">
        <f aca="false">G507*I507</f>
        <v>18</v>
      </c>
      <c r="M507" s="9" t="n">
        <f aca="false">K507-L507</f>
        <v>41.98</v>
      </c>
      <c r="N507" s="11" t="n">
        <f aca="false">IF(K507=0,0,M507/K507)</f>
        <v>0.699899966655552</v>
      </c>
      <c r="O507" s="9" t="n">
        <f aca="false">(G507*H507)-K507</f>
        <v>0</v>
      </c>
      <c r="P507" s="8" t="s">
        <v>21</v>
      </c>
    </row>
    <row r="508" customFormat="false" ht="15" hidden="false" customHeight="false" outlineLevel="0" collapsed="false">
      <c r="A508" s="2" t="n">
        <v>46094</v>
      </c>
      <c r="B508" s="3" t="s">
        <v>64</v>
      </c>
      <c r="C508" s="3" t="s">
        <v>65</v>
      </c>
      <c r="D508" s="3" t="s">
        <v>68</v>
      </c>
      <c r="E508" s="3" t="s">
        <v>69</v>
      </c>
      <c r="F508" s="3" t="s">
        <v>40</v>
      </c>
      <c r="G508" s="3" t="n">
        <v>13</v>
      </c>
      <c r="H508" s="4" t="n">
        <v>24.99</v>
      </c>
      <c r="I508" s="4" t="n">
        <v>9</v>
      </c>
      <c r="J508" s="5" t="n">
        <v>0</v>
      </c>
      <c r="K508" s="4" t="n">
        <f aca="false">G508*H508*(1-J508)</f>
        <v>324.87</v>
      </c>
      <c r="L508" s="4" t="n">
        <f aca="false">G508*I508</f>
        <v>117</v>
      </c>
      <c r="M508" s="4" t="n">
        <f aca="false">K508-L508</f>
        <v>207.87</v>
      </c>
      <c r="N508" s="6" t="n">
        <f aca="false">IF(K508=0,0,M508/K508)</f>
        <v>0.639855942376951</v>
      </c>
      <c r="O508" s="4" t="n">
        <f aca="false">(G508*H508)-K508</f>
        <v>0</v>
      </c>
      <c r="P508" s="3" t="s">
        <v>21</v>
      </c>
    </row>
    <row r="509" customFormat="false" ht="15" hidden="false" customHeight="false" outlineLevel="0" collapsed="false">
      <c r="A509" s="7" t="n">
        <v>46073</v>
      </c>
      <c r="B509" s="8" t="s">
        <v>41</v>
      </c>
      <c r="C509" s="8" t="s">
        <v>28</v>
      </c>
      <c r="D509" s="8" t="s">
        <v>84</v>
      </c>
      <c r="E509" s="8" t="s">
        <v>85</v>
      </c>
      <c r="F509" s="8" t="s">
        <v>20</v>
      </c>
      <c r="G509" s="8" t="n">
        <v>26</v>
      </c>
      <c r="H509" s="9" t="n">
        <v>34.99</v>
      </c>
      <c r="I509" s="9" t="n">
        <v>13</v>
      </c>
      <c r="J509" s="10" t="n">
        <v>0.1</v>
      </c>
      <c r="K509" s="9" t="n">
        <f aca="false">G509*H509*(1-J509)</f>
        <v>818.766</v>
      </c>
      <c r="L509" s="9" t="n">
        <f aca="false">G509*I509</f>
        <v>338</v>
      </c>
      <c r="M509" s="9" t="n">
        <f aca="false">K509-L509</f>
        <v>480.766</v>
      </c>
      <c r="N509" s="11" t="n">
        <f aca="false">IF(K509=0,0,M509/K509)</f>
        <v>0.587183639770093</v>
      </c>
      <c r="O509" s="9" t="n">
        <f aca="false">(G509*H509)-K509</f>
        <v>90.9739999999999</v>
      </c>
      <c r="P509" s="8" t="s">
        <v>21</v>
      </c>
    </row>
    <row r="510" customFormat="false" ht="15" hidden="false" customHeight="false" outlineLevel="0" collapsed="false">
      <c r="A510" s="2" t="n">
        <v>46128</v>
      </c>
      <c r="B510" s="3" t="s">
        <v>64</v>
      </c>
      <c r="C510" s="3" t="s">
        <v>65</v>
      </c>
      <c r="D510" s="3" t="s">
        <v>66</v>
      </c>
      <c r="E510" s="3" t="s">
        <v>67</v>
      </c>
      <c r="F510" s="3" t="s">
        <v>57</v>
      </c>
      <c r="G510" s="3" t="n">
        <v>1</v>
      </c>
      <c r="H510" s="4" t="n">
        <v>14.99</v>
      </c>
      <c r="I510" s="4" t="n">
        <v>5.5</v>
      </c>
      <c r="J510" s="5" t="n">
        <v>0.1</v>
      </c>
      <c r="K510" s="4" t="n">
        <f aca="false">G510*H510*(1-J510)</f>
        <v>13.491</v>
      </c>
      <c r="L510" s="4" t="n">
        <f aca="false">G510*I510</f>
        <v>5.5</v>
      </c>
      <c r="M510" s="4" t="n">
        <f aca="false">K510-L510</f>
        <v>7.991</v>
      </c>
      <c r="N510" s="6" t="n">
        <f aca="false">IF(K510=0,0,M510/K510)</f>
        <v>0.592320806463568</v>
      </c>
      <c r="O510" s="4" t="n">
        <f aca="false">(G510*H510)-K510</f>
        <v>1.499</v>
      </c>
      <c r="P510" s="3" t="s">
        <v>21</v>
      </c>
    </row>
    <row r="511" customFormat="false" ht="15" hidden="false" customHeight="false" outlineLevel="0" collapsed="false">
      <c r="A511" s="7" t="n">
        <v>46080</v>
      </c>
      <c r="B511" s="8" t="s">
        <v>22</v>
      </c>
      <c r="C511" s="8" t="s">
        <v>23</v>
      </c>
      <c r="D511" s="8" t="s">
        <v>93</v>
      </c>
      <c r="E511" s="8" t="s">
        <v>94</v>
      </c>
      <c r="F511" s="8" t="s">
        <v>34</v>
      </c>
      <c r="G511" s="8" t="n">
        <v>17</v>
      </c>
      <c r="H511" s="9" t="n">
        <v>29.99</v>
      </c>
      <c r="I511" s="9" t="n">
        <v>9</v>
      </c>
      <c r="J511" s="10" t="n">
        <v>0</v>
      </c>
      <c r="K511" s="9" t="n">
        <f aca="false">G511*H511*(1-J511)</f>
        <v>509.83</v>
      </c>
      <c r="L511" s="9" t="n">
        <f aca="false">G511*I511</f>
        <v>153</v>
      </c>
      <c r="M511" s="9" t="n">
        <f aca="false">K511-L511</f>
        <v>356.83</v>
      </c>
      <c r="N511" s="11" t="n">
        <f aca="false">IF(K511=0,0,M511/K511)</f>
        <v>0.699899966655552</v>
      </c>
      <c r="O511" s="9" t="n">
        <f aca="false">(G511*H511)-K511</f>
        <v>0</v>
      </c>
      <c r="P511" s="8" t="s">
        <v>21</v>
      </c>
    </row>
    <row r="512" customFormat="false" ht="15" hidden="false" customHeight="false" outlineLevel="0" collapsed="false">
      <c r="A512" s="2" t="n">
        <v>46034</v>
      </c>
      <c r="B512" s="3" t="s">
        <v>64</v>
      </c>
      <c r="C512" s="3" t="s">
        <v>65</v>
      </c>
      <c r="D512" s="3" t="s">
        <v>46</v>
      </c>
      <c r="E512" s="3" t="s">
        <v>47</v>
      </c>
      <c r="F512" s="3" t="s">
        <v>20</v>
      </c>
      <c r="G512" s="3" t="n">
        <v>24</v>
      </c>
      <c r="H512" s="4" t="n">
        <v>44.99</v>
      </c>
      <c r="I512" s="4" t="n">
        <v>18</v>
      </c>
      <c r="J512" s="5" t="n">
        <v>0.1</v>
      </c>
      <c r="K512" s="4" t="n">
        <f aca="false">G512*H512*(1-J512)</f>
        <v>971.784</v>
      </c>
      <c r="L512" s="4" t="n">
        <f aca="false">G512*I512</f>
        <v>432</v>
      </c>
      <c r="M512" s="4" t="n">
        <f aca="false">K512-L512</f>
        <v>539.784</v>
      </c>
      <c r="N512" s="6" t="n">
        <f aca="false">IF(K512=0,0,M512/K512)</f>
        <v>0.555456768170705</v>
      </c>
      <c r="O512" s="4" t="n">
        <f aca="false">(G512*H512)-K512</f>
        <v>107.976</v>
      </c>
      <c r="P512" s="3" t="s">
        <v>21</v>
      </c>
    </row>
    <row r="513" customFormat="false" ht="15" hidden="false" customHeight="false" outlineLevel="0" collapsed="false">
      <c r="A513" s="7" t="n">
        <v>46114</v>
      </c>
      <c r="B513" s="8" t="s">
        <v>27</v>
      </c>
      <c r="C513" s="8" t="s">
        <v>28</v>
      </c>
      <c r="D513" s="8" t="s">
        <v>95</v>
      </c>
      <c r="E513" s="8" t="s">
        <v>96</v>
      </c>
      <c r="F513" s="8" t="s">
        <v>50</v>
      </c>
      <c r="G513" s="8" t="n">
        <v>29</v>
      </c>
      <c r="H513" s="9" t="n">
        <v>34.99</v>
      </c>
      <c r="I513" s="9" t="n">
        <v>12</v>
      </c>
      <c r="J513" s="10" t="n">
        <v>0.1</v>
      </c>
      <c r="K513" s="9" t="n">
        <f aca="false">G513*H513*(1-J513)</f>
        <v>913.239</v>
      </c>
      <c r="L513" s="9" t="n">
        <f aca="false">G513*I513</f>
        <v>348</v>
      </c>
      <c r="M513" s="9" t="n">
        <f aca="false">K513-L513</f>
        <v>565.239</v>
      </c>
      <c r="N513" s="11" t="n">
        <f aca="false">IF(K513=0,0,M513/K513)</f>
        <v>0.618938744403163</v>
      </c>
      <c r="O513" s="9" t="n">
        <f aca="false">(G513*H513)-K513</f>
        <v>101.471</v>
      </c>
      <c r="P513" s="8" t="s">
        <v>21</v>
      </c>
    </row>
    <row r="514" customFormat="false" ht="15" hidden="false" customHeight="false" outlineLevel="0" collapsed="false">
      <c r="A514" s="2" t="n">
        <v>46035</v>
      </c>
      <c r="B514" s="3" t="s">
        <v>41</v>
      </c>
      <c r="C514" s="3" t="s">
        <v>28</v>
      </c>
      <c r="D514" s="3" t="s">
        <v>68</v>
      </c>
      <c r="E514" s="3" t="s">
        <v>69</v>
      </c>
      <c r="F514" s="3" t="s">
        <v>40</v>
      </c>
      <c r="G514" s="3" t="n">
        <v>14</v>
      </c>
      <c r="H514" s="4" t="n">
        <v>24.99</v>
      </c>
      <c r="I514" s="4" t="n">
        <v>9</v>
      </c>
      <c r="J514" s="5" t="n">
        <v>0.25</v>
      </c>
      <c r="K514" s="4" t="n">
        <f aca="false">G514*H514*(1-J514)</f>
        <v>262.395</v>
      </c>
      <c r="L514" s="4" t="n">
        <f aca="false">G514*I514</f>
        <v>126</v>
      </c>
      <c r="M514" s="4" t="n">
        <f aca="false">K514-L514</f>
        <v>136.395</v>
      </c>
      <c r="N514" s="6" t="n">
        <f aca="false">IF(K514=0,0,M514/K514)</f>
        <v>0.519807923169268</v>
      </c>
      <c r="O514" s="4" t="n">
        <f aca="false">(G514*H514)-K514</f>
        <v>87.465</v>
      </c>
      <c r="P514" s="3" t="s">
        <v>21</v>
      </c>
    </row>
    <row r="515" customFormat="false" ht="15" hidden="false" customHeight="false" outlineLevel="0" collapsed="false">
      <c r="A515" s="7" t="n">
        <v>46038</v>
      </c>
      <c r="B515" s="8" t="s">
        <v>16</v>
      </c>
      <c r="C515" s="8" t="s">
        <v>17</v>
      </c>
      <c r="D515" s="8" t="s">
        <v>72</v>
      </c>
      <c r="E515" s="8" t="s">
        <v>73</v>
      </c>
      <c r="F515" s="8" t="s">
        <v>57</v>
      </c>
      <c r="G515" s="8" t="n">
        <v>13</v>
      </c>
      <c r="H515" s="9" t="n">
        <v>19.99</v>
      </c>
      <c r="I515" s="9" t="n">
        <v>7</v>
      </c>
      <c r="J515" s="10" t="n">
        <v>0.2</v>
      </c>
      <c r="K515" s="9" t="n">
        <f aca="false">G515*H515*(1-J515)</f>
        <v>207.896</v>
      </c>
      <c r="L515" s="9" t="n">
        <f aca="false">G515*I515</f>
        <v>91</v>
      </c>
      <c r="M515" s="9" t="n">
        <f aca="false">K515-L515</f>
        <v>116.896</v>
      </c>
      <c r="N515" s="11" t="n">
        <f aca="false">IF(K515=0,0,M515/K515)</f>
        <v>0.562281140570285</v>
      </c>
      <c r="O515" s="9" t="n">
        <f aca="false">(G515*H515)-K515</f>
        <v>51.974</v>
      </c>
      <c r="P515" s="8" t="s">
        <v>21</v>
      </c>
    </row>
    <row r="516" customFormat="false" ht="15" hidden="false" customHeight="false" outlineLevel="0" collapsed="false">
      <c r="A516" s="2" t="n">
        <v>46131</v>
      </c>
      <c r="B516" s="3" t="s">
        <v>22</v>
      </c>
      <c r="C516" s="3" t="s">
        <v>23</v>
      </c>
      <c r="D516" s="3" t="s">
        <v>93</v>
      </c>
      <c r="E516" s="3" t="s">
        <v>94</v>
      </c>
      <c r="F516" s="3" t="s">
        <v>34</v>
      </c>
      <c r="G516" s="3" t="n">
        <v>29</v>
      </c>
      <c r="H516" s="4" t="n">
        <v>29.99</v>
      </c>
      <c r="I516" s="4" t="n">
        <v>9</v>
      </c>
      <c r="J516" s="5" t="n">
        <v>0.05</v>
      </c>
      <c r="K516" s="4" t="n">
        <f aca="false">G516*H516*(1-J516)</f>
        <v>826.2245</v>
      </c>
      <c r="L516" s="4" t="n">
        <f aca="false">G516*I516</f>
        <v>261</v>
      </c>
      <c r="M516" s="4" t="n">
        <f aca="false">K516-L516</f>
        <v>565.2245</v>
      </c>
      <c r="N516" s="6" t="n">
        <f aca="false">IF(K516=0,0,M516/K516)</f>
        <v>0.684105228058476</v>
      </c>
      <c r="O516" s="4" t="n">
        <f aca="false">(G516*H516)-K516</f>
        <v>43.4855</v>
      </c>
      <c r="P516" s="3" t="s">
        <v>21</v>
      </c>
    </row>
    <row r="517" customFormat="false" ht="15" hidden="false" customHeight="false" outlineLevel="0" collapsed="false">
      <c r="A517" s="7" t="n">
        <v>46087</v>
      </c>
      <c r="B517" s="8" t="s">
        <v>64</v>
      </c>
      <c r="C517" s="8" t="s">
        <v>65</v>
      </c>
      <c r="D517" s="8" t="s">
        <v>74</v>
      </c>
      <c r="E517" s="8" t="s">
        <v>75</v>
      </c>
      <c r="F517" s="8" t="s">
        <v>40</v>
      </c>
      <c r="G517" s="8" t="n">
        <v>30</v>
      </c>
      <c r="H517" s="9" t="n">
        <v>29.99</v>
      </c>
      <c r="I517" s="9" t="n">
        <v>13</v>
      </c>
      <c r="J517" s="10" t="n">
        <v>0</v>
      </c>
      <c r="K517" s="9" t="n">
        <f aca="false">G517*H517*(1-J517)</f>
        <v>899.7</v>
      </c>
      <c r="L517" s="9" t="n">
        <f aca="false">G517*I517</f>
        <v>390</v>
      </c>
      <c r="M517" s="9" t="n">
        <f aca="false">K517-L517</f>
        <v>509.7</v>
      </c>
      <c r="N517" s="11" t="n">
        <f aca="false">IF(K517=0,0,M517/K517)</f>
        <v>0.566522174058019</v>
      </c>
      <c r="O517" s="9" t="n">
        <f aca="false">(G517*H517)-K517</f>
        <v>0</v>
      </c>
      <c r="P517" s="8" t="s">
        <v>21</v>
      </c>
    </row>
    <row r="518" customFormat="false" ht="15" hidden="false" customHeight="false" outlineLevel="0" collapsed="false">
      <c r="A518" s="2" t="n">
        <v>46050</v>
      </c>
      <c r="B518" s="3" t="s">
        <v>41</v>
      </c>
      <c r="C518" s="3" t="s">
        <v>28</v>
      </c>
      <c r="D518" s="3" t="s">
        <v>95</v>
      </c>
      <c r="E518" s="3" t="s">
        <v>96</v>
      </c>
      <c r="F518" s="3" t="s">
        <v>50</v>
      </c>
      <c r="G518" s="3" t="n">
        <v>10</v>
      </c>
      <c r="H518" s="4" t="n">
        <v>34.99</v>
      </c>
      <c r="I518" s="4" t="n">
        <v>12</v>
      </c>
      <c r="J518" s="5" t="n">
        <v>0.15</v>
      </c>
      <c r="K518" s="4" t="n">
        <f aca="false">G518*H518*(1-J518)</f>
        <v>297.415</v>
      </c>
      <c r="L518" s="4" t="n">
        <f aca="false">G518*I518</f>
        <v>120</v>
      </c>
      <c r="M518" s="4" t="n">
        <f aca="false">K518-L518</f>
        <v>177.415</v>
      </c>
      <c r="N518" s="6" t="n">
        <f aca="false">IF(K518=0,0,M518/K518)</f>
        <v>0.596523376426878</v>
      </c>
      <c r="O518" s="4" t="n">
        <f aca="false">(G518*H518)-K518</f>
        <v>52.485</v>
      </c>
      <c r="P518" s="3" t="s">
        <v>21</v>
      </c>
    </row>
    <row r="519" customFormat="false" ht="15" hidden="false" customHeight="false" outlineLevel="0" collapsed="false">
      <c r="A519" s="7" t="n">
        <v>46062</v>
      </c>
      <c r="B519" s="8" t="s">
        <v>16</v>
      </c>
      <c r="C519" s="8" t="s">
        <v>17</v>
      </c>
      <c r="D519" s="8" t="s">
        <v>46</v>
      </c>
      <c r="E519" s="8" t="s">
        <v>47</v>
      </c>
      <c r="F519" s="8" t="s">
        <v>20</v>
      </c>
      <c r="G519" s="8" t="n">
        <v>13</v>
      </c>
      <c r="H519" s="9" t="n">
        <v>44.99</v>
      </c>
      <c r="I519" s="9" t="n">
        <v>18</v>
      </c>
      <c r="J519" s="10" t="n">
        <v>0.2</v>
      </c>
      <c r="K519" s="9" t="n">
        <f aca="false">G519*H519*(1-J519)</f>
        <v>467.896</v>
      </c>
      <c r="L519" s="9" t="n">
        <f aca="false">G519*I519</f>
        <v>234</v>
      </c>
      <c r="M519" s="9" t="n">
        <f aca="false">K519-L519</f>
        <v>233.896</v>
      </c>
      <c r="N519" s="11" t="n">
        <f aca="false">IF(K519=0,0,M519/K519)</f>
        <v>0.499888864192043</v>
      </c>
      <c r="O519" s="9" t="n">
        <f aca="false">(G519*H519)-K519</f>
        <v>116.974</v>
      </c>
      <c r="P519" s="8" t="s">
        <v>21</v>
      </c>
    </row>
    <row r="520" customFormat="false" ht="15" hidden="false" customHeight="false" outlineLevel="0" collapsed="false">
      <c r="A520" s="2" t="n">
        <v>46055</v>
      </c>
      <c r="B520" s="3" t="s">
        <v>16</v>
      </c>
      <c r="C520" s="3" t="s">
        <v>17</v>
      </c>
      <c r="D520" s="3" t="s">
        <v>80</v>
      </c>
      <c r="E520" s="3" t="s">
        <v>81</v>
      </c>
      <c r="F520" s="3" t="s">
        <v>57</v>
      </c>
      <c r="G520" s="3" t="n">
        <v>9</v>
      </c>
      <c r="H520" s="4" t="n">
        <v>17.99</v>
      </c>
      <c r="I520" s="4" t="n">
        <v>6.5</v>
      </c>
      <c r="J520" s="5" t="n">
        <v>0.05</v>
      </c>
      <c r="K520" s="4" t="n">
        <f aca="false">G520*H520*(1-J520)</f>
        <v>153.8145</v>
      </c>
      <c r="L520" s="4" t="n">
        <f aca="false">G520*I520</f>
        <v>58.5</v>
      </c>
      <c r="M520" s="4" t="n">
        <f aca="false">K520-L520</f>
        <v>95.3145</v>
      </c>
      <c r="N520" s="6" t="n">
        <f aca="false">IF(K520=0,0,M520/K520)</f>
        <v>0.61967174746204</v>
      </c>
      <c r="O520" s="4" t="n">
        <f aca="false">(G520*H520)-K520</f>
        <v>8.09550000000002</v>
      </c>
      <c r="P520" s="3" t="s">
        <v>21</v>
      </c>
    </row>
    <row r="521" customFormat="false" ht="15" hidden="false" customHeight="false" outlineLevel="0" collapsed="false">
      <c r="A521" s="7" t="n">
        <v>46071</v>
      </c>
      <c r="B521" s="8" t="s">
        <v>31</v>
      </c>
      <c r="C521" s="8" t="s">
        <v>23</v>
      </c>
      <c r="D521" s="8" t="s">
        <v>68</v>
      </c>
      <c r="E521" s="8" t="s">
        <v>69</v>
      </c>
      <c r="F521" s="8" t="s">
        <v>40</v>
      </c>
      <c r="G521" s="8" t="n">
        <v>16</v>
      </c>
      <c r="H521" s="9" t="n">
        <v>24.99</v>
      </c>
      <c r="I521" s="9" t="n">
        <v>9</v>
      </c>
      <c r="J521" s="10" t="n">
        <v>0</v>
      </c>
      <c r="K521" s="9" t="n">
        <f aca="false">G521*H521*(1-J521)</f>
        <v>399.84</v>
      </c>
      <c r="L521" s="9" t="n">
        <f aca="false">G521*I521</f>
        <v>144</v>
      </c>
      <c r="M521" s="9" t="n">
        <f aca="false">K521-L521</f>
        <v>255.84</v>
      </c>
      <c r="N521" s="11" t="n">
        <f aca="false">IF(K521=0,0,M521/K521)</f>
        <v>0.639855942376951</v>
      </c>
      <c r="O521" s="9" t="n">
        <f aca="false">(G521*H521)-K521</f>
        <v>0</v>
      </c>
      <c r="P521" s="8" t="s">
        <v>21</v>
      </c>
    </row>
    <row r="522" customFormat="false" ht="15" hidden="false" customHeight="false" outlineLevel="0" collapsed="false">
      <c r="A522" s="2" t="n">
        <v>46116</v>
      </c>
      <c r="B522" s="3" t="s">
        <v>37</v>
      </c>
      <c r="C522" s="3" t="s">
        <v>17</v>
      </c>
      <c r="D522" s="3" t="s">
        <v>55</v>
      </c>
      <c r="E522" s="3" t="s">
        <v>56</v>
      </c>
      <c r="F522" s="3" t="s">
        <v>57</v>
      </c>
      <c r="G522" s="3" t="n">
        <v>11</v>
      </c>
      <c r="H522" s="4" t="n">
        <v>29.99</v>
      </c>
      <c r="I522" s="4" t="n">
        <v>11</v>
      </c>
      <c r="J522" s="5" t="n">
        <v>0.3</v>
      </c>
      <c r="K522" s="4" t="n">
        <f aca="false">G522*H522*(1-J522)</f>
        <v>230.923</v>
      </c>
      <c r="L522" s="4" t="n">
        <f aca="false">G522*I522</f>
        <v>121</v>
      </c>
      <c r="M522" s="4" t="n">
        <f aca="false">K522-L522</f>
        <v>109.923</v>
      </c>
      <c r="N522" s="6" t="n">
        <f aca="false">IF(K522=0,0,M522/K522)</f>
        <v>0.476015814795408</v>
      </c>
      <c r="O522" s="4" t="n">
        <f aca="false">(G522*H522)-K522</f>
        <v>98.967</v>
      </c>
      <c r="P522" s="3" t="s">
        <v>21</v>
      </c>
    </row>
    <row r="523" customFormat="false" ht="15" hidden="false" customHeight="false" outlineLevel="0" collapsed="false">
      <c r="A523" s="7" t="n">
        <v>46107</v>
      </c>
      <c r="B523" s="8" t="s">
        <v>58</v>
      </c>
      <c r="C523" s="8" t="s">
        <v>58</v>
      </c>
      <c r="D523" s="8" t="s">
        <v>70</v>
      </c>
      <c r="E523" s="8" t="s">
        <v>71</v>
      </c>
      <c r="F523" s="8" t="s">
        <v>20</v>
      </c>
      <c r="G523" s="8" t="n">
        <v>7</v>
      </c>
      <c r="H523" s="9" t="n">
        <v>49.99</v>
      </c>
      <c r="I523" s="9" t="n">
        <v>19</v>
      </c>
      <c r="J523" s="10" t="n">
        <v>0.05</v>
      </c>
      <c r="K523" s="9" t="n">
        <f aca="false">G523*H523*(1-J523)</f>
        <v>332.4335</v>
      </c>
      <c r="L523" s="9" t="n">
        <f aca="false">G523*I523</f>
        <v>133</v>
      </c>
      <c r="M523" s="9" t="n">
        <f aca="false">K523-L523</f>
        <v>199.4335</v>
      </c>
      <c r="N523" s="11" t="n">
        <f aca="false">IF(K523=0,0,M523/K523)</f>
        <v>0.599919983996799</v>
      </c>
      <c r="O523" s="9" t="n">
        <f aca="false">(G523*H523)-K523</f>
        <v>17.4965</v>
      </c>
      <c r="P523" s="8" t="s">
        <v>21</v>
      </c>
    </row>
    <row r="524" customFormat="false" ht="15" hidden="false" customHeight="false" outlineLevel="0" collapsed="false">
      <c r="A524" s="2" t="n">
        <v>46028</v>
      </c>
      <c r="B524" s="3" t="s">
        <v>16</v>
      </c>
      <c r="C524" s="3" t="s">
        <v>17</v>
      </c>
      <c r="D524" s="3" t="s">
        <v>38</v>
      </c>
      <c r="E524" s="3" t="s">
        <v>39</v>
      </c>
      <c r="F524" s="3" t="s">
        <v>40</v>
      </c>
      <c r="G524" s="3" t="n">
        <v>11</v>
      </c>
      <c r="H524" s="4" t="n">
        <v>12.99</v>
      </c>
      <c r="I524" s="4" t="n">
        <v>4</v>
      </c>
      <c r="J524" s="5" t="n">
        <v>0.25</v>
      </c>
      <c r="K524" s="4" t="n">
        <f aca="false">G524*H524*(1-J524)</f>
        <v>107.1675</v>
      </c>
      <c r="L524" s="4" t="n">
        <f aca="false">G524*I524</f>
        <v>44</v>
      </c>
      <c r="M524" s="4" t="n">
        <f aca="false">K524-L524</f>
        <v>63.1675</v>
      </c>
      <c r="N524" s="6" t="n">
        <f aca="false">IF(K524=0,0,M524/K524)</f>
        <v>0.589427764947396</v>
      </c>
      <c r="O524" s="4" t="n">
        <f aca="false">(G524*H524)-K524</f>
        <v>35.7225</v>
      </c>
      <c r="P524" s="3" t="s">
        <v>21</v>
      </c>
    </row>
    <row r="525" customFormat="false" ht="15" hidden="false" customHeight="false" outlineLevel="0" collapsed="false">
      <c r="A525" s="7" t="n">
        <v>46023</v>
      </c>
      <c r="B525" s="8" t="s">
        <v>58</v>
      </c>
      <c r="C525" s="8" t="s">
        <v>58</v>
      </c>
      <c r="D525" s="8" t="s">
        <v>93</v>
      </c>
      <c r="E525" s="8" t="s">
        <v>94</v>
      </c>
      <c r="F525" s="8" t="s">
        <v>34</v>
      </c>
      <c r="G525" s="8" t="n">
        <v>14</v>
      </c>
      <c r="H525" s="9" t="n">
        <v>29.99</v>
      </c>
      <c r="I525" s="9" t="n">
        <v>9</v>
      </c>
      <c r="J525" s="10" t="n">
        <v>0</v>
      </c>
      <c r="K525" s="9" t="n">
        <f aca="false">G525*H525*(1-J525)</f>
        <v>419.86</v>
      </c>
      <c r="L525" s="9" t="n">
        <f aca="false">G525*I525</f>
        <v>126</v>
      </c>
      <c r="M525" s="9" t="n">
        <f aca="false">K525-L525</f>
        <v>293.86</v>
      </c>
      <c r="N525" s="11" t="n">
        <f aca="false">IF(K525=0,0,M525/K525)</f>
        <v>0.699899966655552</v>
      </c>
      <c r="O525" s="9" t="n">
        <f aca="false">(G525*H525)-K525</f>
        <v>0</v>
      </c>
      <c r="P525" s="8" t="s">
        <v>21</v>
      </c>
    </row>
    <row r="526" customFormat="false" ht="15" hidden="false" customHeight="false" outlineLevel="0" collapsed="false">
      <c r="A526" s="2" t="n">
        <v>46103</v>
      </c>
      <c r="B526" s="3" t="s">
        <v>37</v>
      </c>
      <c r="C526" s="3" t="s">
        <v>17</v>
      </c>
      <c r="D526" s="3" t="s">
        <v>38</v>
      </c>
      <c r="E526" s="3" t="s">
        <v>39</v>
      </c>
      <c r="F526" s="3" t="s">
        <v>40</v>
      </c>
      <c r="G526" s="3" t="n">
        <v>8</v>
      </c>
      <c r="H526" s="4" t="n">
        <v>2.52</v>
      </c>
      <c r="I526" s="4" t="n">
        <v>4</v>
      </c>
      <c r="J526" s="5" t="n">
        <v>0</v>
      </c>
      <c r="K526" s="4" t="n">
        <f aca="false">G526*H526*(1-J526)</f>
        <v>20.16</v>
      </c>
      <c r="L526" s="4" t="n">
        <f aca="false">G526*I526</f>
        <v>32</v>
      </c>
      <c r="M526" s="4" t="n">
        <f aca="false">K526-L526</f>
        <v>-11.84</v>
      </c>
      <c r="N526" s="6" t="n">
        <f aca="false">IF(K526=0,0,M526/K526)</f>
        <v>-0.587301587301587</v>
      </c>
      <c r="O526" s="4" t="n">
        <f aca="false">(G526*H526)-K526</f>
        <v>0</v>
      </c>
      <c r="P526" s="15" t="s">
        <v>98</v>
      </c>
    </row>
    <row r="527" customFormat="false" ht="15" hidden="false" customHeight="false" outlineLevel="0" collapsed="false">
      <c r="A527" s="7" t="n">
        <v>46073</v>
      </c>
      <c r="B527" s="8" t="s">
        <v>58</v>
      </c>
      <c r="C527" s="8" t="s">
        <v>58</v>
      </c>
      <c r="D527" s="8" t="s">
        <v>46</v>
      </c>
      <c r="E527" s="8" t="s">
        <v>47</v>
      </c>
      <c r="F527" s="8" t="s">
        <v>20</v>
      </c>
      <c r="G527" s="8" t="n">
        <v>206</v>
      </c>
      <c r="H527" s="9" t="n">
        <v>44.99</v>
      </c>
      <c r="I527" s="9" t="n">
        <v>18</v>
      </c>
      <c r="J527" s="10" t="n">
        <v>0</v>
      </c>
      <c r="K527" s="9" t="n">
        <f aca="false">G527*H527*(1-J527)</f>
        <v>9267.94</v>
      </c>
      <c r="L527" s="9" t="n">
        <f aca="false">G527*I527</f>
        <v>3708</v>
      </c>
      <c r="M527" s="9" t="n">
        <f aca="false">K527-L527</f>
        <v>5559.94</v>
      </c>
      <c r="N527" s="11" t="n">
        <f aca="false">IF(K527=0,0,M527/K527)</f>
        <v>0.599911091353634</v>
      </c>
      <c r="O527" s="9" t="n">
        <f aca="false">(G527*H527)-K527</f>
        <v>0</v>
      </c>
      <c r="P527" s="13" t="s">
        <v>92</v>
      </c>
    </row>
    <row r="528" customFormat="false" ht="15" hidden="false" customHeight="false" outlineLevel="0" collapsed="false">
      <c r="A528" s="2" t="n">
        <v>46126</v>
      </c>
      <c r="B528" s="3" t="s">
        <v>41</v>
      </c>
      <c r="C528" s="3" t="s">
        <v>28</v>
      </c>
      <c r="D528" s="3" t="s">
        <v>95</v>
      </c>
      <c r="E528" s="3" t="s">
        <v>96</v>
      </c>
      <c r="F528" s="3" t="s">
        <v>50</v>
      </c>
      <c r="G528" s="3" t="n">
        <v>21</v>
      </c>
      <c r="H528" s="4" t="n">
        <v>34.99</v>
      </c>
      <c r="I528" s="4" t="n">
        <v>12</v>
      </c>
      <c r="J528" s="5" t="n">
        <v>0.25</v>
      </c>
      <c r="K528" s="4" t="n">
        <f aca="false">G528*H528*(1-J528)</f>
        <v>551.0925</v>
      </c>
      <c r="L528" s="4" t="n">
        <f aca="false">G528*I528</f>
        <v>252</v>
      </c>
      <c r="M528" s="4" t="n">
        <f aca="false">K528-L528</f>
        <v>299.0925</v>
      </c>
      <c r="N528" s="6" t="n">
        <f aca="false">IF(K528=0,0,M528/K528)</f>
        <v>0.542726493283795</v>
      </c>
      <c r="O528" s="4" t="n">
        <f aca="false">(G528*H528)-K528</f>
        <v>183.6975</v>
      </c>
      <c r="P528" s="3" t="s">
        <v>21</v>
      </c>
    </row>
    <row r="529" customFormat="false" ht="15" hidden="false" customHeight="false" outlineLevel="0" collapsed="false">
      <c r="A529" s="7" t="n">
        <v>46039</v>
      </c>
      <c r="B529" s="8" t="s">
        <v>16</v>
      </c>
      <c r="C529" s="8" t="s">
        <v>17</v>
      </c>
      <c r="D529" s="8" t="s">
        <v>55</v>
      </c>
      <c r="E529" s="8" t="s">
        <v>56</v>
      </c>
      <c r="F529" s="8" t="s">
        <v>57</v>
      </c>
      <c r="G529" s="8" t="n">
        <v>18</v>
      </c>
      <c r="H529" s="9" t="n">
        <v>29.99</v>
      </c>
      <c r="I529" s="9" t="n">
        <v>11</v>
      </c>
      <c r="J529" s="10" t="n">
        <v>0.3</v>
      </c>
      <c r="K529" s="9" t="n">
        <f aca="false">G529*H529*(1-J529)</f>
        <v>377.874</v>
      </c>
      <c r="L529" s="9" t="n">
        <f aca="false">G529*I529</f>
        <v>198</v>
      </c>
      <c r="M529" s="9" t="n">
        <f aca="false">K529-L529</f>
        <v>179.874</v>
      </c>
      <c r="N529" s="11" t="n">
        <f aca="false">IF(K529=0,0,M529/K529)</f>
        <v>0.476015814795408</v>
      </c>
      <c r="O529" s="9" t="n">
        <f aca="false">(G529*H529)-K529</f>
        <v>161.946</v>
      </c>
      <c r="P529" s="8" t="s">
        <v>21</v>
      </c>
    </row>
    <row r="530" customFormat="false" ht="15" hidden="false" customHeight="false" outlineLevel="0" collapsed="false">
      <c r="A530" s="2" t="n">
        <v>46040</v>
      </c>
      <c r="B530" s="3" t="s">
        <v>41</v>
      </c>
      <c r="C530" s="3" t="s">
        <v>28</v>
      </c>
      <c r="D530" s="3" t="s">
        <v>86</v>
      </c>
      <c r="E530" s="3" t="s">
        <v>87</v>
      </c>
      <c r="F530" s="3" t="s">
        <v>40</v>
      </c>
      <c r="G530" s="3" t="n">
        <v>16</v>
      </c>
      <c r="H530" s="4" t="n">
        <v>16.99</v>
      </c>
      <c r="I530" s="4" t="n">
        <v>5.5</v>
      </c>
      <c r="J530" s="5" t="n">
        <v>0.15</v>
      </c>
      <c r="K530" s="4" t="n">
        <f aca="false">G530*H530*(1-J530)</f>
        <v>231.064</v>
      </c>
      <c r="L530" s="4" t="n">
        <f aca="false">G530*I530</f>
        <v>88</v>
      </c>
      <c r="M530" s="4" t="n">
        <f aca="false">K530-L530</f>
        <v>143.064</v>
      </c>
      <c r="N530" s="6" t="n">
        <f aca="false">IF(K530=0,0,M530/K530)</f>
        <v>0.619153135062147</v>
      </c>
      <c r="O530" s="4" t="n">
        <f aca="false">(G530*H530)-K530</f>
        <v>40.776</v>
      </c>
      <c r="P530" s="3" t="s">
        <v>21</v>
      </c>
    </row>
    <row r="531" customFormat="false" ht="15" hidden="false" customHeight="false" outlineLevel="0" collapsed="false">
      <c r="A531" s="7" t="n">
        <v>46051</v>
      </c>
      <c r="B531" s="8" t="s">
        <v>16</v>
      </c>
      <c r="C531" s="8" t="s">
        <v>17</v>
      </c>
      <c r="D531" s="8" t="s">
        <v>38</v>
      </c>
      <c r="E531" s="8" t="s">
        <v>39</v>
      </c>
      <c r="F531" s="8" t="s">
        <v>40</v>
      </c>
      <c r="G531" s="8" t="n">
        <v>9</v>
      </c>
      <c r="H531" s="9" t="n">
        <v>12.99</v>
      </c>
      <c r="I531" s="9" t="n">
        <v>4</v>
      </c>
      <c r="J531" s="10" t="n">
        <v>0</v>
      </c>
      <c r="K531" s="9" t="n">
        <f aca="false">G531*H531*(1-J531)</f>
        <v>116.91</v>
      </c>
      <c r="L531" s="9" t="n">
        <f aca="false">G531*I531</f>
        <v>36</v>
      </c>
      <c r="M531" s="9" t="n">
        <f aca="false">K531-L531</f>
        <v>80.91</v>
      </c>
      <c r="N531" s="11" t="n">
        <f aca="false">IF(K531=0,0,M531/K531)</f>
        <v>0.692070823710547</v>
      </c>
      <c r="O531" s="9" t="n">
        <f aca="false">(G531*H531)-K531</f>
        <v>0</v>
      </c>
      <c r="P531" s="8" t="s">
        <v>21</v>
      </c>
    </row>
    <row r="532" customFormat="false" ht="15" hidden="false" customHeight="false" outlineLevel="0" collapsed="false">
      <c r="A532" s="2" t="n">
        <v>46075</v>
      </c>
      <c r="B532" s="3" t="s">
        <v>16</v>
      </c>
      <c r="C532" s="3" t="s">
        <v>17</v>
      </c>
      <c r="D532" s="3" t="s">
        <v>84</v>
      </c>
      <c r="E532" s="3" t="s">
        <v>85</v>
      </c>
      <c r="F532" s="3" t="s">
        <v>20</v>
      </c>
      <c r="G532" s="3" t="n">
        <v>16</v>
      </c>
      <c r="H532" s="4" t="n">
        <v>34.99</v>
      </c>
      <c r="I532" s="4" t="n">
        <v>13</v>
      </c>
      <c r="J532" s="5" t="n">
        <v>0.05</v>
      </c>
      <c r="K532" s="4" t="n">
        <f aca="false">G532*H532*(1-J532)</f>
        <v>531.848</v>
      </c>
      <c r="L532" s="4" t="n">
        <f aca="false">G532*I532</f>
        <v>208</v>
      </c>
      <c r="M532" s="4" t="n">
        <f aca="false">K532-L532</f>
        <v>323.848</v>
      </c>
      <c r="N532" s="6" t="n">
        <f aca="false">IF(K532=0,0,M532/K532)</f>
        <v>0.608910816624299</v>
      </c>
      <c r="O532" s="4" t="n">
        <f aca="false">(G532*H532)-K532</f>
        <v>27.9920000000001</v>
      </c>
      <c r="P532" s="3" t="s">
        <v>21</v>
      </c>
    </row>
    <row r="533" customFormat="false" ht="15" hidden="false" customHeight="false" outlineLevel="0" collapsed="false">
      <c r="A533" s="7" t="n">
        <v>46028</v>
      </c>
      <c r="B533" s="8" t="s">
        <v>22</v>
      </c>
      <c r="C533" s="8" t="s">
        <v>23</v>
      </c>
      <c r="D533" s="8" t="s">
        <v>32</v>
      </c>
      <c r="E533" s="8" t="s">
        <v>33</v>
      </c>
      <c r="F533" s="8" t="s">
        <v>34</v>
      </c>
      <c r="G533" s="8" t="n">
        <v>26</v>
      </c>
      <c r="H533" s="9" t="n">
        <v>18.99</v>
      </c>
      <c r="I533" s="9" t="n">
        <v>6</v>
      </c>
      <c r="J533" s="10" t="n">
        <v>0.15</v>
      </c>
      <c r="K533" s="9" t="n">
        <f aca="false">G533*H533*(1-J533)</f>
        <v>419.679</v>
      </c>
      <c r="L533" s="9" t="n">
        <f aca="false">G533*I533</f>
        <v>156</v>
      </c>
      <c r="M533" s="9" t="n">
        <f aca="false">K533-L533</f>
        <v>263.679</v>
      </c>
      <c r="N533" s="11" t="n">
        <f aca="false">IF(K533=0,0,M533/K533)</f>
        <v>0.628287333890902</v>
      </c>
      <c r="O533" s="9" t="n">
        <f aca="false">(G533*H533)-K533</f>
        <v>74.061</v>
      </c>
      <c r="P533" s="8" t="s">
        <v>21</v>
      </c>
    </row>
    <row r="534" customFormat="false" ht="15" hidden="false" customHeight="false" outlineLevel="0" collapsed="false">
      <c r="A534" s="2" t="n">
        <v>46095</v>
      </c>
      <c r="B534" s="3" t="s">
        <v>58</v>
      </c>
      <c r="C534" s="3" t="s">
        <v>58</v>
      </c>
      <c r="D534" s="3" t="s">
        <v>55</v>
      </c>
      <c r="E534" s="3" t="s">
        <v>56</v>
      </c>
      <c r="F534" s="3" t="s">
        <v>57</v>
      </c>
      <c r="G534" s="3" t="n">
        <v>24</v>
      </c>
      <c r="H534" s="4" t="n">
        <v>29.99</v>
      </c>
      <c r="I534" s="4" t="n">
        <v>11</v>
      </c>
      <c r="J534" s="5" t="n">
        <v>0.3</v>
      </c>
      <c r="K534" s="4" t="n">
        <f aca="false">G534*H534*(1-J534)</f>
        <v>503.832</v>
      </c>
      <c r="L534" s="4" t="n">
        <f aca="false">G534*I534</f>
        <v>264</v>
      </c>
      <c r="M534" s="4" t="n">
        <f aca="false">K534-L534</f>
        <v>239.832</v>
      </c>
      <c r="N534" s="6" t="n">
        <f aca="false">IF(K534=0,0,M534/K534)</f>
        <v>0.476015814795408</v>
      </c>
      <c r="O534" s="4" t="n">
        <f aca="false">(G534*H534)-K534</f>
        <v>215.928</v>
      </c>
      <c r="P534" s="3" t="s">
        <v>21</v>
      </c>
    </row>
    <row r="535" customFormat="false" ht="15" hidden="false" customHeight="false" outlineLevel="0" collapsed="false">
      <c r="A535" s="7" t="n">
        <v>46046</v>
      </c>
      <c r="B535" s="8" t="s">
        <v>64</v>
      </c>
      <c r="C535" s="8" t="s">
        <v>65</v>
      </c>
      <c r="D535" s="8" t="s">
        <v>84</v>
      </c>
      <c r="E535" s="8" t="s">
        <v>85</v>
      </c>
      <c r="F535" s="8" t="s">
        <v>20</v>
      </c>
      <c r="G535" s="8" t="n">
        <v>25</v>
      </c>
      <c r="H535" s="9" t="n">
        <v>34.99</v>
      </c>
      <c r="I535" s="9" t="n">
        <v>13</v>
      </c>
      <c r="J535" s="10" t="n">
        <v>0.25</v>
      </c>
      <c r="K535" s="9" t="n">
        <f aca="false">G535*H535*(1-J535)</f>
        <v>656.0625</v>
      </c>
      <c r="L535" s="9" t="n">
        <f aca="false">G535*I535</f>
        <v>325</v>
      </c>
      <c r="M535" s="9" t="n">
        <f aca="false">K535-L535</f>
        <v>331.0625</v>
      </c>
      <c r="N535" s="11" t="n">
        <f aca="false">IF(K535=0,0,M535/K535)</f>
        <v>0.504620367724112</v>
      </c>
      <c r="O535" s="9" t="n">
        <f aca="false">(G535*H535)-K535</f>
        <v>218.6875</v>
      </c>
      <c r="P535" s="8" t="s">
        <v>21</v>
      </c>
    </row>
    <row r="536" customFormat="false" ht="15" hidden="false" customHeight="false" outlineLevel="0" collapsed="false">
      <c r="A536" s="2" t="n">
        <v>46024</v>
      </c>
      <c r="B536" s="3" t="s">
        <v>37</v>
      </c>
      <c r="C536" s="3" t="s">
        <v>17</v>
      </c>
      <c r="D536" s="3" t="s">
        <v>68</v>
      </c>
      <c r="E536" s="3" t="s">
        <v>69</v>
      </c>
      <c r="F536" s="3" t="s">
        <v>40</v>
      </c>
      <c r="G536" s="3" t="n">
        <v>26</v>
      </c>
      <c r="H536" s="4" t="n">
        <v>24.99</v>
      </c>
      <c r="I536" s="4" t="n">
        <v>9</v>
      </c>
      <c r="J536" s="5" t="n">
        <v>0.25</v>
      </c>
      <c r="K536" s="4" t="n">
        <f aca="false">G536*H536*(1-J536)</f>
        <v>487.305</v>
      </c>
      <c r="L536" s="4" t="n">
        <f aca="false">G536*I536</f>
        <v>234</v>
      </c>
      <c r="M536" s="4" t="n">
        <f aca="false">K536-L536</f>
        <v>253.305</v>
      </c>
      <c r="N536" s="6" t="n">
        <f aca="false">IF(K536=0,0,M536/K536)</f>
        <v>0.519807923169268</v>
      </c>
      <c r="O536" s="4" t="n">
        <f aca="false">(G536*H536)-K536</f>
        <v>162.435</v>
      </c>
      <c r="P536" s="3" t="s">
        <v>21</v>
      </c>
    </row>
    <row r="537" customFormat="false" ht="15" hidden="false" customHeight="false" outlineLevel="0" collapsed="false">
      <c r="A537" s="7" t="n">
        <v>46116</v>
      </c>
      <c r="B537" s="8" t="s">
        <v>27</v>
      </c>
      <c r="C537" s="8" t="s">
        <v>28</v>
      </c>
      <c r="D537" s="8" t="s">
        <v>70</v>
      </c>
      <c r="E537" s="8" t="s">
        <v>71</v>
      </c>
      <c r="F537" s="8" t="s">
        <v>20</v>
      </c>
      <c r="G537" s="8" t="n">
        <v>15</v>
      </c>
      <c r="H537" s="9" t="n">
        <v>49.99</v>
      </c>
      <c r="I537" s="9" t="n">
        <v>19</v>
      </c>
      <c r="J537" s="10" t="n">
        <v>0.2</v>
      </c>
      <c r="K537" s="9" t="n">
        <f aca="false">G537*H537*(1-J537)</f>
        <v>599.88</v>
      </c>
      <c r="L537" s="9" t="n">
        <f aca="false">G537*I537</f>
        <v>285</v>
      </c>
      <c r="M537" s="9" t="n">
        <f aca="false">K537-L537</f>
        <v>314.88</v>
      </c>
      <c r="N537" s="11" t="n">
        <f aca="false">IF(K537=0,0,M537/K537)</f>
        <v>0.524904980996199</v>
      </c>
      <c r="O537" s="9" t="n">
        <f aca="false">(G537*H537)-K537</f>
        <v>149.97</v>
      </c>
      <c r="P537" s="8" t="s">
        <v>21</v>
      </c>
    </row>
    <row r="538" customFormat="false" ht="15" hidden="false" customHeight="false" outlineLevel="0" collapsed="false">
      <c r="A538" s="2" t="n">
        <v>46106</v>
      </c>
      <c r="B538" s="3" t="s">
        <v>16</v>
      </c>
      <c r="C538" s="3" t="s">
        <v>17</v>
      </c>
      <c r="D538" s="3" t="s">
        <v>88</v>
      </c>
      <c r="E538" s="3" t="s">
        <v>89</v>
      </c>
      <c r="F538" s="3" t="s">
        <v>57</v>
      </c>
      <c r="G538" s="3" t="n">
        <v>18</v>
      </c>
      <c r="H538" s="4" t="n">
        <v>12.99</v>
      </c>
      <c r="I538" s="4" t="n">
        <v>4.5</v>
      </c>
      <c r="J538" s="5" t="n">
        <v>0.3</v>
      </c>
      <c r="K538" s="4" t="n">
        <f aca="false">G538*H538*(1-J538)</f>
        <v>163.674</v>
      </c>
      <c r="L538" s="4" t="n">
        <f aca="false">G538*I538</f>
        <v>81</v>
      </c>
      <c r="M538" s="4" t="n">
        <f aca="false">K538-L538</f>
        <v>82.674</v>
      </c>
      <c r="N538" s="6" t="n">
        <f aca="false">IF(K538=0,0,M538/K538)</f>
        <v>0.505113823820521</v>
      </c>
      <c r="O538" s="4" t="n">
        <f aca="false">(G538*H538)-K538</f>
        <v>70.146</v>
      </c>
      <c r="P538" s="3" t="s">
        <v>21</v>
      </c>
    </row>
    <row r="539" customFormat="false" ht="15" hidden="false" customHeight="false" outlineLevel="0" collapsed="false">
      <c r="A539" s="7" t="n">
        <v>46047</v>
      </c>
      <c r="B539" s="8" t="s">
        <v>41</v>
      </c>
      <c r="C539" s="8" t="s">
        <v>28</v>
      </c>
      <c r="D539" s="8" t="s">
        <v>55</v>
      </c>
      <c r="E539" s="8" t="s">
        <v>56</v>
      </c>
      <c r="F539" s="8" t="s">
        <v>57</v>
      </c>
      <c r="G539" s="8" t="n">
        <v>3</v>
      </c>
      <c r="H539" s="9" t="n">
        <v>29.99</v>
      </c>
      <c r="I539" s="9" t="n">
        <v>11</v>
      </c>
      <c r="J539" s="10" t="n">
        <v>0</v>
      </c>
      <c r="K539" s="9" t="n">
        <f aca="false">G539*H539*(1-J539)</f>
        <v>89.97</v>
      </c>
      <c r="L539" s="9" t="n">
        <f aca="false">G539*I539</f>
        <v>33</v>
      </c>
      <c r="M539" s="9" t="n">
        <f aca="false">K539-L539</f>
        <v>56.97</v>
      </c>
      <c r="N539" s="11" t="n">
        <f aca="false">IF(K539=0,0,M539/K539)</f>
        <v>0.633211070356786</v>
      </c>
      <c r="O539" s="9" t="n">
        <f aca="false">(G539*H539)-K539</f>
        <v>0</v>
      </c>
      <c r="P539" s="8" t="s">
        <v>21</v>
      </c>
    </row>
    <row r="540" customFormat="false" ht="15" hidden="false" customHeight="false" outlineLevel="0" collapsed="false">
      <c r="A540" s="2" t="n">
        <v>46093</v>
      </c>
      <c r="B540" s="3" t="s">
        <v>27</v>
      </c>
      <c r="C540" s="3" t="s">
        <v>28</v>
      </c>
      <c r="D540" s="3" t="s">
        <v>86</v>
      </c>
      <c r="E540" s="3" t="s">
        <v>87</v>
      </c>
      <c r="F540" s="3" t="s">
        <v>40</v>
      </c>
      <c r="G540" s="3" t="n">
        <v>10</v>
      </c>
      <c r="H540" s="4" t="n">
        <v>16.99</v>
      </c>
      <c r="I540" s="4" t="n">
        <v>5.5</v>
      </c>
      <c r="J540" s="5" t="n">
        <v>0</v>
      </c>
      <c r="K540" s="4" t="n">
        <f aca="false">G540*H540*(1-J540)</f>
        <v>169.9</v>
      </c>
      <c r="L540" s="4" t="n">
        <f aca="false">G540*I540</f>
        <v>55</v>
      </c>
      <c r="M540" s="4" t="n">
        <f aca="false">K540-L540</f>
        <v>114.9</v>
      </c>
      <c r="N540" s="6" t="n">
        <f aca="false">IF(K540=0,0,M540/K540)</f>
        <v>0.676280164802825</v>
      </c>
      <c r="O540" s="4" t="n">
        <f aca="false">(G540*H540)-K540</f>
        <v>0</v>
      </c>
      <c r="P540" s="3" t="s">
        <v>21</v>
      </c>
    </row>
    <row r="541" customFormat="false" ht="15" hidden="false" customHeight="false" outlineLevel="0" collapsed="false">
      <c r="A541" s="7" t="n">
        <v>46101</v>
      </c>
      <c r="B541" s="8" t="s">
        <v>22</v>
      </c>
      <c r="C541" s="8" t="s">
        <v>23</v>
      </c>
      <c r="D541" s="8" t="s">
        <v>95</v>
      </c>
      <c r="E541" s="8" t="s">
        <v>96</v>
      </c>
      <c r="F541" s="8" t="s">
        <v>50</v>
      </c>
      <c r="G541" s="8" t="n">
        <v>15</v>
      </c>
      <c r="H541" s="9" t="n">
        <v>34.99</v>
      </c>
      <c r="I541" s="9" t="n">
        <v>12</v>
      </c>
      <c r="J541" s="10" t="n">
        <v>0</v>
      </c>
      <c r="K541" s="9" t="n">
        <f aca="false">G541*H541*(1-J541)</f>
        <v>524.85</v>
      </c>
      <c r="L541" s="9" t="n">
        <f aca="false">G541*I541</f>
        <v>180</v>
      </c>
      <c r="M541" s="9" t="n">
        <f aca="false">K541-L541</f>
        <v>344.85</v>
      </c>
      <c r="N541" s="11" t="n">
        <f aca="false">IF(K541=0,0,M541/K541)</f>
        <v>0.657044869962847</v>
      </c>
      <c r="O541" s="9" t="n">
        <f aca="false">(G541*H541)-K541</f>
        <v>0</v>
      </c>
      <c r="P541" s="8" t="s">
        <v>21</v>
      </c>
    </row>
    <row r="542" customFormat="false" ht="15" hidden="false" customHeight="false" outlineLevel="0" collapsed="false">
      <c r="A542" s="2" t="n">
        <v>46105</v>
      </c>
      <c r="B542" s="3" t="s">
        <v>58</v>
      </c>
      <c r="C542" s="3" t="s">
        <v>58</v>
      </c>
      <c r="D542" s="3" t="s">
        <v>68</v>
      </c>
      <c r="E542" s="3" t="s">
        <v>69</v>
      </c>
      <c r="F542" s="3" t="s">
        <v>40</v>
      </c>
      <c r="G542" s="3" t="n">
        <v>12</v>
      </c>
      <c r="H542" s="4" t="n">
        <v>24.99</v>
      </c>
      <c r="I542" s="4" t="n">
        <v>9</v>
      </c>
      <c r="J542" s="5" t="n">
        <v>0.2</v>
      </c>
      <c r="K542" s="4" t="n">
        <f aca="false">G542*H542*(1-J542)</f>
        <v>239.904</v>
      </c>
      <c r="L542" s="4" t="n">
        <f aca="false">G542*I542</f>
        <v>108</v>
      </c>
      <c r="M542" s="4" t="n">
        <f aca="false">K542-L542</f>
        <v>131.904</v>
      </c>
      <c r="N542" s="6" t="n">
        <f aca="false">IF(K542=0,0,M542/K542)</f>
        <v>0.549819927971189</v>
      </c>
      <c r="O542" s="4" t="n">
        <f aca="false">(G542*H542)-K542</f>
        <v>59.976</v>
      </c>
      <c r="P542" s="3" t="s">
        <v>21</v>
      </c>
    </row>
    <row r="543" customFormat="false" ht="15" hidden="false" customHeight="false" outlineLevel="0" collapsed="false">
      <c r="A543" s="7" t="n">
        <v>46078</v>
      </c>
      <c r="B543" s="8" t="s">
        <v>41</v>
      </c>
      <c r="C543" s="8" t="s">
        <v>28</v>
      </c>
      <c r="D543" s="8" t="s">
        <v>93</v>
      </c>
      <c r="E543" s="8" t="s">
        <v>94</v>
      </c>
      <c r="F543" s="8" t="s">
        <v>34</v>
      </c>
      <c r="G543" s="8" t="n">
        <v>26</v>
      </c>
      <c r="H543" s="9" t="n">
        <v>29.99</v>
      </c>
      <c r="I543" s="9" t="n">
        <v>9</v>
      </c>
      <c r="J543" s="10" t="n">
        <v>0.1</v>
      </c>
      <c r="K543" s="9" t="n">
        <f aca="false">G543*H543*(1-J543)</f>
        <v>701.766</v>
      </c>
      <c r="L543" s="9" t="n">
        <f aca="false">G543*I543</f>
        <v>234</v>
      </c>
      <c r="M543" s="9" t="n">
        <f aca="false">K543-L543</f>
        <v>467.766</v>
      </c>
      <c r="N543" s="11" t="n">
        <f aca="false">IF(K543=0,0,M543/K543)</f>
        <v>0.666555518506169</v>
      </c>
      <c r="O543" s="9" t="n">
        <f aca="false">(G543*H543)-K543</f>
        <v>77.9739999999999</v>
      </c>
      <c r="P543" s="8" t="s">
        <v>21</v>
      </c>
    </row>
    <row r="544" customFormat="false" ht="15" hidden="false" customHeight="false" outlineLevel="0" collapsed="false">
      <c r="A544" s="2" t="n">
        <v>46111</v>
      </c>
      <c r="B544" s="3" t="s">
        <v>16</v>
      </c>
      <c r="C544" s="3" t="s">
        <v>17</v>
      </c>
      <c r="D544" s="3" t="s">
        <v>95</v>
      </c>
      <c r="E544" s="3" t="s">
        <v>96</v>
      </c>
      <c r="F544" s="3" t="s">
        <v>50</v>
      </c>
      <c r="G544" s="3" t="n">
        <v>30</v>
      </c>
      <c r="H544" s="4" t="n">
        <v>34.99</v>
      </c>
      <c r="I544" s="4" t="n">
        <v>12</v>
      </c>
      <c r="J544" s="5" t="n">
        <v>0</v>
      </c>
      <c r="K544" s="4" t="n">
        <f aca="false">G544*H544*(1-J544)</f>
        <v>1049.7</v>
      </c>
      <c r="L544" s="4" t="n">
        <f aca="false">G544*I544</f>
        <v>360</v>
      </c>
      <c r="M544" s="4" t="n">
        <f aca="false">K544-L544</f>
        <v>689.7</v>
      </c>
      <c r="N544" s="6" t="n">
        <f aca="false">IF(K544=0,0,M544/K544)</f>
        <v>0.657044869962847</v>
      </c>
      <c r="O544" s="4" t="n">
        <f aca="false">(G544*H544)-K544</f>
        <v>0</v>
      </c>
      <c r="P544" s="3" t="s">
        <v>21</v>
      </c>
    </row>
    <row r="545" customFormat="false" ht="15" hidden="false" customHeight="false" outlineLevel="0" collapsed="false">
      <c r="A545" s="7" t="n">
        <v>46065</v>
      </c>
      <c r="B545" s="8" t="s">
        <v>22</v>
      </c>
      <c r="C545" s="8" t="s">
        <v>23</v>
      </c>
      <c r="D545" s="8" t="s">
        <v>55</v>
      </c>
      <c r="E545" s="8" t="s">
        <v>56</v>
      </c>
      <c r="F545" s="8" t="s">
        <v>57</v>
      </c>
      <c r="G545" s="8" t="n">
        <v>8</v>
      </c>
      <c r="H545" s="9" t="n">
        <v>29.99</v>
      </c>
      <c r="I545" s="9" t="n">
        <v>11</v>
      </c>
      <c r="J545" s="10" t="n">
        <v>0.05</v>
      </c>
      <c r="K545" s="9" t="n">
        <f aca="false">G545*H545*(1-J545)</f>
        <v>227.924</v>
      </c>
      <c r="L545" s="9" t="n">
        <f aca="false">G545*I545</f>
        <v>88</v>
      </c>
      <c r="M545" s="9" t="n">
        <f aca="false">K545-L545</f>
        <v>139.924</v>
      </c>
      <c r="N545" s="11" t="n">
        <f aca="false">IF(K545=0,0,M545/K545)</f>
        <v>0.613906389849248</v>
      </c>
      <c r="O545" s="9" t="n">
        <f aca="false">(G545*H545)-K545</f>
        <v>11.996</v>
      </c>
      <c r="P545" s="8" t="s">
        <v>21</v>
      </c>
    </row>
    <row r="546" customFormat="false" ht="15" hidden="false" customHeight="false" outlineLevel="0" collapsed="false">
      <c r="A546" s="2" t="n">
        <v>46041</v>
      </c>
      <c r="B546" s="3" t="s">
        <v>22</v>
      </c>
      <c r="C546" s="3" t="s">
        <v>23</v>
      </c>
      <c r="D546" s="3" t="s">
        <v>61</v>
      </c>
      <c r="E546" s="3" t="s">
        <v>62</v>
      </c>
      <c r="F546" s="3" t="s">
        <v>34</v>
      </c>
      <c r="G546" s="3" t="n">
        <v>8</v>
      </c>
      <c r="H546" s="4" t="n">
        <v>14.99</v>
      </c>
      <c r="I546" s="4" t="n">
        <v>4.5</v>
      </c>
      <c r="J546" s="5" t="n">
        <v>0.1</v>
      </c>
      <c r="K546" s="4" t="n">
        <f aca="false">G546*H546*(1-J546)</f>
        <v>107.928</v>
      </c>
      <c r="L546" s="4" t="n">
        <f aca="false">G546*I546</f>
        <v>36</v>
      </c>
      <c r="M546" s="4" t="n">
        <f aca="false">K546-L546</f>
        <v>71.928</v>
      </c>
      <c r="N546" s="6" t="n">
        <f aca="false">IF(K546=0,0,M546/K546)</f>
        <v>0.666444296197465</v>
      </c>
      <c r="O546" s="4" t="n">
        <f aca="false">(G546*H546)-K546</f>
        <v>11.992</v>
      </c>
      <c r="P546" s="3" t="s">
        <v>21</v>
      </c>
    </row>
    <row r="547" customFormat="false" ht="15" hidden="false" customHeight="false" outlineLevel="0" collapsed="false">
      <c r="A547" s="7" t="n">
        <v>46037</v>
      </c>
      <c r="B547" s="8" t="s">
        <v>58</v>
      </c>
      <c r="C547" s="8" t="s">
        <v>58</v>
      </c>
      <c r="D547" s="8" t="s">
        <v>80</v>
      </c>
      <c r="E547" s="8" t="s">
        <v>81</v>
      </c>
      <c r="F547" s="8" t="s">
        <v>57</v>
      </c>
      <c r="G547" s="8" t="n">
        <v>26</v>
      </c>
      <c r="H547" s="9" t="n">
        <v>17.99</v>
      </c>
      <c r="I547" s="9" t="n">
        <v>6.5</v>
      </c>
      <c r="J547" s="10" t="n">
        <v>0.25</v>
      </c>
      <c r="K547" s="9" t="n">
        <f aca="false">G547*H547*(1-J547)</f>
        <v>350.805</v>
      </c>
      <c r="L547" s="9" t="n">
        <f aca="false">G547*I547</f>
        <v>169</v>
      </c>
      <c r="M547" s="9" t="n">
        <f aca="false">K547-L547</f>
        <v>181.805</v>
      </c>
      <c r="N547" s="11" t="n">
        <f aca="false">IF(K547=0,0,M547/K547)</f>
        <v>0.518250880118584</v>
      </c>
      <c r="O547" s="9" t="n">
        <f aca="false">(G547*H547)-K547</f>
        <v>116.935</v>
      </c>
      <c r="P547" s="8" t="s">
        <v>21</v>
      </c>
    </row>
    <row r="548" customFormat="false" ht="15" hidden="false" customHeight="false" outlineLevel="0" collapsed="false">
      <c r="A548" s="2" t="n">
        <v>46105</v>
      </c>
      <c r="B548" s="3" t="s">
        <v>16</v>
      </c>
      <c r="C548" s="3" t="s">
        <v>17</v>
      </c>
      <c r="D548" s="3" t="s">
        <v>80</v>
      </c>
      <c r="E548" s="3" t="s">
        <v>81</v>
      </c>
      <c r="F548" s="3" t="s">
        <v>57</v>
      </c>
      <c r="G548" s="3" t="n">
        <v>26</v>
      </c>
      <c r="H548" s="4" t="n">
        <v>17.99</v>
      </c>
      <c r="I548" s="4" t="n">
        <v>6.5</v>
      </c>
      <c r="J548" s="5" t="n">
        <v>0</v>
      </c>
      <c r="K548" s="4" t="n">
        <f aca="false">G548*H548*(1-J548)</f>
        <v>467.74</v>
      </c>
      <c r="L548" s="4" t="n">
        <f aca="false">G548*I548</f>
        <v>169</v>
      </c>
      <c r="M548" s="4" t="n">
        <f aca="false">K548-L548</f>
        <v>298.74</v>
      </c>
      <c r="N548" s="6" t="n">
        <f aca="false">IF(K548=0,0,M548/K548)</f>
        <v>0.638688160088938</v>
      </c>
      <c r="O548" s="4" t="n">
        <f aca="false">(G548*H548)-K548</f>
        <v>0</v>
      </c>
      <c r="P548" s="3" t="s">
        <v>21</v>
      </c>
    </row>
    <row r="549" customFormat="false" ht="15" hidden="false" customHeight="false" outlineLevel="0" collapsed="false">
      <c r="A549" s="7" t="n">
        <v>46130</v>
      </c>
      <c r="B549" s="8" t="s">
        <v>37</v>
      </c>
      <c r="C549" s="8" t="s">
        <v>17</v>
      </c>
      <c r="D549" s="8" t="s">
        <v>70</v>
      </c>
      <c r="E549" s="8" t="s">
        <v>71</v>
      </c>
      <c r="F549" s="8" t="s">
        <v>20</v>
      </c>
      <c r="G549" s="8" t="n">
        <v>12</v>
      </c>
      <c r="H549" s="9" t="n">
        <v>49.99</v>
      </c>
      <c r="I549" s="9" t="n">
        <v>19</v>
      </c>
      <c r="J549" s="10" t="n">
        <v>0</v>
      </c>
      <c r="K549" s="9" t="n">
        <f aca="false">G549*H549*(1-J549)</f>
        <v>599.88</v>
      </c>
      <c r="L549" s="9" t="n">
        <f aca="false">G549*I549</f>
        <v>228</v>
      </c>
      <c r="M549" s="9" t="n">
        <f aca="false">K549-L549</f>
        <v>371.88</v>
      </c>
      <c r="N549" s="11" t="n">
        <f aca="false">IF(K549=0,0,M549/K549)</f>
        <v>0.619923984796959</v>
      </c>
      <c r="O549" s="9" t="n">
        <f aca="false">(G549*H549)-K549</f>
        <v>0</v>
      </c>
      <c r="P549" s="8" t="s">
        <v>21</v>
      </c>
    </row>
    <row r="550" customFormat="false" ht="15" hidden="false" customHeight="false" outlineLevel="0" collapsed="false">
      <c r="A550" s="2" t="n">
        <v>46112</v>
      </c>
      <c r="B550" s="3" t="s">
        <v>22</v>
      </c>
      <c r="C550" s="3" t="s">
        <v>23</v>
      </c>
      <c r="D550" s="3" t="s">
        <v>70</v>
      </c>
      <c r="E550" s="3" t="s">
        <v>71</v>
      </c>
      <c r="F550" s="3" t="s">
        <v>20</v>
      </c>
      <c r="G550" s="3" t="n">
        <v>16</v>
      </c>
      <c r="H550" s="4" t="n">
        <v>49.99</v>
      </c>
      <c r="I550" s="4" t="n">
        <v>19</v>
      </c>
      <c r="J550" s="5" t="n">
        <v>0</v>
      </c>
      <c r="K550" s="4" t="n">
        <f aca="false">G550*H550*(1-J550)</f>
        <v>799.84</v>
      </c>
      <c r="L550" s="4" t="n">
        <f aca="false">G550*I550</f>
        <v>304</v>
      </c>
      <c r="M550" s="4" t="n">
        <f aca="false">K550-L550</f>
        <v>495.84</v>
      </c>
      <c r="N550" s="6" t="n">
        <f aca="false">IF(K550=0,0,M550/K550)</f>
        <v>0.619923984796959</v>
      </c>
      <c r="O550" s="4" t="n">
        <f aca="false">(G550*H550)-K550</f>
        <v>0</v>
      </c>
      <c r="P550" s="3" t="s">
        <v>21</v>
      </c>
    </row>
    <row r="551" customFormat="false" ht="15" hidden="false" customHeight="false" outlineLevel="0" collapsed="false">
      <c r="A551" s="7" t="n">
        <v>46025</v>
      </c>
      <c r="B551" s="8" t="s">
        <v>37</v>
      </c>
      <c r="C551" s="8" t="s">
        <v>17</v>
      </c>
      <c r="D551" s="8" t="s">
        <v>82</v>
      </c>
      <c r="E551" s="8" t="s">
        <v>83</v>
      </c>
      <c r="F551" s="8" t="s">
        <v>26</v>
      </c>
      <c r="G551" s="8" t="n">
        <v>24</v>
      </c>
      <c r="H551" s="9" t="n">
        <v>44.99</v>
      </c>
      <c r="I551" s="9" t="n">
        <v>18</v>
      </c>
      <c r="J551" s="10" t="n">
        <v>0</v>
      </c>
      <c r="K551" s="9" t="n">
        <f aca="false">G551*H551*(1-J551)</f>
        <v>1079.76</v>
      </c>
      <c r="L551" s="9" t="n">
        <f aca="false">G551*I551</f>
        <v>432</v>
      </c>
      <c r="M551" s="9" t="n">
        <f aca="false">K551-L551</f>
        <v>647.76</v>
      </c>
      <c r="N551" s="11" t="n">
        <f aca="false">IF(K551=0,0,M551/K551)</f>
        <v>0.599911091353634</v>
      </c>
      <c r="O551" s="9" t="n">
        <f aca="false">(G551*H551)-K551</f>
        <v>0</v>
      </c>
      <c r="P551" s="8" t="s">
        <v>21</v>
      </c>
    </row>
    <row r="552" customFormat="false" ht="15" hidden="false" customHeight="false" outlineLevel="0" collapsed="false">
      <c r="A552" s="2" t="n">
        <v>46039</v>
      </c>
      <c r="B552" s="3" t="s">
        <v>31</v>
      </c>
      <c r="C552" s="3" t="s">
        <v>23</v>
      </c>
      <c r="D552" s="3" t="s">
        <v>66</v>
      </c>
      <c r="E552" s="3" t="s">
        <v>67</v>
      </c>
      <c r="F552" s="3" t="s">
        <v>57</v>
      </c>
      <c r="G552" s="3" t="n">
        <v>29</v>
      </c>
      <c r="H552" s="4" t="n">
        <v>14.99</v>
      </c>
      <c r="I552" s="4" t="n">
        <v>5.5</v>
      </c>
      <c r="J552" s="5" t="n">
        <v>0.3</v>
      </c>
      <c r="K552" s="4" t="n">
        <f aca="false">G552*H552*(1-J552)</f>
        <v>304.297</v>
      </c>
      <c r="L552" s="4" t="n">
        <f aca="false">G552*I552</f>
        <v>159.5</v>
      </c>
      <c r="M552" s="4" t="n">
        <f aca="false">K552-L552</f>
        <v>144.797</v>
      </c>
      <c r="N552" s="6" t="n">
        <f aca="false">IF(K552=0,0,M552/K552)</f>
        <v>0.475841036881731</v>
      </c>
      <c r="O552" s="4" t="n">
        <f aca="false">(G552*H552)-K552</f>
        <v>130.413</v>
      </c>
      <c r="P552" s="3" t="s">
        <v>21</v>
      </c>
    </row>
    <row r="553" customFormat="false" ht="15" hidden="false" customHeight="false" outlineLevel="0" collapsed="false">
      <c r="A553" s="7" t="n">
        <v>46048</v>
      </c>
      <c r="B553" s="8" t="s">
        <v>22</v>
      </c>
      <c r="C553" s="8" t="s">
        <v>23</v>
      </c>
      <c r="D553" s="8" t="s">
        <v>70</v>
      </c>
      <c r="E553" s="8" t="s">
        <v>71</v>
      </c>
      <c r="F553" s="8" t="s">
        <v>20</v>
      </c>
      <c r="G553" s="8" t="n">
        <v>28</v>
      </c>
      <c r="H553" s="9" t="n">
        <v>49.99</v>
      </c>
      <c r="I553" s="9" t="n">
        <v>19</v>
      </c>
      <c r="J553" s="10" t="n">
        <v>0</v>
      </c>
      <c r="K553" s="9" t="n">
        <f aca="false">G553*H553*(1-J553)</f>
        <v>1399.72</v>
      </c>
      <c r="L553" s="9" t="n">
        <f aca="false">G553*I553</f>
        <v>532</v>
      </c>
      <c r="M553" s="9" t="n">
        <f aca="false">K553-L553</f>
        <v>867.72</v>
      </c>
      <c r="N553" s="11" t="n">
        <f aca="false">IF(K553=0,0,M553/K553)</f>
        <v>0.619923984796959</v>
      </c>
      <c r="O553" s="9" t="n">
        <f aca="false">(G553*H553)-K553</f>
        <v>0</v>
      </c>
      <c r="P553" s="8" t="s">
        <v>21</v>
      </c>
    </row>
    <row r="554" customFormat="false" ht="15" hidden="false" customHeight="false" outlineLevel="0" collapsed="false">
      <c r="A554" s="2" t="n">
        <v>46036</v>
      </c>
      <c r="B554" s="3" t="s">
        <v>37</v>
      </c>
      <c r="C554" s="3" t="s">
        <v>17</v>
      </c>
      <c r="D554" s="3" t="s">
        <v>90</v>
      </c>
      <c r="E554" s="3" t="s">
        <v>91</v>
      </c>
      <c r="F554" s="3" t="s">
        <v>26</v>
      </c>
      <c r="G554" s="3" t="n">
        <v>28</v>
      </c>
      <c r="H554" s="4" t="n">
        <v>29.99</v>
      </c>
      <c r="I554" s="4" t="n">
        <v>11</v>
      </c>
      <c r="J554" s="5" t="n">
        <v>0</v>
      </c>
      <c r="K554" s="4" t="n">
        <f aca="false">G554*H554*(1-J554)</f>
        <v>839.72</v>
      </c>
      <c r="L554" s="4" t="n">
        <f aca="false">G554*I554</f>
        <v>308</v>
      </c>
      <c r="M554" s="4" t="n">
        <f aca="false">K554-L554</f>
        <v>531.72</v>
      </c>
      <c r="N554" s="6" t="n">
        <f aca="false">IF(K554=0,0,M554/K554)</f>
        <v>0.633211070356786</v>
      </c>
      <c r="O554" s="4" t="n">
        <f aca="false">(G554*H554)-K554</f>
        <v>0</v>
      </c>
      <c r="P554" s="3" t="s">
        <v>21</v>
      </c>
    </row>
    <row r="555" customFormat="false" ht="15" hidden="false" customHeight="false" outlineLevel="0" collapsed="false">
      <c r="A555" s="7" t="n">
        <v>46029</v>
      </c>
      <c r="B555" s="8" t="s">
        <v>64</v>
      </c>
      <c r="C555" s="8" t="s">
        <v>65</v>
      </c>
      <c r="D555" s="8" t="s">
        <v>70</v>
      </c>
      <c r="E555" s="8" t="s">
        <v>71</v>
      </c>
      <c r="F555" s="8" t="s">
        <v>20</v>
      </c>
      <c r="G555" s="8" t="n">
        <v>7</v>
      </c>
      <c r="H555" s="9" t="n">
        <v>49.99</v>
      </c>
      <c r="I555" s="9" t="n">
        <v>19</v>
      </c>
      <c r="J555" s="10" t="n">
        <v>0.25</v>
      </c>
      <c r="K555" s="9" t="n">
        <f aca="false">G555*H555*(1-J555)</f>
        <v>262.4475</v>
      </c>
      <c r="L555" s="9" t="n">
        <f aca="false">G555*I555</f>
        <v>133</v>
      </c>
      <c r="M555" s="9" t="n">
        <f aca="false">K555-L555</f>
        <v>129.4475</v>
      </c>
      <c r="N555" s="11" t="n">
        <f aca="false">IF(K555=0,0,M555/K555)</f>
        <v>0.493231979729279</v>
      </c>
      <c r="O555" s="9" t="n">
        <f aca="false">(G555*H555)-K555</f>
        <v>87.4825</v>
      </c>
      <c r="P555" s="8" t="s">
        <v>21</v>
      </c>
    </row>
    <row r="556" customFormat="false" ht="15" hidden="false" customHeight="false" outlineLevel="0" collapsed="false">
      <c r="A556" s="2" t="n">
        <v>46039</v>
      </c>
      <c r="B556" s="3" t="s">
        <v>27</v>
      </c>
      <c r="C556" s="3" t="s">
        <v>28</v>
      </c>
      <c r="D556" s="3" t="s">
        <v>93</v>
      </c>
      <c r="E556" s="3" t="s">
        <v>94</v>
      </c>
      <c r="F556" s="3" t="s">
        <v>34</v>
      </c>
      <c r="G556" s="3" t="n">
        <v>26</v>
      </c>
      <c r="H556" s="4" t="n">
        <v>29.99</v>
      </c>
      <c r="I556" s="4" t="n">
        <v>9</v>
      </c>
      <c r="J556" s="5" t="n">
        <v>0.2</v>
      </c>
      <c r="K556" s="4" t="n">
        <f aca="false">G556*H556*(1-J556)</f>
        <v>623.792</v>
      </c>
      <c r="L556" s="4" t="n">
        <f aca="false">G556*I556</f>
        <v>234</v>
      </c>
      <c r="M556" s="4" t="n">
        <f aca="false">K556-L556</f>
        <v>389.792</v>
      </c>
      <c r="N556" s="6" t="n">
        <f aca="false">IF(K556=0,0,M556/K556)</f>
        <v>0.62487495831944</v>
      </c>
      <c r="O556" s="4" t="n">
        <f aca="false">(G556*H556)-K556</f>
        <v>155.948</v>
      </c>
      <c r="P556" s="3" t="s">
        <v>21</v>
      </c>
    </row>
    <row r="557" customFormat="false" ht="15" hidden="false" customHeight="false" outlineLevel="0" collapsed="false">
      <c r="A557" s="7" t="n">
        <v>46090</v>
      </c>
      <c r="B557" s="8" t="s">
        <v>31</v>
      </c>
      <c r="C557" s="8" t="s">
        <v>23</v>
      </c>
      <c r="D557" s="8" t="s">
        <v>76</v>
      </c>
      <c r="E557" s="8" t="s">
        <v>77</v>
      </c>
      <c r="F557" s="8" t="s">
        <v>34</v>
      </c>
      <c r="G557" s="8" t="n">
        <v>27</v>
      </c>
      <c r="H557" s="9" t="n">
        <v>49.99</v>
      </c>
      <c r="I557" s="9" t="n">
        <v>14</v>
      </c>
      <c r="J557" s="10" t="n">
        <v>0.2</v>
      </c>
      <c r="K557" s="9" t="n">
        <f aca="false">G557*H557*(1-J557)</f>
        <v>1079.784</v>
      </c>
      <c r="L557" s="9" t="n">
        <f aca="false">G557*I557</f>
        <v>378</v>
      </c>
      <c r="M557" s="9" t="n">
        <f aca="false">K557-L557</f>
        <v>701.784</v>
      </c>
      <c r="N557" s="11" t="n">
        <f aca="false">IF(K557=0,0,M557/K557)</f>
        <v>0.649929985997199</v>
      </c>
      <c r="O557" s="9" t="n">
        <f aca="false">(G557*H557)-K557</f>
        <v>269.946</v>
      </c>
      <c r="P557" s="8" t="s">
        <v>21</v>
      </c>
    </row>
    <row r="558" customFormat="false" ht="15" hidden="false" customHeight="false" outlineLevel="0" collapsed="false">
      <c r="A558" s="2" t="n">
        <v>46124</v>
      </c>
      <c r="B558" s="3" t="s">
        <v>41</v>
      </c>
      <c r="C558" s="3" t="s">
        <v>28</v>
      </c>
      <c r="D558" s="3" t="s">
        <v>53</v>
      </c>
      <c r="E558" s="3" t="s">
        <v>54</v>
      </c>
      <c r="F558" s="3" t="s">
        <v>50</v>
      </c>
      <c r="G558" s="3" t="n">
        <v>3</v>
      </c>
      <c r="H558" s="4" t="n">
        <v>6.14</v>
      </c>
      <c r="I558" s="4" t="n">
        <v>8</v>
      </c>
      <c r="J558" s="5" t="n">
        <v>0</v>
      </c>
      <c r="K558" s="4" t="n">
        <f aca="false">G558*H558*(1-J558)</f>
        <v>18.42</v>
      </c>
      <c r="L558" s="4" t="n">
        <f aca="false">G558*I558</f>
        <v>24</v>
      </c>
      <c r="M558" s="4" t="n">
        <f aca="false">K558-L558</f>
        <v>-5.58</v>
      </c>
      <c r="N558" s="6" t="n">
        <f aca="false">IF(K558=0,0,M558/K558)</f>
        <v>-0.302931596091205</v>
      </c>
      <c r="O558" s="4" t="n">
        <f aca="false">(G558*H558)-K558</f>
        <v>0</v>
      </c>
      <c r="P558" s="15" t="s">
        <v>98</v>
      </c>
    </row>
    <row r="559" customFormat="false" ht="15" hidden="false" customHeight="false" outlineLevel="0" collapsed="false">
      <c r="A559" s="7" t="n">
        <v>46047</v>
      </c>
      <c r="B559" s="8" t="s">
        <v>27</v>
      </c>
      <c r="C559" s="8" t="s">
        <v>28</v>
      </c>
      <c r="D559" s="8" t="s">
        <v>44</v>
      </c>
      <c r="E559" s="8" t="s">
        <v>45</v>
      </c>
      <c r="F559" s="8" t="s">
        <v>40</v>
      </c>
      <c r="G559" s="8" t="n">
        <v>12</v>
      </c>
      <c r="H559" s="9" t="n">
        <v>29.99</v>
      </c>
      <c r="I559" s="9" t="n">
        <v>11</v>
      </c>
      <c r="J559" s="10" t="n">
        <v>0.05</v>
      </c>
      <c r="K559" s="9" t="n">
        <f aca="false">G559*H559*(1-J559)</f>
        <v>341.886</v>
      </c>
      <c r="L559" s="9" t="n">
        <f aca="false">G559*I559</f>
        <v>132</v>
      </c>
      <c r="M559" s="9" t="n">
        <f aca="false">K559-L559</f>
        <v>209.886</v>
      </c>
      <c r="N559" s="11" t="n">
        <f aca="false">IF(K559=0,0,M559/K559)</f>
        <v>0.613906389849248</v>
      </c>
      <c r="O559" s="9" t="n">
        <f aca="false">(G559*H559)-K559</f>
        <v>17.994</v>
      </c>
      <c r="P559" s="8" t="s">
        <v>21</v>
      </c>
    </row>
    <row r="560" customFormat="false" ht="15" hidden="false" customHeight="false" outlineLevel="0" collapsed="false">
      <c r="A560" s="2" t="n">
        <v>46087</v>
      </c>
      <c r="B560" s="3" t="s">
        <v>22</v>
      </c>
      <c r="C560" s="3" t="s">
        <v>23</v>
      </c>
      <c r="D560" s="3" t="s">
        <v>84</v>
      </c>
      <c r="E560" s="3" t="s">
        <v>85</v>
      </c>
      <c r="F560" s="3" t="s">
        <v>20</v>
      </c>
      <c r="G560" s="3" t="n">
        <v>16</v>
      </c>
      <c r="H560" s="4" t="n">
        <v>34.99</v>
      </c>
      <c r="I560" s="4" t="n">
        <v>13</v>
      </c>
      <c r="J560" s="5" t="n">
        <v>0.3</v>
      </c>
      <c r="K560" s="4" t="n">
        <f aca="false">G560*H560*(1-J560)</f>
        <v>391.888</v>
      </c>
      <c r="L560" s="4" t="n">
        <f aca="false">G560*I560</f>
        <v>208</v>
      </c>
      <c r="M560" s="4" t="n">
        <f aca="false">K560-L560</f>
        <v>183.888</v>
      </c>
      <c r="N560" s="6" t="n">
        <f aca="false">IF(K560=0,0,M560/K560)</f>
        <v>0.469236108275834</v>
      </c>
      <c r="O560" s="4" t="n">
        <f aca="false">(G560*H560)-K560</f>
        <v>167.952</v>
      </c>
      <c r="P560" s="3" t="s">
        <v>21</v>
      </c>
    </row>
    <row r="561" customFormat="false" ht="15" hidden="false" customHeight="false" outlineLevel="0" collapsed="false">
      <c r="A561" s="7" t="n">
        <v>46120</v>
      </c>
      <c r="B561" s="8" t="s">
        <v>22</v>
      </c>
      <c r="C561" s="8" t="s">
        <v>23</v>
      </c>
      <c r="D561" s="8" t="s">
        <v>80</v>
      </c>
      <c r="E561" s="8" t="s">
        <v>81</v>
      </c>
      <c r="F561" s="8" t="s">
        <v>57</v>
      </c>
      <c r="G561" s="8" t="n">
        <v>25</v>
      </c>
      <c r="H561" s="9" t="n">
        <v>17.99</v>
      </c>
      <c r="I561" s="9" t="n">
        <v>6.5</v>
      </c>
      <c r="J561" s="10" t="n">
        <v>0</v>
      </c>
      <c r="K561" s="9" t="n">
        <f aca="false">G561*H561*(1-J561)</f>
        <v>449.75</v>
      </c>
      <c r="L561" s="9" t="n">
        <f aca="false">G561*I561</f>
        <v>162.5</v>
      </c>
      <c r="M561" s="9" t="n">
        <f aca="false">K561-L561</f>
        <v>287.25</v>
      </c>
      <c r="N561" s="11" t="n">
        <f aca="false">IF(K561=0,0,M561/K561)</f>
        <v>0.638688160088938</v>
      </c>
      <c r="O561" s="9" t="n">
        <f aca="false">(G561*H561)-K561</f>
        <v>0</v>
      </c>
      <c r="P561" s="8" t="s">
        <v>21</v>
      </c>
    </row>
    <row r="562" customFormat="false" ht="15" hidden="false" customHeight="false" outlineLevel="0" collapsed="false">
      <c r="A562" s="2" t="n">
        <v>46061</v>
      </c>
      <c r="B562" s="3" t="s">
        <v>37</v>
      </c>
      <c r="C562" s="3" t="s">
        <v>17</v>
      </c>
      <c r="D562" s="3" t="s">
        <v>51</v>
      </c>
      <c r="E562" s="3" t="s">
        <v>52</v>
      </c>
      <c r="F562" s="3" t="s">
        <v>50</v>
      </c>
      <c r="G562" s="3" t="n">
        <v>29</v>
      </c>
      <c r="H562" s="4" t="n">
        <v>19.99</v>
      </c>
      <c r="I562" s="4" t="n">
        <v>7</v>
      </c>
      <c r="J562" s="5" t="n">
        <v>0</v>
      </c>
      <c r="K562" s="4" t="n">
        <f aca="false">G562*H562*(1-J562)</f>
        <v>579.71</v>
      </c>
      <c r="L562" s="4" t="n">
        <f aca="false">G562*I562</f>
        <v>203</v>
      </c>
      <c r="M562" s="4" t="n">
        <f aca="false">K562-L562</f>
        <v>376.71</v>
      </c>
      <c r="N562" s="6" t="n">
        <f aca="false">IF(K562=0,0,M562/K562)</f>
        <v>0.649824912456228</v>
      </c>
      <c r="O562" s="4" t="n">
        <f aca="false">(G562*H562)-K562</f>
        <v>0</v>
      </c>
      <c r="P562" s="3" t="s">
        <v>21</v>
      </c>
    </row>
    <row r="563" customFormat="false" ht="15" hidden="false" customHeight="false" outlineLevel="0" collapsed="false">
      <c r="A563" s="7" t="n">
        <v>46042</v>
      </c>
      <c r="B563" s="8" t="s">
        <v>22</v>
      </c>
      <c r="C563" s="8" t="s">
        <v>23</v>
      </c>
      <c r="D563" s="8" t="s">
        <v>46</v>
      </c>
      <c r="E563" s="8" t="s">
        <v>47</v>
      </c>
      <c r="F563" s="8" t="s">
        <v>20</v>
      </c>
      <c r="G563" s="8" t="n">
        <v>24</v>
      </c>
      <c r="H563" s="9" t="n">
        <v>44.99</v>
      </c>
      <c r="I563" s="9" t="n">
        <v>18</v>
      </c>
      <c r="J563" s="10" t="n">
        <v>0</v>
      </c>
      <c r="K563" s="9" t="n">
        <f aca="false">G563*H563*(1-J563)</f>
        <v>1079.76</v>
      </c>
      <c r="L563" s="9" t="n">
        <f aca="false">G563*I563</f>
        <v>432</v>
      </c>
      <c r="M563" s="9" t="n">
        <f aca="false">K563-L563</f>
        <v>647.76</v>
      </c>
      <c r="N563" s="11" t="n">
        <f aca="false">IF(K563=0,0,M563/K563)</f>
        <v>0.599911091353634</v>
      </c>
      <c r="O563" s="9" t="n">
        <f aca="false">(G563*H563)-K563</f>
        <v>0</v>
      </c>
      <c r="P563" s="8" t="s">
        <v>21</v>
      </c>
    </row>
    <row r="564" customFormat="false" ht="15" hidden="false" customHeight="false" outlineLevel="0" collapsed="false">
      <c r="A564" s="2" t="n">
        <v>46067</v>
      </c>
      <c r="B564" s="3" t="s">
        <v>64</v>
      </c>
      <c r="C564" s="3" t="s">
        <v>65</v>
      </c>
      <c r="D564" s="3" t="s">
        <v>76</v>
      </c>
      <c r="E564" s="3" t="s">
        <v>77</v>
      </c>
      <c r="F564" s="3" t="s">
        <v>34</v>
      </c>
      <c r="G564" s="3" t="n">
        <v>27</v>
      </c>
      <c r="H564" s="4" t="n">
        <v>44.99</v>
      </c>
      <c r="I564" s="4" t="n">
        <v>14</v>
      </c>
      <c r="J564" s="5" t="n">
        <v>0.2</v>
      </c>
      <c r="K564" s="4" t="n">
        <f aca="false">G564*H564*(1-J564)</f>
        <v>971.784</v>
      </c>
      <c r="L564" s="4" t="n">
        <f aca="false">G564*I564</f>
        <v>378</v>
      </c>
      <c r="M564" s="4" t="n">
        <f aca="false">K564-L564</f>
        <v>593.784</v>
      </c>
      <c r="N564" s="6" t="n">
        <f aca="false">IF(K564=0,0,M564/K564)</f>
        <v>0.611024672149367</v>
      </c>
      <c r="O564" s="4" t="n">
        <f aca="false">(G564*H564)-K564</f>
        <v>242.946</v>
      </c>
      <c r="P564" s="3" t="s">
        <v>21</v>
      </c>
    </row>
    <row r="565" customFormat="false" ht="15" hidden="false" customHeight="false" outlineLevel="0" collapsed="false">
      <c r="A565" s="7" t="n">
        <v>46091</v>
      </c>
      <c r="B565" s="8" t="s">
        <v>37</v>
      </c>
      <c r="C565" s="8" t="s">
        <v>17</v>
      </c>
      <c r="D565" s="8" t="s">
        <v>29</v>
      </c>
      <c r="E565" s="8" t="s">
        <v>30</v>
      </c>
      <c r="F565" s="8" t="s">
        <v>20</v>
      </c>
      <c r="G565" s="8" t="n">
        <v>15</v>
      </c>
      <c r="H565" s="9" t="n">
        <v>79.99</v>
      </c>
      <c r="I565" s="9" t="n">
        <v>42</v>
      </c>
      <c r="J565" s="10" t="n">
        <v>0.1</v>
      </c>
      <c r="K565" s="9" t="n">
        <f aca="false">G565*H565*(1-J565)</f>
        <v>1079.865</v>
      </c>
      <c r="L565" s="9" t="n">
        <f aca="false">G565*I565</f>
        <v>630</v>
      </c>
      <c r="M565" s="9" t="n">
        <f aca="false">K565-L565</f>
        <v>449.865</v>
      </c>
      <c r="N565" s="11" t="n">
        <f aca="false">IF(K565=0,0,M565/K565)</f>
        <v>0.416593740884277</v>
      </c>
      <c r="O565" s="9" t="n">
        <f aca="false">(G565*H565)-K565</f>
        <v>119.985</v>
      </c>
      <c r="P565" s="8" t="s">
        <v>21</v>
      </c>
    </row>
    <row r="566" customFormat="false" ht="15" hidden="false" customHeight="false" outlineLevel="0" collapsed="false">
      <c r="A566" s="2" t="n">
        <v>46091</v>
      </c>
      <c r="B566" s="3" t="s">
        <v>22</v>
      </c>
      <c r="C566" s="3" t="s">
        <v>23</v>
      </c>
      <c r="D566" s="3" t="s">
        <v>29</v>
      </c>
      <c r="E566" s="3" t="s">
        <v>30</v>
      </c>
      <c r="F566" s="3" t="s">
        <v>20</v>
      </c>
      <c r="G566" s="3" t="n">
        <v>11</v>
      </c>
      <c r="H566" s="4" t="n">
        <v>79.99</v>
      </c>
      <c r="I566" s="4" t="n">
        <v>42</v>
      </c>
      <c r="J566" s="5" t="n">
        <v>0</v>
      </c>
      <c r="K566" s="4" t="n">
        <f aca="false">G566*H566*(1-J566)</f>
        <v>879.89</v>
      </c>
      <c r="L566" s="4" t="n">
        <f aca="false">G566*I566</f>
        <v>462</v>
      </c>
      <c r="M566" s="4" t="n">
        <f aca="false">K566-L566</f>
        <v>417.89</v>
      </c>
      <c r="N566" s="6" t="n">
        <f aca="false">IF(K566=0,0,M566/K566)</f>
        <v>0.47493436679585</v>
      </c>
      <c r="O566" s="4" t="n">
        <f aca="false">(G566*H566)-K566</f>
        <v>0</v>
      </c>
      <c r="P566" s="3" t="s">
        <v>21</v>
      </c>
    </row>
    <row r="567" customFormat="false" ht="15" hidden="false" customHeight="false" outlineLevel="0" collapsed="false">
      <c r="A567" s="7" t="n">
        <v>46104</v>
      </c>
      <c r="B567" s="8" t="s">
        <v>58</v>
      </c>
      <c r="C567" s="8" t="s">
        <v>58</v>
      </c>
      <c r="D567" s="8" t="s">
        <v>61</v>
      </c>
      <c r="E567" s="8" t="s">
        <v>62</v>
      </c>
      <c r="F567" s="8" t="s">
        <v>34</v>
      </c>
      <c r="G567" s="8" t="n">
        <v>5</v>
      </c>
      <c r="H567" s="9" t="n">
        <v>12.99</v>
      </c>
      <c r="I567" s="9" t="n">
        <v>4.5</v>
      </c>
      <c r="J567" s="10" t="n">
        <v>0.1</v>
      </c>
      <c r="K567" s="9" t="n">
        <f aca="false">G567*H567*(1-J567)</f>
        <v>58.455</v>
      </c>
      <c r="L567" s="9" t="n">
        <f aca="false">G567*I567</f>
        <v>22.5</v>
      </c>
      <c r="M567" s="9" t="n">
        <f aca="false">K567-L567</f>
        <v>35.955</v>
      </c>
      <c r="N567" s="11" t="n">
        <f aca="false">IF(K567=0,0,M567/K567)</f>
        <v>0.615088529638183</v>
      </c>
      <c r="O567" s="9" t="n">
        <f aca="false">(G567*H567)-K567</f>
        <v>6.495</v>
      </c>
      <c r="P567" s="8" t="s">
        <v>21</v>
      </c>
    </row>
    <row r="568" customFormat="false" ht="15" hidden="false" customHeight="false" outlineLevel="0" collapsed="false">
      <c r="A568" s="2" t="n">
        <v>46037</v>
      </c>
      <c r="B568" s="3" t="s">
        <v>22</v>
      </c>
      <c r="C568" s="3" t="s">
        <v>23</v>
      </c>
      <c r="D568" s="3" t="s">
        <v>82</v>
      </c>
      <c r="E568" s="3" t="s">
        <v>83</v>
      </c>
      <c r="F568" s="3" t="s">
        <v>26</v>
      </c>
      <c r="G568" s="3" t="n">
        <v>29</v>
      </c>
      <c r="H568" s="4" t="n">
        <v>44.99</v>
      </c>
      <c r="I568" s="4" t="n">
        <v>18</v>
      </c>
      <c r="J568" s="5" t="n">
        <v>0.2</v>
      </c>
      <c r="K568" s="4" t="n">
        <f aca="false">G568*H568*(1-J568)</f>
        <v>1043.768</v>
      </c>
      <c r="L568" s="4" t="n">
        <f aca="false">G568*I568</f>
        <v>522</v>
      </c>
      <c r="M568" s="4" t="n">
        <f aca="false">K568-L568</f>
        <v>521.768</v>
      </c>
      <c r="N568" s="6" t="n">
        <f aca="false">IF(K568=0,0,M568/K568)</f>
        <v>0.499888864192043</v>
      </c>
      <c r="O568" s="4" t="n">
        <f aca="false">(G568*H568)-K568</f>
        <v>260.942</v>
      </c>
      <c r="P568" s="3" t="s">
        <v>21</v>
      </c>
    </row>
    <row r="569" customFormat="false" ht="15" hidden="false" customHeight="false" outlineLevel="0" collapsed="false">
      <c r="A569" s="7" t="n">
        <v>46088</v>
      </c>
      <c r="B569" s="8" t="s">
        <v>22</v>
      </c>
      <c r="C569" s="8" t="s">
        <v>23</v>
      </c>
      <c r="D569" s="8" t="s">
        <v>48</v>
      </c>
      <c r="E569" s="8" t="s">
        <v>49</v>
      </c>
      <c r="F569" s="8" t="s">
        <v>50</v>
      </c>
      <c r="G569" s="8" t="n">
        <v>8</v>
      </c>
      <c r="H569" s="9" t="n">
        <v>54.99</v>
      </c>
      <c r="I569" s="9" t="n">
        <v>20</v>
      </c>
      <c r="J569" s="10" t="n">
        <v>0.15</v>
      </c>
      <c r="K569" s="9" t="n">
        <f aca="false">G569*H569*(1-J569)</f>
        <v>373.932</v>
      </c>
      <c r="L569" s="9" t="n">
        <f aca="false">G569*I569</f>
        <v>160</v>
      </c>
      <c r="M569" s="9" t="n">
        <f aca="false">K569-L569</f>
        <v>213.932</v>
      </c>
      <c r="N569" s="11" t="n">
        <f aca="false">IF(K569=0,0,M569/K569)</f>
        <v>0.572114716044629</v>
      </c>
      <c r="O569" s="9" t="n">
        <f aca="false">(G569*H569)-K569</f>
        <v>65.988</v>
      </c>
      <c r="P569" s="8" t="s">
        <v>21</v>
      </c>
    </row>
    <row r="570" customFormat="false" ht="15" hidden="false" customHeight="false" outlineLevel="0" collapsed="false">
      <c r="A570" s="2" t="n">
        <v>46092</v>
      </c>
      <c r="B570" s="3" t="s">
        <v>37</v>
      </c>
      <c r="C570" s="3" t="s">
        <v>17</v>
      </c>
      <c r="D570" s="3" t="s">
        <v>74</v>
      </c>
      <c r="E570" s="3" t="s">
        <v>75</v>
      </c>
      <c r="F570" s="3" t="s">
        <v>40</v>
      </c>
      <c r="G570" s="3" t="n">
        <v>3</v>
      </c>
      <c r="H570" s="4" t="n">
        <v>29.99</v>
      </c>
      <c r="I570" s="4" t="n">
        <v>13</v>
      </c>
      <c r="J570" s="5" t="n">
        <v>0.15</v>
      </c>
      <c r="K570" s="4" t="n">
        <f aca="false">G570*H570*(1-J570)</f>
        <v>76.4745</v>
      </c>
      <c r="L570" s="4" t="n">
        <f aca="false">G570*I570</f>
        <v>39</v>
      </c>
      <c r="M570" s="4" t="n">
        <f aca="false">K570-L570</f>
        <v>37.4745</v>
      </c>
      <c r="N570" s="6" t="n">
        <f aca="false">IF(K570=0,0,M570/K570)</f>
        <v>0.490026087127082</v>
      </c>
      <c r="O570" s="4" t="n">
        <f aca="false">(G570*H570)-K570</f>
        <v>13.4955</v>
      </c>
      <c r="P570" s="3" t="s">
        <v>21</v>
      </c>
    </row>
    <row r="571" customFormat="false" ht="15" hidden="false" customHeight="false" outlineLevel="0" collapsed="false">
      <c r="A571" s="7" t="n">
        <v>46086</v>
      </c>
      <c r="B571" s="8" t="s">
        <v>64</v>
      </c>
      <c r="C571" s="8" t="s">
        <v>65</v>
      </c>
      <c r="D571" s="8" t="s">
        <v>38</v>
      </c>
      <c r="E571" s="8" t="s">
        <v>39</v>
      </c>
      <c r="F571" s="8" t="s">
        <v>40</v>
      </c>
      <c r="G571" s="8" t="n">
        <v>18</v>
      </c>
      <c r="H571" s="9" t="n">
        <v>12.99</v>
      </c>
      <c r="I571" s="9" t="n">
        <v>4</v>
      </c>
      <c r="J571" s="10" t="n">
        <v>0</v>
      </c>
      <c r="K571" s="9" t="n">
        <f aca="false">G571*H571*(1-J571)</f>
        <v>233.82</v>
      </c>
      <c r="L571" s="9" t="n">
        <f aca="false">G571*I571</f>
        <v>72</v>
      </c>
      <c r="M571" s="9" t="n">
        <f aca="false">K571-L571</f>
        <v>161.82</v>
      </c>
      <c r="N571" s="11" t="n">
        <f aca="false">IF(K571=0,0,M571/K571)</f>
        <v>0.692070823710547</v>
      </c>
      <c r="O571" s="9" t="n">
        <f aca="false">(G571*H571)-K571</f>
        <v>0</v>
      </c>
      <c r="P571" s="8" t="s">
        <v>21</v>
      </c>
    </row>
    <row r="572" customFormat="false" ht="15" hidden="false" customHeight="false" outlineLevel="0" collapsed="false">
      <c r="A572" s="2" t="n">
        <v>46103</v>
      </c>
      <c r="B572" s="3" t="s">
        <v>27</v>
      </c>
      <c r="C572" s="3" t="s">
        <v>28</v>
      </c>
      <c r="D572" s="3" t="s">
        <v>82</v>
      </c>
      <c r="E572" s="3" t="s">
        <v>83</v>
      </c>
      <c r="F572" s="3" t="s">
        <v>26</v>
      </c>
      <c r="G572" s="3" t="n">
        <v>24</v>
      </c>
      <c r="H572" s="4" t="n">
        <v>44.99</v>
      </c>
      <c r="I572" s="4" t="n">
        <v>18</v>
      </c>
      <c r="J572" s="5" t="n">
        <v>0</v>
      </c>
      <c r="K572" s="4" t="n">
        <f aca="false">G572*H572*(1-J572)</f>
        <v>1079.76</v>
      </c>
      <c r="L572" s="4" t="n">
        <f aca="false">G572*I572</f>
        <v>432</v>
      </c>
      <c r="M572" s="4" t="n">
        <f aca="false">K572-L572</f>
        <v>647.76</v>
      </c>
      <c r="N572" s="6" t="n">
        <f aca="false">IF(K572=0,0,M572/K572)</f>
        <v>0.599911091353634</v>
      </c>
      <c r="O572" s="4" t="n">
        <f aca="false">(G572*H572)-K572</f>
        <v>0</v>
      </c>
      <c r="P572" s="3" t="s">
        <v>21</v>
      </c>
    </row>
    <row r="573" customFormat="false" ht="15" hidden="false" customHeight="false" outlineLevel="0" collapsed="false">
      <c r="A573" s="7" t="n">
        <v>46035</v>
      </c>
      <c r="B573" s="8" t="s">
        <v>16</v>
      </c>
      <c r="C573" s="8" t="s">
        <v>17</v>
      </c>
      <c r="D573" s="8" t="s">
        <v>66</v>
      </c>
      <c r="E573" s="8" t="s">
        <v>67</v>
      </c>
      <c r="F573" s="8" t="s">
        <v>57</v>
      </c>
      <c r="G573" s="8" t="n">
        <v>29</v>
      </c>
      <c r="H573" s="9" t="n">
        <v>14.99</v>
      </c>
      <c r="I573" s="9" t="n">
        <v>5.5</v>
      </c>
      <c r="J573" s="10" t="n">
        <v>0.25</v>
      </c>
      <c r="K573" s="9" t="n">
        <f aca="false">G573*H573*(1-J573)</f>
        <v>326.0325</v>
      </c>
      <c r="L573" s="9" t="n">
        <f aca="false">G573*I573</f>
        <v>159.5</v>
      </c>
      <c r="M573" s="9" t="n">
        <f aca="false">K573-L573</f>
        <v>166.5325</v>
      </c>
      <c r="N573" s="11" t="n">
        <f aca="false">IF(K573=0,0,M573/K573)</f>
        <v>0.510784967756282</v>
      </c>
      <c r="O573" s="9" t="n">
        <f aca="false">(G573*H573)-K573</f>
        <v>108.6775</v>
      </c>
      <c r="P573" s="8" t="s">
        <v>21</v>
      </c>
    </row>
    <row r="574" customFormat="false" ht="15" hidden="false" customHeight="false" outlineLevel="0" collapsed="false">
      <c r="A574" s="2" t="n">
        <v>46030</v>
      </c>
      <c r="B574" s="3" t="s">
        <v>41</v>
      </c>
      <c r="C574" s="3" t="s">
        <v>28</v>
      </c>
      <c r="D574" s="3" t="s">
        <v>59</v>
      </c>
      <c r="E574" s="3" t="s">
        <v>60</v>
      </c>
      <c r="F574" s="3" t="s">
        <v>50</v>
      </c>
      <c r="G574" s="3" t="n">
        <v>5</v>
      </c>
      <c r="H574" s="4" t="n">
        <v>24.99</v>
      </c>
      <c r="I574" s="4" t="n">
        <v>8.5</v>
      </c>
      <c r="J574" s="5" t="n">
        <v>0.1</v>
      </c>
      <c r="K574" s="4" t="n">
        <f aca="false">G574*H574*(1-J574)</f>
        <v>112.455</v>
      </c>
      <c r="L574" s="4" t="n">
        <f aca="false">G574*I574</f>
        <v>42.5</v>
      </c>
      <c r="M574" s="4" t="n">
        <f aca="false">K574-L574</f>
        <v>69.955</v>
      </c>
      <c r="N574" s="6" t="n">
        <f aca="false">IF(K574=0,0,M574/K574)</f>
        <v>0.622071050642479</v>
      </c>
      <c r="O574" s="4" t="n">
        <f aca="false">(G574*H574)-K574</f>
        <v>12.495</v>
      </c>
      <c r="P574" s="3" t="s">
        <v>21</v>
      </c>
    </row>
    <row r="575" customFormat="false" ht="15" hidden="false" customHeight="false" outlineLevel="0" collapsed="false">
      <c r="A575" s="7" t="n">
        <v>46109</v>
      </c>
      <c r="B575" s="8" t="s">
        <v>37</v>
      </c>
      <c r="C575" s="8" t="s">
        <v>17</v>
      </c>
      <c r="D575" s="8" t="s">
        <v>59</v>
      </c>
      <c r="E575" s="8" t="s">
        <v>60</v>
      </c>
      <c r="F575" s="8" t="s">
        <v>50</v>
      </c>
      <c r="G575" s="8" t="n">
        <v>4</v>
      </c>
      <c r="H575" s="9" t="n">
        <v>24.99</v>
      </c>
      <c r="I575" s="9" t="n">
        <v>8.5</v>
      </c>
      <c r="J575" s="10" t="n">
        <v>0.25</v>
      </c>
      <c r="K575" s="9" t="n">
        <f aca="false">G575*H575*(1-J575)</f>
        <v>74.97</v>
      </c>
      <c r="L575" s="9" t="n">
        <f aca="false">G575*I575</f>
        <v>34</v>
      </c>
      <c r="M575" s="9" t="n">
        <f aca="false">K575-L575</f>
        <v>40.97</v>
      </c>
      <c r="N575" s="11" t="n">
        <f aca="false">IF(K575=0,0,M575/K575)</f>
        <v>0.546485260770975</v>
      </c>
      <c r="O575" s="9" t="n">
        <f aca="false">(G575*H575)-K575</f>
        <v>24.99</v>
      </c>
      <c r="P575" s="8" t="s">
        <v>21</v>
      </c>
    </row>
    <row r="576" customFormat="false" ht="15" hidden="false" customHeight="false" outlineLevel="0" collapsed="false">
      <c r="A576" s="2" t="n">
        <v>46073</v>
      </c>
      <c r="B576" s="3" t="s">
        <v>31</v>
      </c>
      <c r="C576" s="3" t="s">
        <v>23</v>
      </c>
      <c r="D576" s="3" t="s">
        <v>93</v>
      </c>
      <c r="E576" s="3" t="s">
        <v>94</v>
      </c>
      <c r="F576" s="3" t="s">
        <v>34</v>
      </c>
      <c r="G576" s="3" t="n">
        <v>2</v>
      </c>
      <c r="H576" s="4" t="n">
        <v>29.99</v>
      </c>
      <c r="I576" s="4" t="n">
        <v>9</v>
      </c>
      <c r="J576" s="5" t="n">
        <v>0.05</v>
      </c>
      <c r="K576" s="4" t="n">
        <f aca="false">G576*H576*(1-J576)</f>
        <v>56.981</v>
      </c>
      <c r="L576" s="4" t="n">
        <f aca="false">G576*I576</f>
        <v>18</v>
      </c>
      <c r="M576" s="4" t="n">
        <f aca="false">K576-L576</f>
        <v>38.981</v>
      </c>
      <c r="N576" s="6" t="n">
        <f aca="false">IF(K576=0,0,M576/K576)</f>
        <v>0.684105228058476</v>
      </c>
      <c r="O576" s="4" t="n">
        <f aca="false">(G576*H576)-K576</f>
        <v>2.999</v>
      </c>
      <c r="P576" s="3" t="s">
        <v>21</v>
      </c>
    </row>
    <row r="577" customFormat="false" ht="15" hidden="false" customHeight="false" outlineLevel="0" collapsed="false">
      <c r="A577" s="7" t="n">
        <v>46056</v>
      </c>
      <c r="B577" s="8" t="s">
        <v>16</v>
      </c>
      <c r="C577" s="8" t="s">
        <v>17</v>
      </c>
      <c r="D577" s="8" t="s">
        <v>61</v>
      </c>
      <c r="E577" s="8" t="s">
        <v>62</v>
      </c>
      <c r="F577" s="8" t="s">
        <v>34</v>
      </c>
      <c r="G577" s="8" t="n">
        <v>8</v>
      </c>
      <c r="H577" s="9" t="n">
        <v>14.99</v>
      </c>
      <c r="I577" s="9" t="n">
        <v>4.5</v>
      </c>
      <c r="J577" s="10" t="n">
        <v>0.6</v>
      </c>
      <c r="K577" s="9" t="n">
        <f aca="false">G577*H577*(1-J577)</f>
        <v>47.968</v>
      </c>
      <c r="L577" s="9" t="n">
        <f aca="false">G577*I577</f>
        <v>36</v>
      </c>
      <c r="M577" s="9" t="n">
        <f aca="false">K577-L577</f>
        <v>11.968</v>
      </c>
      <c r="N577" s="11" t="n">
        <f aca="false">IF(K577=0,0,M577/K577)</f>
        <v>0.249499666444296</v>
      </c>
      <c r="O577" s="9" t="n">
        <f aca="false">(G577*H577)-K577</f>
        <v>71.952</v>
      </c>
      <c r="P577" s="14" t="s">
        <v>97</v>
      </c>
    </row>
    <row r="578" customFormat="false" ht="15" hidden="false" customHeight="false" outlineLevel="0" collapsed="false">
      <c r="A578" s="2" t="n">
        <v>46053</v>
      </c>
      <c r="B578" s="3" t="s">
        <v>22</v>
      </c>
      <c r="C578" s="3" t="s">
        <v>23</v>
      </c>
      <c r="D578" s="3" t="s">
        <v>78</v>
      </c>
      <c r="E578" s="3" t="s">
        <v>79</v>
      </c>
      <c r="F578" s="3" t="s">
        <v>20</v>
      </c>
      <c r="G578" s="3" t="n">
        <v>13</v>
      </c>
      <c r="H578" s="4" t="n">
        <v>39.99</v>
      </c>
      <c r="I578" s="4" t="n">
        <v>16</v>
      </c>
      <c r="J578" s="5" t="n">
        <v>0.25</v>
      </c>
      <c r="K578" s="4" t="n">
        <f aca="false">G578*H578*(1-J578)</f>
        <v>389.9025</v>
      </c>
      <c r="L578" s="4" t="n">
        <f aca="false">G578*I578</f>
        <v>208</v>
      </c>
      <c r="M578" s="4" t="n">
        <f aca="false">K578-L578</f>
        <v>181.9025</v>
      </c>
      <c r="N578" s="6" t="n">
        <f aca="false">IF(K578=0,0,M578/K578)</f>
        <v>0.466533299991665</v>
      </c>
      <c r="O578" s="4" t="n">
        <f aca="false">(G578*H578)-K578</f>
        <v>129.9675</v>
      </c>
      <c r="P578" s="3" t="s">
        <v>21</v>
      </c>
    </row>
    <row r="579" customFormat="false" ht="15" hidden="false" customHeight="false" outlineLevel="0" collapsed="false">
      <c r="A579" s="7" t="n">
        <v>46058</v>
      </c>
      <c r="B579" s="8" t="s">
        <v>64</v>
      </c>
      <c r="C579" s="8" t="s">
        <v>65</v>
      </c>
      <c r="D579" s="8" t="s">
        <v>82</v>
      </c>
      <c r="E579" s="8" t="s">
        <v>83</v>
      </c>
      <c r="F579" s="8" t="s">
        <v>26</v>
      </c>
      <c r="G579" s="8" t="n">
        <v>25</v>
      </c>
      <c r="H579" s="9" t="n">
        <v>44.99</v>
      </c>
      <c r="I579" s="9" t="n">
        <v>18</v>
      </c>
      <c r="J579" s="10" t="n">
        <v>0.25</v>
      </c>
      <c r="K579" s="9" t="n">
        <f aca="false">G579*H579*(1-J579)</f>
        <v>843.5625</v>
      </c>
      <c r="L579" s="9" t="n">
        <f aca="false">G579*I579</f>
        <v>450</v>
      </c>
      <c r="M579" s="9" t="n">
        <f aca="false">K579-L579</f>
        <v>393.5625</v>
      </c>
      <c r="N579" s="11" t="n">
        <f aca="false">IF(K579=0,0,M579/K579)</f>
        <v>0.466548121804846</v>
      </c>
      <c r="O579" s="9" t="n">
        <f aca="false">(G579*H579)-K579</f>
        <v>281.1875</v>
      </c>
      <c r="P579" s="8" t="s">
        <v>21</v>
      </c>
    </row>
    <row r="580" customFormat="false" ht="15" hidden="false" customHeight="false" outlineLevel="0" collapsed="false">
      <c r="A580" s="2" t="n">
        <v>46076</v>
      </c>
      <c r="B580" s="3" t="s">
        <v>31</v>
      </c>
      <c r="C580" s="3" t="s">
        <v>23</v>
      </c>
      <c r="D580" s="3" t="s">
        <v>24</v>
      </c>
      <c r="E580" s="3" t="s">
        <v>25</v>
      </c>
      <c r="F580" s="3" t="s">
        <v>26</v>
      </c>
      <c r="G580" s="3" t="n">
        <v>27</v>
      </c>
      <c r="H580" s="4" t="n">
        <v>54.99</v>
      </c>
      <c r="I580" s="4" t="n">
        <v>24</v>
      </c>
      <c r="J580" s="5" t="n">
        <v>0.1</v>
      </c>
      <c r="K580" s="4" t="n">
        <f aca="false">G580*H580*(1-J580)</f>
        <v>1336.257</v>
      </c>
      <c r="L580" s="4" t="n">
        <f aca="false">G580*I580</f>
        <v>648</v>
      </c>
      <c r="M580" s="4" t="n">
        <f aca="false">K580-L580</f>
        <v>688.257</v>
      </c>
      <c r="N580" s="6" t="n">
        <f aca="false">IF(K580=0,0,M580/K580)</f>
        <v>0.515063344850579</v>
      </c>
      <c r="O580" s="4" t="n">
        <f aca="false">(G580*H580)-K580</f>
        <v>148.473</v>
      </c>
      <c r="P580" s="3" t="s">
        <v>21</v>
      </c>
    </row>
    <row r="581" customFormat="false" ht="15" hidden="false" customHeight="false" outlineLevel="0" collapsed="false">
      <c r="A581" s="7" t="n">
        <v>46070</v>
      </c>
      <c r="B581" s="8" t="s">
        <v>41</v>
      </c>
      <c r="C581" s="8" t="s">
        <v>28</v>
      </c>
      <c r="D581" s="8" t="s">
        <v>29</v>
      </c>
      <c r="E581" s="8" t="s">
        <v>30</v>
      </c>
      <c r="F581" s="8" t="s">
        <v>20</v>
      </c>
      <c r="G581" s="8" t="n">
        <v>4</v>
      </c>
      <c r="H581" s="9" t="n">
        <v>89.99</v>
      </c>
      <c r="I581" s="9" t="n">
        <v>42</v>
      </c>
      <c r="J581" s="10" t="n">
        <v>0.1</v>
      </c>
      <c r="K581" s="9" t="n">
        <f aca="false">G581*H581*(1-J581)</f>
        <v>323.964</v>
      </c>
      <c r="L581" s="9" t="n">
        <f aca="false">G581*I581</f>
        <v>168</v>
      </c>
      <c r="M581" s="9" t="n">
        <f aca="false">K581-L581</f>
        <v>155.964</v>
      </c>
      <c r="N581" s="11" t="n">
        <f aca="false">IF(K581=0,0,M581/K581)</f>
        <v>0.481423861910583</v>
      </c>
      <c r="O581" s="9" t="n">
        <f aca="false">(G581*H581)-K581</f>
        <v>35.996</v>
      </c>
      <c r="P581" s="8" t="s">
        <v>21</v>
      </c>
    </row>
    <row r="582" customFormat="false" ht="15" hidden="false" customHeight="false" outlineLevel="0" collapsed="false">
      <c r="A582" s="2" t="n">
        <v>46043</v>
      </c>
      <c r="B582" s="3" t="s">
        <v>41</v>
      </c>
      <c r="C582" s="3" t="s">
        <v>28</v>
      </c>
      <c r="D582" s="3" t="s">
        <v>80</v>
      </c>
      <c r="E582" s="3" t="s">
        <v>81</v>
      </c>
      <c r="F582" s="3" t="s">
        <v>57</v>
      </c>
      <c r="G582" s="3" t="n">
        <v>23</v>
      </c>
      <c r="H582" s="4" t="n">
        <v>17.99</v>
      </c>
      <c r="I582" s="4" t="n">
        <v>6.5</v>
      </c>
      <c r="J582" s="5" t="n">
        <v>0</v>
      </c>
      <c r="K582" s="4" t="n">
        <f aca="false">G582*H582*(1-J582)</f>
        <v>413.77</v>
      </c>
      <c r="L582" s="4" t="n">
        <f aca="false">G582*I582</f>
        <v>149.5</v>
      </c>
      <c r="M582" s="4" t="n">
        <f aca="false">K582-L582</f>
        <v>264.27</v>
      </c>
      <c r="N582" s="6" t="n">
        <f aca="false">IF(K582=0,0,M582/K582)</f>
        <v>0.638688160088938</v>
      </c>
      <c r="O582" s="4" t="n">
        <f aca="false">(G582*H582)-K582</f>
        <v>0</v>
      </c>
      <c r="P582" s="3" t="s">
        <v>21</v>
      </c>
    </row>
    <row r="583" customFormat="false" ht="15" hidden="false" customHeight="false" outlineLevel="0" collapsed="false">
      <c r="A583" s="7" t="n">
        <v>46084</v>
      </c>
      <c r="B583" s="8" t="s">
        <v>58</v>
      </c>
      <c r="C583" s="8" t="s">
        <v>58</v>
      </c>
      <c r="D583" s="8" t="s">
        <v>29</v>
      </c>
      <c r="E583" s="8" t="s">
        <v>30</v>
      </c>
      <c r="F583" s="8" t="s">
        <v>20</v>
      </c>
      <c r="G583" s="8" t="n">
        <v>20</v>
      </c>
      <c r="H583" s="9" t="n">
        <v>79.99</v>
      </c>
      <c r="I583" s="9" t="n">
        <v>42</v>
      </c>
      <c r="J583" s="10" t="n">
        <v>0.1</v>
      </c>
      <c r="K583" s="9" t="n">
        <f aca="false">G583*H583*(1-J583)</f>
        <v>1439.82</v>
      </c>
      <c r="L583" s="9" t="n">
        <f aca="false">G583*I583</f>
        <v>840</v>
      </c>
      <c r="M583" s="9" t="n">
        <f aca="false">K583-L583</f>
        <v>599.82</v>
      </c>
      <c r="N583" s="11" t="n">
        <f aca="false">IF(K583=0,0,M583/K583)</f>
        <v>0.416593740884277</v>
      </c>
      <c r="O583" s="9" t="n">
        <f aca="false">(G583*H583)-K583</f>
        <v>159.98</v>
      </c>
      <c r="P583" s="8" t="s">
        <v>21</v>
      </c>
    </row>
    <row r="584" customFormat="false" ht="15" hidden="false" customHeight="false" outlineLevel="0" collapsed="false">
      <c r="A584" s="2" t="n">
        <v>46106</v>
      </c>
      <c r="B584" s="3" t="s">
        <v>58</v>
      </c>
      <c r="C584" s="3" t="s">
        <v>58</v>
      </c>
      <c r="D584" s="3" t="s">
        <v>93</v>
      </c>
      <c r="E584" s="3" t="s">
        <v>94</v>
      </c>
      <c r="F584" s="3" t="s">
        <v>34</v>
      </c>
      <c r="G584" s="3" t="n">
        <v>25</v>
      </c>
      <c r="H584" s="4" t="n">
        <v>29.99</v>
      </c>
      <c r="I584" s="4" t="n">
        <v>9</v>
      </c>
      <c r="J584" s="5" t="n">
        <v>0.25</v>
      </c>
      <c r="K584" s="4" t="n">
        <f aca="false">G584*H584*(1-J584)</f>
        <v>562.3125</v>
      </c>
      <c r="L584" s="4" t="n">
        <f aca="false">G584*I584</f>
        <v>225</v>
      </c>
      <c r="M584" s="4" t="n">
        <f aca="false">K584-L584</f>
        <v>337.3125</v>
      </c>
      <c r="N584" s="6" t="n">
        <f aca="false">IF(K584=0,0,M584/K584)</f>
        <v>0.599866622207403</v>
      </c>
      <c r="O584" s="4" t="n">
        <f aca="false">(G584*H584)-K584</f>
        <v>187.4375</v>
      </c>
      <c r="P584" s="3" t="s">
        <v>21</v>
      </c>
    </row>
    <row r="585" customFormat="false" ht="15" hidden="false" customHeight="false" outlineLevel="0" collapsed="false">
      <c r="A585" s="7" t="n">
        <v>46026</v>
      </c>
      <c r="B585" s="8" t="s">
        <v>41</v>
      </c>
      <c r="C585" s="8" t="s">
        <v>28</v>
      </c>
      <c r="D585" s="8" t="s">
        <v>38</v>
      </c>
      <c r="E585" s="8" t="s">
        <v>39</v>
      </c>
      <c r="F585" s="8" t="s">
        <v>40</v>
      </c>
      <c r="G585" s="8" t="n">
        <v>4</v>
      </c>
      <c r="H585" s="9" t="n">
        <v>12.99</v>
      </c>
      <c r="I585" s="9" t="n">
        <v>4</v>
      </c>
      <c r="J585" s="10" t="n">
        <v>0.3</v>
      </c>
      <c r="K585" s="9" t="n">
        <f aca="false">G585*H585*(1-J585)</f>
        <v>36.372</v>
      </c>
      <c r="L585" s="9" t="n">
        <f aca="false">G585*I585</f>
        <v>16</v>
      </c>
      <c r="M585" s="9" t="n">
        <f aca="false">K585-L585</f>
        <v>20.372</v>
      </c>
      <c r="N585" s="11" t="n">
        <f aca="false">IF(K585=0,0,M585/K585)</f>
        <v>0.560101176729352</v>
      </c>
      <c r="O585" s="9" t="n">
        <f aca="false">(G585*H585)-K585</f>
        <v>15.588</v>
      </c>
      <c r="P585" s="8" t="s">
        <v>21</v>
      </c>
    </row>
    <row r="586" customFormat="false" ht="15" hidden="false" customHeight="false" outlineLevel="0" collapsed="false">
      <c r="A586" s="2" t="n">
        <v>46063</v>
      </c>
      <c r="B586" s="3" t="s">
        <v>64</v>
      </c>
      <c r="C586" s="3" t="s">
        <v>65</v>
      </c>
      <c r="D586" s="3" t="s">
        <v>93</v>
      </c>
      <c r="E586" s="3" t="s">
        <v>94</v>
      </c>
      <c r="F586" s="3" t="s">
        <v>34</v>
      </c>
      <c r="G586" s="3" t="n">
        <v>4</v>
      </c>
      <c r="H586" s="4" t="n">
        <v>29.99</v>
      </c>
      <c r="I586" s="4" t="n">
        <v>9</v>
      </c>
      <c r="J586" s="5" t="n">
        <v>0</v>
      </c>
      <c r="K586" s="4" t="n">
        <f aca="false">G586*H586*(1-J586)</f>
        <v>119.96</v>
      </c>
      <c r="L586" s="4" t="n">
        <f aca="false">G586*I586</f>
        <v>36</v>
      </c>
      <c r="M586" s="4" t="n">
        <f aca="false">K586-L586</f>
        <v>83.96</v>
      </c>
      <c r="N586" s="6" t="n">
        <f aca="false">IF(K586=0,0,M586/K586)</f>
        <v>0.699899966655552</v>
      </c>
      <c r="O586" s="4" t="n">
        <f aca="false">(G586*H586)-K586</f>
        <v>0</v>
      </c>
      <c r="P586" s="3" t="s">
        <v>21</v>
      </c>
    </row>
    <row r="587" customFormat="false" ht="15" hidden="false" customHeight="false" outlineLevel="0" collapsed="false">
      <c r="A587" s="7" t="n">
        <v>46124</v>
      </c>
      <c r="B587" s="8" t="s">
        <v>22</v>
      </c>
      <c r="C587" s="8" t="s">
        <v>23</v>
      </c>
      <c r="D587" s="8" t="s">
        <v>55</v>
      </c>
      <c r="E587" s="8" t="s">
        <v>56</v>
      </c>
      <c r="F587" s="8" t="s">
        <v>57</v>
      </c>
      <c r="G587" s="8" t="n">
        <v>24</v>
      </c>
      <c r="H587" s="9" t="n">
        <v>29.99</v>
      </c>
      <c r="I587" s="9" t="n">
        <v>11</v>
      </c>
      <c r="J587" s="10" t="n">
        <v>0.1</v>
      </c>
      <c r="K587" s="9" t="n">
        <f aca="false">G587*H587*(1-J587)</f>
        <v>647.784</v>
      </c>
      <c r="L587" s="9" t="n">
        <f aca="false">G587*I587</f>
        <v>264</v>
      </c>
      <c r="M587" s="9" t="n">
        <f aca="false">K587-L587</f>
        <v>383.784</v>
      </c>
      <c r="N587" s="11" t="n">
        <f aca="false">IF(K587=0,0,M587/K587)</f>
        <v>0.592456744840873</v>
      </c>
      <c r="O587" s="9" t="n">
        <f aca="false">(G587*H587)-K587</f>
        <v>71.976</v>
      </c>
      <c r="P587" s="8" t="s">
        <v>21</v>
      </c>
    </row>
    <row r="588" customFormat="false" ht="15" hidden="false" customHeight="false" outlineLevel="0" collapsed="false">
      <c r="A588" s="2" t="n">
        <v>46064</v>
      </c>
      <c r="B588" s="3" t="s">
        <v>16</v>
      </c>
      <c r="C588" s="3" t="s">
        <v>17</v>
      </c>
      <c r="D588" s="3" t="s">
        <v>74</v>
      </c>
      <c r="E588" s="3" t="s">
        <v>75</v>
      </c>
      <c r="F588" s="3" t="s">
        <v>40</v>
      </c>
      <c r="G588" s="3" t="n">
        <v>20</v>
      </c>
      <c r="H588" s="4" t="n">
        <v>29.99</v>
      </c>
      <c r="I588" s="4" t="n">
        <v>13</v>
      </c>
      <c r="J588" s="5" t="n">
        <v>0.15</v>
      </c>
      <c r="K588" s="4" t="n">
        <f aca="false">G588*H588*(1-J588)</f>
        <v>509.83</v>
      </c>
      <c r="L588" s="4" t="n">
        <f aca="false">G588*I588</f>
        <v>260</v>
      </c>
      <c r="M588" s="4" t="n">
        <f aca="false">K588-L588</f>
        <v>249.83</v>
      </c>
      <c r="N588" s="6" t="n">
        <f aca="false">IF(K588=0,0,M588/K588)</f>
        <v>0.490026087127082</v>
      </c>
      <c r="O588" s="4" t="n">
        <f aca="false">(G588*H588)-K588</f>
        <v>89.97</v>
      </c>
      <c r="P588" s="3" t="s">
        <v>21</v>
      </c>
    </row>
    <row r="589" customFormat="false" ht="15" hidden="false" customHeight="false" outlineLevel="0" collapsed="false">
      <c r="A589" s="7" t="n">
        <v>46113</v>
      </c>
      <c r="B589" s="8" t="s">
        <v>58</v>
      </c>
      <c r="C589" s="8" t="s">
        <v>58</v>
      </c>
      <c r="D589" s="8" t="s">
        <v>66</v>
      </c>
      <c r="E589" s="8" t="s">
        <v>67</v>
      </c>
      <c r="F589" s="8" t="s">
        <v>57</v>
      </c>
      <c r="G589" s="8" t="n">
        <v>6</v>
      </c>
      <c r="H589" s="9" t="n">
        <v>14.99</v>
      </c>
      <c r="I589" s="9" t="n">
        <v>5.5</v>
      </c>
      <c r="J589" s="10" t="n">
        <v>0</v>
      </c>
      <c r="K589" s="9" t="n">
        <f aca="false">G589*H589*(1-J589)</f>
        <v>89.94</v>
      </c>
      <c r="L589" s="9" t="n">
        <f aca="false">G589*I589</f>
        <v>33</v>
      </c>
      <c r="M589" s="9" t="n">
        <f aca="false">K589-L589</f>
        <v>56.94</v>
      </c>
      <c r="N589" s="11" t="n">
        <f aca="false">IF(K589=0,0,M589/K589)</f>
        <v>0.633088725817211</v>
      </c>
      <c r="O589" s="9" t="n">
        <f aca="false">(G589*H589)-K589</f>
        <v>0</v>
      </c>
      <c r="P589" s="8" t="s">
        <v>21</v>
      </c>
    </row>
    <row r="590" customFormat="false" ht="15" hidden="false" customHeight="false" outlineLevel="0" collapsed="false">
      <c r="A590" s="2" t="n">
        <v>46109</v>
      </c>
      <c r="B590" s="3" t="s">
        <v>58</v>
      </c>
      <c r="C590" s="3" t="s">
        <v>58</v>
      </c>
      <c r="D590" s="3" t="s">
        <v>38</v>
      </c>
      <c r="E590" s="3" t="s">
        <v>39</v>
      </c>
      <c r="F590" s="3" t="s">
        <v>40</v>
      </c>
      <c r="G590" s="3" t="n">
        <v>16</v>
      </c>
      <c r="H590" s="4" t="n">
        <v>12.99</v>
      </c>
      <c r="I590" s="4" t="n">
        <v>4</v>
      </c>
      <c r="J590" s="5" t="n">
        <v>0</v>
      </c>
      <c r="K590" s="4" t="n">
        <f aca="false">G590*H590*(1-J590)</f>
        <v>207.84</v>
      </c>
      <c r="L590" s="4" t="n">
        <f aca="false">G590*I590</f>
        <v>64</v>
      </c>
      <c r="M590" s="4" t="n">
        <f aca="false">K590-L590</f>
        <v>143.84</v>
      </c>
      <c r="N590" s="6" t="n">
        <f aca="false">IF(K590=0,0,M590/K590)</f>
        <v>0.692070823710547</v>
      </c>
      <c r="O590" s="4" t="n">
        <f aca="false">(G590*H590)-K590</f>
        <v>0</v>
      </c>
      <c r="P590" s="3" t="s">
        <v>21</v>
      </c>
    </row>
    <row r="591" customFormat="false" ht="15" hidden="false" customHeight="false" outlineLevel="0" collapsed="false">
      <c r="A591" s="7" t="n">
        <v>46024</v>
      </c>
      <c r="B591" s="8" t="s">
        <v>58</v>
      </c>
      <c r="C591" s="8" t="s">
        <v>58</v>
      </c>
      <c r="D591" s="8" t="s">
        <v>80</v>
      </c>
      <c r="E591" s="8" t="s">
        <v>81</v>
      </c>
      <c r="F591" s="8" t="s">
        <v>57</v>
      </c>
      <c r="G591" s="8" t="n">
        <v>19</v>
      </c>
      <c r="H591" s="9" t="n">
        <v>17.99</v>
      </c>
      <c r="I591" s="9" t="n">
        <v>6.5</v>
      </c>
      <c r="J591" s="10" t="n">
        <v>0</v>
      </c>
      <c r="K591" s="9" t="n">
        <f aca="false">G591*H591*(1-J591)</f>
        <v>341.81</v>
      </c>
      <c r="L591" s="9" t="n">
        <f aca="false">G591*I591</f>
        <v>123.5</v>
      </c>
      <c r="M591" s="9" t="n">
        <f aca="false">K591-L591</f>
        <v>218.31</v>
      </c>
      <c r="N591" s="11" t="n">
        <f aca="false">IF(K591=0,0,M591/K591)</f>
        <v>0.638688160088938</v>
      </c>
      <c r="O591" s="9" t="n">
        <f aca="false">(G591*H591)-K591</f>
        <v>0</v>
      </c>
      <c r="P591" s="8" t="s">
        <v>21</v>
      </c>
    </row>
    <row r="592" customFormat="false" ht="15" hidden="false" customHeight="false" outlineLevel="0" collapsed="false">
      <c r="A592" s="2" t="n">
        <v>46076</v>
      </c>
      <c r="B592" s="3" t="s">
        <v>31</v>
      </c>
      <c r="C592" s="3" t="s">
        <v>23</v>
      </c>
      <c r="D592" s="3" t="s">
        <v>78</v>
      </c>
      <c r="E592" s="3" t="s">
        <v>79</v>
      </c>
      <c r="F592" s="3" t="s">
        <v>20</v>
      </c>
      <c r="G592" s="3" t="n">
        <v>16</v>
      </c>
      <c r="H592" s="4" t="n">
        <v>39.99</v>
      </c>
      <c r="I592" s="4" t="n">
        <v>16</v>
      </c>
      <c r="J592" s="5" t="n">
        <v>0.2</v>
      </c>
      <c r="K592" s="4" t="n">
        <f aca="false">G592*H592*(1-J592)</f>
        <v>511.872</v>
      </c>
      <c r="L592" s="4" t="n">
        <f aca="false">G592*I592</f>
        <v>256</v>
      </c>
      <c r="M592" s="4" t="n">
        <f aca="false">K592-L592</f>
        <v>255.872</v>
      </c>
      <c r="N592" s="6" t="n">
        <f aca="false">IF(K592=0,0,M592/K592)</f>
        <v>0.499874968742186</v>
      </c>
      <c r="O592" s="4" t="n">
        <f aca="false">(G592*H592)-K592</f>
        <v>127.968</v>
      </c>
      <c r="P592" s="3" t="s">
        <v>21</v>
      </c>
    </row>
    <row r="593" customFormat="false" ht="15" hidden="false" customHeight="false" outlineLevel="0" collapsed="false">
      <c r="A593" s="7" t="n">
        <v>46090</v>
      </c>
      <c r="B593" s="8" t="s">
        <v>31</v>
      </c>
      <c r="C593" s="8" t="s">
        <v>23</v>
      </c>
      <c r="D593" s="8" t="s">
        <v>82</v>
      </c>
      <c r="E593" s="8" t="s">
        <v>83</v>
      </c>
      <c r="F593" s="8" t="s">
        <v>26</v>
      </c>
      <c r="G593" s="8" t="n">
        <v>7</v>
      </c>
      <c r="H593" s="9" t="n">
        <v>44.99</v>
      </c>
      <c r="I593" s="9" t="n">
        <v>18</v>
      </c>
      <c r="J593" s="10" t="n">
        <v>0.25</v>
      </c>
      <c r="K593" s="9" t="n">
        <f aca="false">G593*H593*(1-J593)</f>
        <v>236.1975</v>
      </c>
      <c r="L593" s="9" t="n">
        <f aca="false">G593*I593</f>
        <v>126</v>
      </c>
      <c r="M593" s="9" t="n">
        <f aca="false">K593-L593</f>
        <v>110.1975</v>
      </c>
      <c r="N593" s="11" t="n">
        <f aca="false">IF(K593=0,0,M593/K593)</f>
        <v>0.466548121804846</v>
      </c>
      <c r="O593" s="9" t="n">
        <f aca="false">(G593*H593)-K593</f>
        <v>78.7325</v>
      </c>
      <c r="P593" s="8" t="s">
        <v>21</v>
      </c>
    </row>
    <row r="594" customFormat="false" ht="15" hidden="false" customHeight="false" outlineLevel="0" collapsed="false">
      <c r="A594" s="2" t="n">
        <v>46038</v>
      </c>
      <c r="B594" s="3" t="s">
        <v>37</v>
      </c>
      <c r="C594" s="3" t="s">
        <v>17</v>
      </c>
      <c r="D594" s="3" t="s">
        <v>82</v>
      </c>
      <c r="E594" s="3" t="s">
        <v>83</v>
      </c>
      <c r="F594" s="3" t="s">
        <v>26</v>
      </c>
      <c r="G594" s="3" t="n">
        <v>3</v>
      </c>
      <c r="H594" s="4" t="n">
        <v>44.99</v>
      </c>
      <c r="I594" s="4" t="n">
        <v>18</v>
      </c>
      <c r="J594" s="5" t="n">
        <v>0.1</v>
      </c>
      <c r="K594" s="4" t="n">
        <f aca="false">G594*H594*(1-J594)</f>
        <v>121.473</v>
      </c>
      <c r="L594" s="4" t="n">
        <f aca="false">G594*I594</f>
        <v>54</v>
      </c>
      <c r="M594" s="4" t="n">
        <f aca="false">K594-L594</f>
        <v>67.473</v>
      </c>
      <c r="N594" s="6" t="n">
        <f aca="false">IF(K594=0,0,M594/K594)</f>
        <v>0.555456768170705</v>
      </c>
      <c r="O594" s="4" t="n">
        <f aca="false">(G594*H594)-K594</f>
        <v>13.497</v>
      </c>
      <c r="P594" s="3" t="s">
        <v>21</v>
      </c>
    </row>
    <row r="595" customFormat="false" ht="15" hidden="false" customHeight="false" outlineLevel="0" collapsed="false">
      <c r="A595" s="7" t="n">
        <v>46045</v>
      </c>
      <c r="B595" s="8" t="s">
        <v>58</v>
      </c>
      <c r="C595" s="8" t="s">
        <v>58</v>
      </c>
      <c r="D595" s="8" t="s">
        <v>38</v>
      </c>
      <c r="E595" s="8" t="s">
        <v>39</v>
      </c>
      <c r="F595" s="8" t="s">
        <v>40</v>
      </c>
      <c r="G595" s="8" t="n">
        <v>18</v>
      </c>
      <c r="H595" s="9" t="n">
        <v>12.99</v>
      </c>
      <c r="I595" s="9" t="n">
        <v>4</v>
      </c>
      <c r="J595" s="10" t="n">
        <v>0.1</v>
      </c>
      <c r="K595" s="9" t="n">
        <f aca="false">G595*H595*(1-J595)</f>
        <v>210.438</v>
      </c>
      <c r="L595" s="9" t="n">
        <f aca="false">G595*I595</f>
        <v>72</v>
      </c>
      <c r="M595" s="9" t="n">
        <f aca="false">K595-L595</f>
        <v>138.438</v>
      </c>
      <c r="N595" s="11" t="n">
        <f aca="false">IF(K595=0,0,M595/K595)</f>
        <v>0.657856470789496</v>
      </c>
      <c r="O595" s="9" t="n">
        <f aca="false">(G595*H595)-K595</f>
        <v>23.382</v>
      </c>
      <c r="P595" s="8" t="s">
        <v>21</v>
      </c>
    </row>
    <row r="596" customFormat="false" ht="15" hidden="false" customHeight="false" outlineLevel="0" collapsed="false">
      <c r="A596" s="2" t="n">
        <v>46073</v>
      </c>
      <c r="B596" s="3" t="s">
        <v>31</v>
      </c>
      <c r="C596" s="3" t="s">
        <v>23</v>
      </c>
      <c r="D596" s="3" t="s">
        <v>29</v>
      </c>
      <c r="E596" s="3" t="s">
        <v>30</v>
      </c>
      <c r="F596" s="3" t="s">
        <v>20</v>
      </c>
      <c r="G596" s="3" t="n">
        <v>20</v>
      </c>
      <c r="H596" s="4" t="n">
        <v>89.99</v>
      </c>
      <c r="I596" s="4" t="n">
        <v>42</v>
      </c>
      <c r="J596" s="5" t="n">
        <v>0.1</v>
      </c>
      <c r="K596" s="4" t="n">
        <f aca="false">G596*H596*(1-J596)</f>
        <v>1619.82</v>
      </c>
      <c r="L596" s="4" t="n">
        <f aca="false">G596*I596</f>
        <v>840</v>
      </c>
      <c r="M596" s="4" t="n">
        <f aca="false">K596-L596</f>
        <v>779.82</v>
      </c>
      <c r="N596" s="6" t="n">
        <f aca="false">IF(K596=0,0,M596/K596)</f>
        <v>0.481423861910583</v>
      </c>
      <c r="O596" s="4" t="n">
        <f aca="false">(G596*H596)-K596</f>
        <v>179.98</v>
      </c>
      <c r="P596" s="3" t="s">
        <v>21</v>
      </c>
    </row>
    <row r="597" customFormat="false" ht="15" hidden="false" customHeight="false" outlineLevel="0" collapsed="false">
      <c r="A597" s="7" t="n">
        <v>46123</v>
      </c>
      <c r="B597" s="8" t="s">
        <v>16</v>
      </c>
      <c r="C597" s="8" t="s">
        <v>17</v>
      </c>
      <c r="D597" s="8" t="s">
        <v>95</v>
      </c>
      <c r="E597" s="8" t="s">
        <v>96</v>
      </c>
      <c r="F597" s="8" t="s">
        <v>50</v>
      </c>
      <c r="G597" s="8" t="n">
        <v>18</v>
      </c>
      <c r="H597" s="9" t="n">
        <v>34.99</v>
      </c>
      <c r="I597" s="9" t="n">
        <v>12</v>
      </c>
      <c r="J597" s="10" t="n">
        <v>0.2</v>
      </c>
      <c r="K597" s="9" t="n">
        <f aca="false">G597*H597*(1-J597)</f>
        <v>503.856</v>
      </c>
      <c r="L597" s="9" t="n">
        <f aca="false">G597*I597</f>
        <v>216</v>
      </c>
      <c r="M597" s="9" t="n">
        <f aca="false">K597-L597</f>
        <v>287.856</v>
      </c>
      <c r="N597" s="11" t="n">
        <f aca="false">IF(K597=0,0,M597/K597)</f>
        <v>0.571306087453558</v>
      </c>
      <c r="O597" s="9" t="n">
        <f aca="false">(G597*H597)-K597</f>
        <v>125.964</v>
      </c>
      <c r="P597" s="8" t="s">
        <v>21</v>
      </c>
    </row>
    <row r="598" customFormat="false" ht="15" hidden="false" customHeight="false" outlineLevel="0" collapsed="false">
      <c r="A598" s="2" t="n">
        <v>46057</v>
      </c>
      <c r="B598" s="3" t="s">
        <v>41</v>
      </c>
      <c r="C598" s="3" t="s">
        <v>28</v>
      </c>
      <c r="D598" s="3" t="s">
        <v>68</v>
      </c>
      <c r="E598" s="3" t="s">
        <v>69</v>
      </c>
      <c r="F598" s="3" t="s">
        <v>40</v>
      </c>
      <c r="G598" s="3" t="n">
        <v>8</v>
      </c>
      <c r="H598" s="4" t="n">
        <v>24.99</v>
      </c>
      <c r="I598" s="4" t="n">
        <v>9</v>
      </c>
      <c r="J598" s="5" t="n">
        <v>0</v>
      </c>
      <c r="K598" s="4" t="n">
        <f aca="false">G598*H598*(1-J598)</f>
        <v>199.92</v>
      </c>
      <c r="L598" s="4" t="n">
        <f aca="false">G598*I598</f>
        <v>72</v>
      </c>
      <c r="M598" s="4" t="n">
        <f aca="false">K598-L598</f>
        <v>127.92</v>
      </c>
      <c r="N598" s="6" t="n">
        <f aca="false">IF(K598=0,0,M598/K598)</f>
        <v>0.639855942376951</v>
      </c>
      <c r="O598" s="4" t="n">
        <f aca="false">(G598*H598)-K598</f>
        <v>0</v>
      </c>
      <c r="P598" s="3" t="s">
        <v>21</v>
      </c>
    </row>
    <row r="599" customFormat="false" ht="15" hidden="false" customHeight="false" outlineLevel="0" collapsed="false">
      <c r="A599" s="7" t="n">
        <v>46074</v>
      </c>
      <c r="B599" s="8" t="s">
        <v>64</v>
      </c>
      <c r="C599" s="8" t="s">
        <v>65</v>
      </c>
      <c r="D599" s="8" t="s">
        <v>48</v>
      </c>
      <c r="E599" s="8" t="s">
        <v>49</v>
      </c>
      <c r="F599" s="8" t="s">
        <v>50</v>
      </c>
      <c r="G599" s="8" t="n">
        <v>1</v>
      </c>
      <c r="H599" s="9" t="n">
        <v>54.99</v>
      </c>
      <c r="I599" s="9" t="n">
        <v>20</v>
      </c>
      <c r="J599" s="10" t="n">
        <v>0.1</v>
      </c>
      <c r="K599" s="9" t="n">
        <f aca="false">G599*H599*(1-J599)</f>
        <v>49.491</v>
      </c>
      <c r="L599" s="9" t="n">
        <f aca="false">G599*I599</f>
        <v>20</v>
      </c>
      <c r="M599" s="9" t="n">
        <f aca="false">K599-L599</f>
        <v>29.491</v>
      </c>
      <c r="N599" s="11" t="n">
        <f aca="false">IF(K599=0,0,M599/K599)</f>
        <v>0.595886120708816</v>
      </c>
      <c r="O599" s="9" t="n">
        <f aca="false">(G599*H599)-K599</f>
        <v>5.499</v>
      </c>
      <c r="P599" s="8" t="s">
        <v>21</v>
      </c>
    </row>
    <row r="600" customFormat="false" ht="15" hidden="false" customHeight="false" outlineLevel="0" collapsed="false">
      <c r="A600" s="2" t="n">
        <v>46028</v>
      </c>
      <c r="B600" s="3" t="s">
        <v>64</v>
      </c>
      <c r="C600" s="3" t="s">
        <v>65</v>
      </c>
      <c r="D600" s="3" t="s">
        <v>51</v>
      </c>
      <c r="E600" s="3" t="s">
        <v>52</v>
      </c>
      <c r="F600" s="3" t="s">
        <v>50</v>
      </c>
      <c r="G600" s="3" t="n">
        <v>9</v>
      </c>
      <c r="H600" s="4" t="n">
        <v>19.99</v>
      </c>
      <c r="I600" s="4" t="n">
        <v>7</v>
      </c>
      <c r="J600" s="5" t="n">
        <v>0</v>
      </c>
      <c r="K600" s="4" t="n">
        <f aca="false">G600*H600*(1-J600)</f>
        <v>179.91</v>
      </c>
      <c r="L600" s="4" t="n">
        <f aca="false">G600*I600</f>
        <v>63</v>
      </c>
      <c r="M600" s="4" t="n">
        <f aca="false">K600-L600</f>
        <v>116.91</v>
      </c>
      <c r="N600" s="6" t="n">
        <f aca="false">IF(K600=0,0,M600/K600)</f>
        <v>0.649824912456228</v>
      </c>
      <c r="O600" s="4" t="n">
        <f aca="false">(G600*H600)-K600</f>
        <v>0</v>
      </c>
      <c r="P600" s="3" t="s">
        <v>21</v>
      </c>
    </row>
    <row r="601" customFormat="false" ht="15" hidden="false" customHeight="false" outlineLevel="0" collapsed="false">
      <c r="A601" s="7" t="n">
        <v>46034</v>
      </c>
      <c r="B601" s="8" t="s">
        <v>64</v>
      </c>
      <c r="C601" s="8" t="s">
        <v>65</v>
      </c>
      <c r="D601" s="8" t="s">
        <v>68</v>
      </c>
      <c r="E601" s="8" t="s">
        <v>69</v>
      </c>
      <c r="F601" s="8" t="s">
        <v>40</v>
      </c>
      <c r="G601" s="8" t="n">
        <v>17</v>
      </c>
      <c r="H601" s="9" t="n">
        <v>24.99</v>
      </c>
      <c r="I601" s="9" t="n">
        <v>9</v>
      </c>
      <c r="J601" s="10" t="n">
        <v>0.15</v>
      </c>
      <c r="K601" s="9" t="n">
        <f aca="false">G601*H601*(1-J601)</f>
        <v>361.1055</v>
      </c>
      <c r="L601" s="9" t="n">
        <f aca="false">G601*I601</f>
        <v>153</v>
      </c>
      <c r="M601" s="9" t="n">
        <f aca="false">K601-L601</f>
        <v>208.1055</v>
      </c>
      <c r="N601" s="11" t="n">
        <f aca="false">IF(K601=0,0,M601/K601)</f>
        <v>0.576301108678766</v>
      </c>
      <c r="O601" s="9" t="n">
        <f aca="false">(G601*H601)-K601</f>
        <v>63.7245</v>
      </c>
      <c r="P601" s="8" t="s">
        <v>21</v>
      </c>
    </row>
    <row r="602" customFormat="false" ht="15" hidden="false" customHeight="false" outlineLevel="0" collapsed="false">
      <c r="A602" s="2" t="n">
        <v>46113</v>
      </c>
      <c r="B602" s="3" t="s">
        <v>16</v>
      </c>
      <c r="C602" s="3" t="s">
        <v>17</v>
      </c>
      <c r="D602" s="3" t="s">
        <v>55</v>
      </c>
      <c r="E602" s="3" t="s">
        <v>56</v>
      </c>
      <c r="F602" s="3" t="s">
        <v>57</v>
      </c>
      <c r="G602" s="3" t="n">
        <v>7</v>
      </c>
      <c r="H602" s="4" t="n">
        <v>29.99</v>
      </c>
      <c r="I602" s="4" t="n">
        <v>11</v>
      </c>
      <c r="J602" s="5" t="n">
        <v>0.2</v>
      </c>
      <c r="K602" s="4" t="n">
        <f aca="false">G602*H602*(1-J602)</f>
        <v>167.944</v>
      </c>
      <c r="L602" s="4" t="n">
        <f aca="false">G602*I602</f>
        <v>77</v>
      </c>
      <c r="M602" s="4" t="n">
        <f aca="false">K602-L602</f>
        <v>90.944</v>
      </c>
      <c r="N602" s="6" t="n">
        <f aca="false">IF(K602=0,0,M602/K602)</f>
        <v>0.541513837945982</v>
      </c>
      <c r="O602" s="4" t="n">
        <f aca="false">(G602*H602)-K602</f>
        <v>41.986</v>
      </c>
      <c r="P602" s="3" t="s">
        <v>21</v>
      </c>
    </row>
    <row r="603" customFormat="false" ht="15" hidden="false" customHeight="false" outlineLevel="0" collapsed="false">
      <c r="A603" s="7" t="n">
        <v>46047</v>
      </c>
      <c r="B603" s="8" t="s">
        <v>27</v>
      </c>
      <c r="C603" s="8" t="s">
        <v>28</v>
      </c>
      <c r="D603" s="8" t="s">
        <v>78</v>
      </c>
      <c r="E603" s="8" t="s">
        <v>79</v>
      </c>
      <c r="F603" s="8" t="s">
        <v>20</v>
      </c>
      <c r="G603" s="8" t="n">
        <v>23</v>
      </c>
      <c r="H603" s="9" t="n">
        <v>39.99</v>
      </c>
      <c r="I603" s="9" t="n">
        <v>16</v>
      </c>
      <c r="J603" s="10" t="n">
        <v>0.1</v>
      </c>
      <c r="K603" s="9" t="n">
        <f aca="false">G603*H603*(1-J603)</f>
        <v>827.793</v>
      </c>
      <c r="L603" s="9" t="n">
        <f aca="false">G603*I603</f>
        <v>368</v>
      </c>
      <c r="M603" s="9" t="n">
        <f aca="false">K603-L603</f>
        <v>459.793</v>
      </c>
      <c r="N603" s="11" t="n">
        <f aca="false">IF(K603=0,0,M603/K603)</f>
        <v>0.555444416659721</v>
      </c>
      <c r="O603" s="9" t="n">
        <f aca="false">(G603*H603)-K603</f>
        <v>91.977</v>
      </c>
      <c r="P603" s="8" t="s">
        <v>21</v>
      </c>
    </row>
    <row r="604" customFormat="false" ht="15" hidden="false" customHeight="false" outlineLevel="0" collapsed="false">
      <c r="A604" s="2" t="n">
        <v>46113</v>
      </c>
      <c r="B604" s="3" t="s">
        <v>27</v>
      </c>
      <c r="C604" s="3" t="s">
        <v>28</v>
      </c>
      <c r="D604" s="3" t="s">
        <v>80</v>
      </c>
      <c r="E604" s="3" t="s">
        <v>81</v>
      </c>
      <c r="F604" s="3" t="s">
        <v>57</v>
      </c>
      <c r="G604" s="3" t="n">
        <v>26</v>
      </c>
      <c r="H604" s="4" t="n">
        <v>17.99</v>
      </c>
      <c r="I604" s="4" t="n">
        <v>6.5</v>
      </c>
      <c r="J604" s="5" t="n">
        <v>0.3</v>
      </c>
      <c r="K604" s="4" t="n">
        <f aca="false">G604*H604*(1-J604)</f>
        <v>327.418</v>
      </c>
      <c r="L604" s="4" t="n">
        <f aca="false">G604*I604</f>
        <v>169</v>
      </c>
      <c r="M604" s="4" t="n">
        <f aca="false">K604-L604</f>
        <v>158.418</v>
      </c>
      <c r="N604" s="6" t="n">
        <f aca="false">IF(K604=0,0,M604/K604)</f>
        <v>0.483840228698483</v>
      </c>
      <c r="O604" s="4" t="n">
        <f aca="false">(G604*H604)-K604</f>
        <v>140.322</v>
      </c>
      <c r="P604" s="3" t="s">
        <v>21</v>
      </c>
    </row>
    <row r="605" customFormat="false" ht="15" hidden="false" customHeight="false" outlineLevel="0" collapsed="false">
      <c r="A605" s="7" t="n">
        <v>46101</v>
      </c>
      <c r="B605" s="8" t="s">
        <v>31</v>
      </c>
      <c r="C605" s="8" t="s">
        <v>23</v>
      </c>
      <c r="D605" s="8" t="s">
        <v>18</v>
      </c>
      <c r="E605" s="8" t="s">
        <v>19</v>
      </c>
      <c r="F605" s="8" t="s">
        <v>20</v>
      </c>
      <c r="G605" s="8" t="n">
        <v>21</v>
      </c>
      <c r="H605" s="9" t="n">
        <v>26.99</v>
      </c>
      <c r="I605" s="9" t="n">
        <v>10.5</v>
      </c>
      <c r="J605" s="10" t="n">
        <v>0</v>
      </c>
      <c r="K605" s="9" t="n">
        <f aca="false">G605*H605*(1-J605)</f>
        <v>566.79</v>
      </c>
      <c r="L605" s="9" t="n">
        <f aca="false">G605*I605</f>
        <v>220.5</v>
      </c>
      <c r="M605" s="9" t="n">
        <f aca="false">K605-L605</f>
        <v>346.29</v>
      </c>
      <c r="N605" s="11" t="n">
        <f aca="false">IF(K605=0,0,M605/K605)</f>
        <v>0.610967024824009</v>
      </c>
      <c r="O605" s="9" t="n">
        <f aca="false">(G605*H605)-K605</f>
        <v>0</v>
      </c>
      <c r="P605" s="8" t="s">
        <v>21</v>
      </c>
    </row>
    <row r="606" customFormat="false" ht="15" hidden="false" customHeight="false" outlineLevel="0" collapsed="false">
      <c r="A606" s="2" t="n">
        <v>46055</v>
      </c>
      <c r="B606" s="3" t="s">
        <v>22</v>
      </c>
      <c r="C606" s="3" t="s">
        <v>23</v>
      </c>
      <c r="D606" s="3" t="s">
        <v>24</v>
      </c>
      <c r="E606" s="3" t="s">
        <v>25</v>
      </c>
      <c r="F606" s="3" t="s">
        <v>26</v>
      </c>
      <c r="G606" s="3" t="n">
        <v>24</v>
      </c>
      <c r="H606" s="4" t="n">
        <v>54.99</v>
      </c>
      <c r="I606" s="4" t="n">
        <v>24</v>
      </c>
      <c r="J606" s="5" t="n">
        <v>0.25</v>
      </c>
      <c r="K606" s="4" t="n">
        <f aca="false">G606*H606*(1-J606)</f>
        <v>989.82</v>
      </c>
      <c r="L606" s="4" t="n">
        <f aca="false">G606*I606</f>
        <v>576</v>
      </c>
      <c r="M606" s="4" t="n">
        <f aca="false">K606-L606</f>
        <v>413.82</v>
      </c>
      <c r="N606" s="6" t="n">
        <f aca="false">IF(K606=0,0,M606/K606)</f>
        <v>0.418076013820695</v>
      </c>
      <c r="O606" s="4" t="n">
        <f aca="false">(G606*H606)-K606</f>
        <v>329.94</v>
      </c>
      <c r="P606" s="3" t="s">
        <v>21</v>
      </c>
    </row>
    <row r="607" customFormat="false" ht="15" hidden="false" customHeight="false" outlineLevel="0" collapsed="false">
      <c r="A607" s="7" t="n">
        <v>46058</v>
      </c>
      <c r="B607" s="8" t="s">
        <v>16</v>
      </c>
      <c r="C607" s="8" t="s">
        <v>17</v>
      </c>
      <c r="D607" s="8" t="s">
        <v>84</v>
      </c>
      <c r="E607" s="8" t="s">
        <v>85</v>
      </c>
      <c r="F607" s="8" t="s">
        <v>20</v>
      </c>
      <c r="G607" s="8" t="n">
        <v>17</v>
      </c>
      <c r="H607" s="9" t="n">
        <v>34.99</v>
      </c>
      <c r="I607" s="9" t="n">
        <v>13</v>
      </c>
      <c r="J607" s="10" t="n">
        <v>0</v>
      </c>
      <c r="K607" s="9" t="n">
        <f aca="false">G607*H607*(1-J607)</f>
        <v>594.83</v>
      </c>
      <c r="L607" s="9" t="n">
        <f aca="false">G607*I607</f>
        <v>221</v>
      </c>
      <c r="M607" s="9" t="n">
        <f aca="false">K607-L607</f>
        <v>373.83</v>
      </c>
      <c r="N607" s="11" t="n">
        <f aca="false">IF(K607=0,0,M607/K607)</f>
        <v>0.628465275793084</v>
      </c>
      <c r="O607" s="9" t="n">
        <f aca="false">(G607*H607)-K607</f>
        <v>0</v>
      </c>
      <c r="P607" s="8" t="s">
        <v>21</v>
      </c>
    </row>
    <row r="608" customFormat="false" ht="15" hidden="false" customHeight="false" outlineLevel="0" collapsed="false">
      <c r="A608" s="2" t="n">
        <v>46060</v>
      </c>
      <c r="B608" s="3" t="s">
        <v>64</v>
      </c>
      <c r="C608" s="3" t="s">
        <v>65</v>
      </c>
      <c r="D608" s="3" t="s">
        <v>82</v>
      </c>
      <c r="E608" s="3" t="s">
        <v>83</v>
      </c>
      <c r="F608" s="3" t="s">
        <v>26</v>
      </c>
      <c r="G608" s="3" t="n">
        <v>13</v>
      </c>
      <c r="H608" s="4" t="n">
        <v>44.99</v>
      </c>
      <c r="I608" s="4" t="n">
        <v>18</v>
      </c>
      <c r="J608" s="5" t="n">
        <v>0.2</v>
      </c>
      <c r="K608" s="4" t="n">
        <f aca="false">G608*H608*(1-J608)</f>
        <v>467.896</v>
      </c>
      <c r="L608" s="4" t="n">
        <f aca="false">G608*I608</f>
        <v>234</v>
      </c>
      <c r="M608" s="4" t="n">
        <f aca="false">K608-L608</f>
        <v>233.896</v>
      </c>
      <c r="N608" s="6" t="n">
        <f aca="false">IF(K608=0,0,M608/K608)</f>
        <v>0.499888864192043</v>
      </c>
      <c r="O608" s="4" t="n">
        <f aca="false">(G608*H608)-K608</f>
        <v>116.974</v>
      </c>
      <c r="P608" s="3" t="s">
        <v>21</v>
      </c>
    </row>
    <row r="609" customFormat="false" ht="15" hidden="false" customHeight="false" outlineLevel="0" collapsed="false">
      <c r="A609" s="7" t="n">
        <v>46091</v>
      </c>
      <c r="B609" s="8" t="s">
        <v>58</v>
      </c>
      <c r="C609" s="8" t="s">
        <v>58</v>
      </c>
      <c r="D609" s="8" t="s">
        <v>61</v>
      </c>
      <c r="E609" s="8" t="s">
        <v>62</v>
      </c>
      <c r="F609" s="8" t="s">
        <v>34</v>
      </c>
      <c r="G609" s="8" t="n">
        <v>19</v>
      </c>
      <c r="H609" s="9" t="n">
        <v>12.99</v>
      </c>
      <c r="I609" s="9" t="n">
        <v>4.5</v>
      </c>
      <c r="J609" s="10" t="n">
        <v>0.05</v>
      </c>
      <c r="K609" s="9" t="n">
        <f aca="false">G609*H609*(1-J609)</f>
        <v>234.4695</v>
      </c>
      <c r="L609" s="9" t="n">
        <f aca="false">G609*I609</f>
        <v>85.5</v>
      </c>
      <c r="M609" s="9" t="n">
        <f aca="false">K609-L609</f>
        <v>148.9695</v>
      </c>
      <c r="N609" s="11" t="n">
        <f aca="false">IF(K609=0,0,M609/K609)</f>
        <v>0.635347028078279</v>
      </c>
      <c r="O609" s="9" t="n">
        <f aca="false">(G609*H609)-K609</f>
        <v>12.3405</v>
      </c>
      <c r="P609" s="8" t="s">
        <v>21</v>
      </c>
    </row>
    <row r="610" customFormat="false" ht="15" hidden="false" customHeight="false" outlineLevel="0" collapsed="false">
      <c r="A610" s="2" t="n">
        <v>46069</v>
      </c>
      <c r="B610" s="3" t="s">
        <v>58</v>
      </c>
      <c r="C610" s="3" t="s">
        <v>58</v>
      </c>
      <c r="D610" s="3" t="s">
        <v>32</v>
      </c>
      <c r="E610" s="3" t="s">
        <v>33</v>
      </c>
      <c r="F610" s="3" t="s">
        <v>34</v>
      </c>
      <c r="G610" s="3" t="n">
        <v>15</v>
      </c>
      <c r="H610" s="4" t="n">
        <v>18.99</v>
      </c>
      <c r="I610" s="4" t="n">
        <v>6</v>
      </c>
      <c r="J610" s="5" t="n">
        <v>0</v>
      </c>
      <c r="K610" s="4" t="n">
        <f aca="false">G610*H610*(1-J610)</f>
        <v>284.85</v>
      </c>
      <c r="L610" s="4" t="n">
        <f aca="false">G610*I610</f>
        <v>90</v>
      </c>
      <c r="M610" s="4" t="n">
        <f aca="false">K610-L610</f>
        <v>194.85</v>
      </c>
      <c r="N610" s="6" t="n">
        <f aca="false">IF(K610=0,0,M610/K610)</f>
        <v>0.684044233807267</v>
      </c>
      <c r="O610" s="4" t="n">
        <f aca="false">(G610*H610)-K610</f>
        <v>0</v>
      </c>
      <c r="P610" s="3" t="s">
        <v>21</v>
      </c>
    </row>
    <row r="611" customFormat="false" ht="15" hidden="false" customHeight="false" outlineLevel="0" collapsed="false">
      <c r="A611" s="7" t="n">
        <v>46082</v>
      </c>
      <c r="B611" s="8" t="s">
        <v>22</v>
      </c>
      <c r="C611" s="8" t="s">
        <v>23</v>
      </c>
      <c r="D611" s="8" t="s">
        <v>90</v>
      </c>
      <c r="E611" s="8" t="s">
        <v>91</v>
      </c>
      <c r="F611" s="8" t="s">
        <v>26</v>
      </c>
      <c r="G611" s="8" t="n">
        <v>22</v>
      </c>
      <c r="H611" s="9" t="n">
        <v>29.99</v>
      </c>
      <c r="I611" s="9" t="n">
        <v>11</v>
      </c>
      <c r="J611" s="10" t="n">
        <v>0</v>
      </c>
      <c r="K611" s="9" t="n">
        <f aca="false">G611*H611*(1-J611)</f>
        <v>659.78</v>
      </c>
      <c r="L611" s="9" t="n">
        <f aca="false">G611*I611</f>
        <v>242</v>
      </c>
      <c r="M611" s="9" t="n">
        <f aca="false">K611-L611</f>
        <v>417.78</v>
      </c>
      <c r="N611" s="11" t="n">
        <f aca="false">IF(K611=0,0,M611/K611)</f>
        <v>0.633211070356786</v>
      </c>
      <c r="O611" s="9" t="n">
        <f aca="false">(G611*H611)-K611</f>
        <v>0</v>
      </c>
      <c r="P611" s="8" t="s">
        <v>21</v>
      </c>
    </row>
    <row r="612" customFormat="false" ht="15" hidden="false" customHeight="false" outlineLevel="0" collapsed="false">
      <c r="A612" s="2" t="n">
        <v>46032</v>
      </c>
      <c r="B612" s="3" t="s">
        <v>31</v>
      </c>
      <c r="C612" s="3" t="s">
        <v>23</v>
      </c>
      <c r="D612" s="3" t="s">
        <v>42</v>
      </c>
      <c r="E612" s="3" t="s">
        <v>43</v>
      </c>
      <c r="F612" s="3" t="s">
        <v>34</v>
      </c>
      <c r="G612" s="3" t="n">
        <v>16</v>
      </c>
      <c r="H612" s="4" t="n">
        <v>11.99</v>
      </c>
      <c r="I612" s="4" t="n">
        <v>3.5</v>
      </c>
      <c r="J612" s="5" t="n">
        <v>0.1</v>
      </c>
      <c r="K612" s="4" t="n">
        <f aca="false">G612*H612*(1-J612)</f>
        <v>172.656</v>
      </c>
      <c r="L612" s="4" t="n">
        <f aca="false">G612*I612</f>
        <v>56</v>
      </c>
      <c r="M612" s="4" t="n">
        <f aca="false">K612-L612</f>
        <v>116.656</v>
      </c>
      <c r="N612" s="6" t="n">
        <f aca="false">IF(K612=0,0,M612/K612)</f>
        <v>0.675655638958391</v>
      </c>
      <c r="O612" s="4" t="n">
        <f aca="false">(G612*H612)-K612</f>
        <v>19.184</v>
      </c>
      <c r="P612" s="3" t="s">
        <v>21</v>
      </c>
    </row>
    <row r="613" customFormat="false" ht="15" hidden="false" customHeight="false" outlineLevel="0" collapsed="false">
      <c r="A613" s="7" t="n">
        <v>46031</v>
      </c>
      <c r="B613" s="8" t="s">
        <v>41</v>
      </c>
      <c r="C613" s="8" t="s">
        <v>28</v>
      </c>
      <c r="D613" s="8" t="s">
        <v>24</v>
      </c>
      <c r="E613" s="8" t="s">
        <v>25</v>
      </c>
      <c r="F613" s="8" t="s">
        <v>26</v>
      </c>
      <c r="G613" s="8" t="n">
        <v>11</v>
      </c>
      <c r="H613" s="9" t="n">
        <v>59.99</v>
      </c>
      <c r="I613" s="9" t="n">
        <v>24</v>
      </c>
      <c r="J613" s="10" t="n">
        <v>0</v>
      </c>
      <c r="K613" s="9" t="n">
        <f aca="false">G613*H613*(1-J613)</f>
        <v>659.89</v>
      </c>
      <c r="L613" s="9" t="n">
        <f aca="false">G613*I613</f>
        <v>264</v>
      </c>
      <c r="M613" s="9" t="n">
        <f aca="false">K613-L613</f>
        <v>395.89</v>
      </c>
      <c r="N613" s="11" t="n">
        <f aca="false">IF(K613=0,0,M613/K613)</f>
        <v>0.59993332222037</v>
      </c>
      <c r="O613" s="9" t="n">
        <f aca="false">(G613*H613)-K613</f>
        <v>0</v>
      </c>
      <c r="P613" s="8" t="s">
        <v>21</v>
      </c>
    </row>
    <row r="614" customFormat="false" ht="15" hidden="false" customHeight="false" outlineLevel="0" collapsed="false">
      <c r="A614" s="2" t="n">
        <v>46070</v>
      </c>
      <c r="B614" s="3" t="s">
        <v>22</v>
      </c>
      <c r="C614" s="3" t="s">
        <v>23</v>
      </c>
      <c r="D614" s="3" t="s">
        <v>76</v>
      </c>
      <c r="E614" s="3" t="s">
        <v>77</v>
      </c>
      <c r="F614" s="3" t="s">
        <v>34</v>
      </c>
      <c r="G614" s="3" t="n">
        <v>8</v>
      </c>
      <c r="H614" s="4" t="n">
        <v>44.99</v>
      </c>
      <c r="I614" s="4" t="n">
        <v>14</v>
      </c>
      <c r="J614" s="5" t="n">
        <v>0.15</v>
      </c>
      <c r="K614" s="4" t="n">
        <f aca="false">G614*H614*(1-J614)</f>
        <v>305.932</v>
      </c>
      <c r="L614" s="4" t="n">
        <f aca="false">G614*I614</f>
        <v>112</v>
      </c>
      <c r="M614" s="4" t="n">
        <f aca="false">K614-L614</f>
        <v>193.932</v>
      </c>
      <c r="N614" s="6" t="n">
        <f aca="false">IF(K614=0,0,M614/K614)</f>
        <v>0.633905573787639</v>
      </c>
      <c r="O614" s="4" t="n">
        <f aca="false">(G614*H614)-K614</f>
        <v>53.988</v>
      </c>
      <c r="P614" s="3" t="s">
        <v>21</v>
      </c>
    </row>
    <row r="615" customFormat="false" ht="15" hidden="false" customHeight="false" outlineLevel="0" collapsed="false">
      <c r="A615" s="7" t="n">
        <v>46131</v>
      </c>
      <c r="B615" s="8" t="s">
        <v>22</v>
      </c>
      <c r="C615" s="8" t="s">
        <v>23</v>
      </c>
      <c r="D615" s="8" t="s">
        <v>74</v>
      </c>
      <c r="E615" s="8" t="s">
        <v>75</v>
      </c>
      <c r="F615" s="8" t="s">
        <v>40</v>
      </c>
      <c r="G615" s="8" t="n">
        <v>19</v>
      </c>
      <c r="H615" s="9" t="n">
        <v>29.99</v>
      </c>
      <c r="I615" s="9" t="n">
        <v>13</v>
      </c>
      <c r="J615" s="10" t="n">
        <v>0</v>
      </c>
      <c r="K615" s="9" t="n">
        <f aca="false">G615*H615*(1-J615)</f>
        <v>569.81</v>
      </c>
      <c r="L615" s="9" t="n">
        <f aca="false">G615*I615</f>
        <v>247</v>
      </c>
      <c r="M615" s="9" t="n">
        <f aca="false">K615-L615</f>
        <v>322.81</v>
      </c>
      <c r="N615" s="11" t="n">
        <f aca="false">IF(K615=0,0,M615/K615)</f>
        <v>0.566522174058019</v>
      </c>
      <c r="O615" s="9" t="n">
        <f aca="false">(G615*H615)-K615</f>
        <v>0</v>
      </c>
      <c r="P615" s="8" t="s">
        <v>21</v>
      </c>
    </row>
    <row r="616" customFormat="false" ht="15" hidden="false" customHeight="false" outlineLevel="0" collapsed="false">
      <c r="A616" s="2" t="n">
        <v>46070</v>
      </c>
      <c r="B616" s="3" t="s">
        <v>27</v>
      </c>
      <c r="C616" s="3" t="s">
        <v>28</v>
      </c>
      <c r="D616" s="3" t="s">
        <v>88</v>
      </c>
      <c r="E616" s="3" t="s">
        <v>89</v>
      </c>
      <c r="F616" s="3" t="s">
        <v>57</v>
      </c>
      <c r="G616" s="3" t="n">
        <v>10</v>
      </c>
      <c r="H616" s="4" t="n">
        <v>12.99</v>
      </c>
      <c r="I616" s="4" t="n">
        <v>4.5</v>
      </c>
      <c r="J616" s="5" t="n">
        <v>0.15</v>
      </c>
      <c r="K616" s="4" t="n">
        <f aca="false">G616*H616*(1-J616)</f>
        <v>110.415</v>
      </c>
      <c r="L616" s="4" t="n">
        <f aca="false">G616*I616</f>
        <v>45</v>
      </c>
      <c r="M616" s="4" t="n">
        <f aca="false">K616-L616</f>
        <v>65.415</v>
      </c>
      <c r="N616" s="6" t="n">
        <f aca="false">IF(K616=0,0,M616/K616)</f>
        <v>0.592446678440429</v>
      </c>
      <c r="O616" s="4" t="n">
        <f aca="false">(G616*H616)-K616</f>
        <v>19.485</v>
      </c>
      <c r="P616" s="3" t="s">
        <v>21</v>
      </c>
    </row>
    <row r="617" customFormat="false" ht="15" hidden="false" customHeight="false" outlineLevel="0" collapsed="false">
      <c r="A617" s="7" t="n">
        <v>46126</v>
      </c>
      <c r="B617" s="8" t="s">
        <v>22</v>
      </c>
      <c r="C617" s="8" t="s">
        <v>23</v>
      </c>
      <c r="D617" s="8" t="s">
        <v>38</v>
      </c>
      <c r="E617" s="8" t="s">
        <v>39</v>
      </c>
      <c r="F617" s="8" t="s">
        <v>40</v>
      </c>
      <c r="G617" s="8" t="n">
        <v>25</v>
      </c>
      <c r="H617" s="9" t="n">
        <v>12.99</v>
      </c>
      <c r="I617" s="9" t="n">
        <v>4</v>
      </c>
      <c r="J617" s="10" t="n">
        <v>0.15</v>
      </c>
      <c r="K617" s="9" t="n">
        <f aca="false">G617*H617*(1-J617)</f>
        <v>276.0375</v>
      </c>
      <c r="L617" s="9" t="n">
        <f aca="false">G617*I617</f>
        <v>100</v>
      </c>
      <c r="M617" s="9" t="n">
        <f aca="false">K617-L617</f>
        <v>176.0375</v>
      </c>
      <c r="N617" s="11" t="n">
        <f aca="false">IF(K617=0,0,M617/K617)</f>
        <v>0.637730380835937</v>
      </c>
      <c r="O617" s="9" t="n">
        <f aca="false">(G617*H617)-K617</f>
        <v>48.7125</v>
      </c>
      <c r="P617" s="8" t="s">
        <v>21</v>
      </c>
    </row>
    <row r="618" customFormat="false" ht="15" hidden="false" customHeight="false" outlineLevel="0" collapsed="false">
      <c r="A618" s="2" t="n">
        <v>46129</v>
      </c>
      <c r="B618" s="3" t="s">
        <v>64</v>
      </c>
      <c r="C618" s="3" t="s">
        <v>65</v>
      </c>
      <c r="D618" s="3" t="s">
        <v>84</v>
      </c>
      <c r="E618" s="3" t="s">
        <v>85</v>
      </c>
      <c r="F618" s="3" t="s">
        <v>20</v>
      </c>
      <c r="G618" s="3" t="n">
        <v>30</v>
      </c>
      <c r="H618" s="4" t="n">
        <v>34.99</v>
      </c>
      <c r="I618" s="4" t="n">
        <v>13</v>
      </c>
      <c r="J618" s="5" t="n">
        <v>0</v>
      </c>
      <c r="K618" s="4" t="n">
        <f aca="false">G618*H618*(1-J618)</f>
        <v>1049.7</v>
      </c>
      <c r="L618" s="4" t="n">
        <f aca="false">G618*I618</f>
        <v>390</v>
      </c>
      <c r="M618" s="4" t="n">
        <f aca="false">K618-L618</f>
        <v>659.7</v>
      </c>
      <c r="N618" s="6" t="n">
        <f aca="false">IF(K618=0,0,M618/K618)</f>
        <v>0.628465275793084</v>
      </c>
      <c r="O618" s="4" t="n">
        <f aca="false">(G618*H618)-K618</f>
        <v>0</v>
      </c>
      <c r="P618" s="3" t="s">
        <v>21</v>
      </c>
    </row>
    <row r="619" customFormat="false" ht="15" hidden="false" customHeight="false" outlineLevel="0" collapsed="false">
      <c r="A619" s="7" t="n">
        <v>46052</v>
      </c>
      <c r="B619" s="8" t="s">
        <v>64</v>
      </c>
      <c r="C619" s="8" t="s">
        <v>65</v>
      </c>
      <c r="D619" s="8" t="s">
        <v>76</v>
      </c>
      <c r="E619" s="8" t="s">
        <v>77</v>
      </c>
      <c r="F619" s="8" t="s">
        <v>34</v>
      </c>
      <c r="G619" s="8" t="n">
        <v>23</v>
      </c>
      <c r="H619" s="9" t="n">
        <v>44.99</v>
      </c>
      <c r="I619" s="9" t="n">
        <v>14</v>
      </c>
      <c r="J619" s="10" t="n">
        <v>0.1</v>
      </c>
      <c r="K619" s="9" t="n">
        <f aca="false">G619*H619*(1-J619)</f>
        <v>931.293</v>
      </c>
      <c r="L619" s="9" t="n">
        <f aca="false">G619*I619</f>
        <v>322</v>
      </c>
      <c r="M619" s="9" t="n">
        <f aca="false">K619-L619</f>
        <v>609.293</v>
      </c>
      <c r="N619" s="11" t="n">
        <f aca="false">IF(K619=0,0,M619/K619)</f>
        <v>0.654244153021659</v>
      </c>
      <c r="O619" s="9" t="n">
        <f aca="false">(G619*H619)-K619</f>
        <v>103.477</v>
      </c>
      <c r="P619" s="8" t="s">
        <v>21</v>
      </c>
    </row>
    <row r="620" customFormat="false" ht="15" hidden="false" customHeight="false" outlineLevel="0" collapsed="false">
      <c r="A620" s="2" t="n">
        <v>46097</v>
      </c>
      <c r="B620" s="3" t="s">
        <v>37</v>
      </c>
      <c r="C620" s="3" t="s">
        <v>17</v>
      </c>
      <c r="D620" s="3" t="s">
        <v>48</v>
      </c>
      <c r="E620" s="3" t="s">
        <v>49</v>
      </c>
      <c r="F620" s="3" t="s">
        <v>50</v>
      </c>
      <c r="G620" s="3" t="n">
        <v>24</v>
      </c>
      <c r="H620" s="4" t="n">
        <v>59.99</v>
      </c>
      <c r="I620" s="4" t="n">
        <v>20</v>
      </c>
      <c r="J620" s="5" t="n">
        <v>0</v>
      </c>
      <c r="K620" s="4" t="n">
        <f aca="false">G620*H620*(1-J620)</f>
        <v>1439.76</v>
      </c>
      <c r="L620" s="4" t="n">
        <f aca="false">G620*I620</f>
        <v>480</v>
      </c>
      <c r="M620" s="4" t="n">
        <f aca="false">K620-L620</f>
        <v>959.76</v>
      </c>
      <c r="N620" s="6" t="n">
        <f aca="false">IF(K620=0,0,M620/K620)</f>
        <v>0.666611101850308</v>
      </c>
      <c r="O620" s="4" t="n">
        <f aca="false">(G620*H620)-K620</f>
        <v>0</v>
      </c>
      <c r="P620" s="3" t="s">
        <v>21</v>
      </c>
    </row>
    <row r="621" customFormat="false" ht="15" hidden="false" customHeight="false" outlineLevel="0" collapsed="false">
      <c r="A621" s="7" t="n">
        <v>46119</v>
      </c>
      <c r="B621" s="8" t="s">
        <v>58</v>
      </c>
      <c r="C621" s="8" t="s">
        <v>58</v>
      </c>
      <c r="D621" s="8" t="s">
        <v>46</v>
      </c>
      <c r="E621" s="8" t="s">
        <v>47</v>
      </c>
      <c r="F621" s="8" t="s">
        <v>20</v>
      </c>
      <c r="G621" s="8" t="n">
        <v>28</v>
      </c>
      <c r="H621" s="9" t="n">
        <v>44.99</v>
      </c>
      <c r="I621" s="9" t="n">
        <v>18</v>
      </c>
      <c r="J621" s="10" t="n">
        <v>0</v>
      </c>
      <c r="K621" s="9" t="n">
        <f aca="false">G621*H621*(1-J621)</f>
        <v>1259.72</v>
      </c>
      <c r="L621" s="9" t="n">
        <f aca="false">G621*I621</f>
        <v>504</v>
      </c>
      <c r="M621" s="9" t="n">
        <f aca="false">K621-L621</f>
        <v>755.72</v>
      </c>
      <c r="N621" s="11" t="n">
        <f aca="false">IF(K621=0,0,M621/K621)</f>
        <v>0.599911091353634</v>
      </c>
      <c r="O621" s="9" t="n">
        <f aca="false">(G621*H621)-K621</f>
        <v>0</v>
      </c>
      <c r="P621" s="8" t="s">
        <v>21</v>
      </c>
    </row>
    <row r="622" customFormat="false" ht="15" hidden="false" customHeight="false" outlineLevel="0" collapsed="false">
      <c r="A622" s="2" t="n">
        <v>46040</v>
      </c>
      <c r="B622" s="3" t="s">
        <v>31</v>
      </c>
      <c r="C622" s="3" t="s">
        <v>23</v>
      </c>
      <c r="D622" s="3" t="s">
        <v>35</v>
      </c>
      <c r="E622" s="3" t="s">
        <v>36</v>
      </c>
      <c r="F622" s="3" t="s">
        <v>26</v>
      </c>
      <c r="G622" s="3" t="n">
        <v>26</v>
      </c>
      <c r="H622" s="4" t="n">
        <v>69.99</v>
      </c>
      <c r="I622" s="4" t="n">
        <v>30</v>
      </c>
      <c r="J622" s="5" t="n">
        <v>0.05</v>
      </c>
      <c r="K622" s="4" t="n">
        <f aca="false">G622*H622*(1-J622)</f>
        <v>1728.753</v>
      </c>
      <c r="L622" s="4" t="n">
        <f aca="false">G622*I622</f>
        <v>780</v>
      </c>
      <c r="M622" s="4" t="n">
        <f aca="false">K622-L622</f>
        <v>948.753</v>
      </c>
      <c r="N622" s="6" t="n">
        <f aca="false">IF(K622=0,0,M622/K622)</f>
        <v>0.548807724411758</v>
      </c>
      <c r="O622" s="4" t="n">
        <f aca="false">(G622*H622)-K622</f>
        <v>90.9870000000001</v>
      </c>
      <c r="P622" s="3" t="s">
        <v>21</v>
      </c>
    </row>
    <row r="623" customFormat="false" ht="15" hidden="false" customHeight="false" outlineLevel="0" collapsed="false">
      <c r="A623" s="7" t="n">
        <v>46131</v>
      </c>
      <c r="B623" s="8" t="s">
        <v>22</v>
      </c>
      <c r="C623" s="8" t="s">
        <v>23</v>
      </c>
      <c r="D623" s="8" t="s">
        <v>35</v>
      </c>
      <c r="E623" s="8" t="s">
        <v>36</v>
      </c>
      <c r="F623" s="8" t="s">
        <v>26</v>
      </c>
      <c r="G623" s="8" t="n">
        <v>7</v>
      </c>
      <c r="H623" s="9" t="n">
        <v>69.99</v>
      </c>
      <c r="I623" s="9" t="n">
        <v>30</v>
      </c>
      <c r="J623" s="10" t="n">
        <v>0.3</v>
      </c>
      <c r="K623" s="9" t="n">
        <f aca="false">G623*H623*(1-J623)</f>
        <v>342.951</v>
      </c>
      <c r="L623" s="9" t="n">
        <f aca="false">G623*I623</f>
        <v>210</v>
      </c>
      <c r="M623" s="9" t="n">
        <f aca="false">K623-L623</f>
        <v>132.951</v>
      </c>
      <c r="N623" s="11" t="n">
        <f aca="false">IF(K623=0,0,M623/K623)</f>
        <v>0.387667625987386</v>
      </c>
      <c r="O623" s="9" t="n">
        <f aca="false">(G623*H623)-K623</f>
        <v>146.979</v>
      </c>
      <c r="P623" s="8" t="s">
        <v>21</v>
      </c>
    </row>
    <row r="624" customFormat="false" ht="15" hidden="false" customHeight="false" outlineLevel="0" collapsed="false">
      <c r="A624" s="2" t="n">
        <v>46052</v>
      </c>
      <c r="B624" s="3" t="s">
        <v>31</v>
      </c>
      <c r="C624" s="3" t="s">
        <v>23</v>
      </c>
      <c r="D624" s="3" t="s">
        <v>72</v>
      </c>
      <c r="E624" s="3" t="s">
        <v>73</v>
      </c>
      <c r="F624" s="3" t="s">
        <v>57</v>
      </c>
      <c r="G624" s="3" t="n">
        <v>12</v>
      </c>
      <c r="H624" s="4" t="n">
        <v>19.99</v>
      </c>
      <c r="I624" s="4" t="n">
        <v>7</v>
      </c>
      <c r="J624" s="5" t="n">
        <v>0</v>
      </c>
      <c r="K624" s="4" t="n">
        <f aca="false">G624*H624*(1-J624)</f>
        <v>239.88</v>
      </c>
      <c r="L624" s="4" t="n">
        <f aca="false">G624*I624</f>
        <v>84</v>
      </c>
      <c r="M624" s="4" t="n">
        <f aca="false">K624-L624</f>
        <v>155.88</v>
      </c>
      <c r="N624" s="6" t="n">
        <f aca="false">IF(K624=0,0,M624/K624)</f>
        <v>0.649824912456228</v>
      </c>
      <c r="O624" s="4" t="n">
        <f aca="false">(G624*H624)-K624</f>
        <v>0</v>
      </c>
      <c r="P624" s="3" t="s">
        <v>21</v>
      </c>
    </row>
    <row r="625" customFormat="false" ht="15" hidden="false" customHeight="false" outlineLevel="0" collapsed="false">
      <c r="A625" s="7" t="n">
        <v>46073</v>
      </c>
      <c r="B625" s="8" t="s">
        <v>31</v>
      </c>
      <c r="C625" s="8" t="s">
        <v>23</v>
      </c>
      <c r="D625" s="8" t="s">
        <v>76</v>
      </c>
      <c r="E625" s="8" t="s">
        <v>77</v>
      </c>
      <c r="F625" s="8" t="s">
        <v>34</v>
      </c>
      <c r="G625" s="8" t="n">
        <v>10</v>
      </c>
      <c r="H625" s="9" t="n">
        <v>44.99</v>
      </c>
      <c r="I625" s="9" t="n">
        <v>14</v>
      </c>
      <c r="J625" s="10" t="n">
        <v>0.05</v>
      </c>
      <c r="K625" s="9" t="n">
        <f aca="false">G625*H625*(1-J625)</f>
        <v>427.405</v>
      </c>
      <c r="L625" s="9" t="n">
        <f aca="false">G625*I625</f>
        <v>140</v>
      </c>
      <c r="M625" s="9" t="n">
        <f aca="false">K625-L625</f>
        <v>287.405</v>
      </c>
      <c r="N625" s="11" t="n">
        <f aca="false">IF(K625=0,0,M625/K625)</f>
        <v>0.672441829178414</v>
      </c>
      <c r="O625" s="9" t="n">
        <f aca="false">(G625*H625)-K625</f>
        <v>22.495</v>
      </c>
      <c r="P625" s="8" t="s">
        <v>21</v>
      </c>
    </row>
    <row r="626" customFormat="false" ht="15" hidden="false" customHeight="false" outlineLevel="0" collapsed="false">
      <c r="A626" s="2" t="n">
        <v>46106</v>
      </c>
      <c r="B626" s="3" t="s">
        <v>37</v>
      </c>
      <c r="C626" s="3" t="s">
        <v>17</v>
      </c>
      <c r="D626" s="3" t="s">
        <v>46</v>
      </c>
      <c r="E626" s="3" t="s">
        <v>47</v>
      </c>
      <c r="F626" s="3" t="s">
        <v>20</v>
      </c>
      <c r="G626" s="3" t="n">
        <v>10</v>
      </c>
      <c r="H626" s="4" t="n">
        <v>44.99</v>
      </c>
      <c r="I626" s="4" t="n">
        <v>18</v>
      </c>
      <c r="J626" s="5" t="n">
        <v>0.25</v>
      </c>
      <c r="K626" s="4" t="n">
        <f aca="false">G626*H626*(1-J626)</f>
        <v>337.425</v>
      </c>
      <c r="L626" s="4" t="n">
        <f aca="false">G626*I626</f>
        <v>180</v>
      </c>
      <c r="M626" s="4" t="n">
        <f aca="false">K626-L626</f>
        <v>157.425</v>
      </c>
      <c r="N626" s="6" t="n">
        <f aca="false">IF(K626=0,0,M626/K626)</f>
        <v>0.466548121804846</v>
      </c>
      <c r="O626" s="4" t="n">
        <f aca="false">(G626*H626)-K626</f>
        <v>112.475</v>
      </c>
      <c r="P626" s="3" t="s">
        <v>21</v>
      </c>
    </row>
    <row r="627" customFormat="false" ht="15" hidden="false" customHeight="false" outlineLevel="0" collapsed="false">
      <c r="A627" s="7" t="n">
        <v>46031</v>
      </c>
      <c r="B627" s="8" t="s">
        <v>58</v>
      </c>
      <c r="C627" s="8" t="s">
        <v>58</v>
      </c>
      <c r="D627" s="8" t="s">
        <v>78</v>
      </c>
      <c r="E627" s="8" t="s">
        <v>79</v>
      </c>
      <c r="F627" s="8" t="s">
        <v>20</v>
      </c>
      <c r="G627" s="8" t="n">
        <v>10</v>
      </c>
      <c r="H627" s="9" t="n">
        <v>39.99</v>
      </c>
      <c r="I627" s="9" t="n">
        <v>16</v>
      </c>
      <c r="J627" s="10" t="n">
        <v>0</v>
      </c>
      <c r="K627" s="9" t="n">
        <f aca="false">G627*H627*(1-J627)</f>
        <v>399.9</v>
      </c>
      <c r="L627" s="9" t="n">
        <f aca="false">G627*I627</f>
        <v>160</v>
      </c>
      <c r="M627" s="9" t="n">
        <f aca="false">K627-L627</f>
        <v>239.9</v>
      </c>
      <c r="N627" s="11" t="n">
        <f aca="false">IF(K627=0,0,M627/K627)</f>
        <v>0.599899974993749</v>
      </c>
      <c r="O627" s="9" t="n">
        <f aca="false">(G627*H627)-K627</f>
        <v>0</v>
      </c>
      <c r="P627" s="8" t="s">
        <v>21</v>
      </c>
    </row>
    <row r="628" customFormat="false" ht="15" hidden="false" customHeight="false" outlineLevel="0" collapsed="false">
      <c r="A628" s="2" t="n">
        <v>46107</v>
      </c>
      <c r="B628" s="3" t="s">
        <v>58</v>
      </c>
      <c r="C628" s="3" t="s">
        <v>58</v>
      </c>
      <c r="D628" s="3" t="s">
        <v>93</v>
      </c>
      <c r="E628" s="3" t="s">
        <v>94</v>
      </c>
      <c r="F628" s="3" t="s">
        <v>34</v>
      </c>
      <c r="G628" s="3" t="n">
        <v>449</v>
      </c>
      <c r="H628" s="4" t="n">
        <v>29.99</v>
      </c>
      <c r="I628" s="4" t="n">
        <v>9</v>
      </c>
      <c r="J628" s="5" t="n">
        <v>0</v>
      </c>
      <c r="K628" s="4" t="n">
        <f aca="false">G628*H628*(1-J628)</f>
        <v>13465.51</v>
      </c>
      <c r="L628" s="4" t="n">
        <f aca="false">G628*I628</f>
        <v>4041</v>
      </c>
      <c r="M628" s="4" t="n">
        <f aca="false">K628-L628</f>
        <v>9424.51</v>
      </c>
      <c r="N628" s="6" t="n">
        <f aca="false">IF(K628=0,0,M628/K628)</f>
        <v>0.699899966655552</v>
      </c>
      <c r="O628" s="4" t="n">
        <f aca="false">(G628*H628)-K628</f>
        <v>0</v>
      </c>
      <c r="P628" s="13" t="s">
        <v>92</v>
      </c>
    </row>
    <row r="629" customFormat="false" ht="15" hidden="false" customHeight="false" outlineLevel="0" collapsed="false">
      <c r="A629" s="7" t="n">
        <v>46090</v>
      </c>
      <c r="B629" s="8" t="s">
        <v>31</v>
      </c>
      <c r="C629" s="8" t="s">
        <v>23</v>
      </c>
      <c r="D629" s="8" t="s">
        <v>35</v>
      </c>
      <c r="E629" s="8" t="s">
        <v>36</v>
      </c>
      <c r="F629" s="8" t="s">
        <v>26</v>
      </c>
      <c r="G629" s="8" t="n">
        <v>6</v>
      </c>
      <c r="H629" s="9" t="n">
        <v>69.99</v>
      </c>
      <c r="I629" s="9" t="n">
        <v>30</v>
      </c>
      <c r="J629" s="10" t="n">
        <v>0</v>
      </c>
      <c r="K629" s="9" t="n">
        <f aca="false">G629*H629*(1-J629)</f>
        <v>419.94</v>
      </c>
      <c r="L629" s="9" t="n">
        <f aca="false">G629*I629</f>
        <v>180</v>
      </c>
      <c r="M629" s="9" t="n">
        <f aca="false">K629-L629</f>
        <v>239.94</v>
      </c>
      <c r="N629" s="11" t="n">
        <f aca="false">IF(K629=0,0,M629/K629)</f>
        <v>0.57136733819117</v>
      </c>
      <c r="O629" s="9" t="n">
        <f aca="false">(G629*H629)-K629</f>
        <v>0</v>
      </c>
      <c r="P629" s="8" t="s">
        <v>21</v>
      </c>
    </row>
    <row r="630" customFormat="false" ht="15" hidden="false" customHeight="false" outlineLevel="0" collapsed="false">
      <c r="A630" s="2" t="n">
        <v>46080</v>
      </c>
      <c r="B630" s="3" t="s">
        <v>41</v>
      </c>
      <c r="C630" s="3" t="s">
        <v>28</v>
      </c>
      <c r="D630" s="3" t="s">
        <v>55</v>
      </c>
      <c r="E630" s="3" t="s">
        <v>56</v>
      </c>
      <c r="F630" s="3" t="s">
        <v>57</v>
      </c>
      <c r="G630" s="3" t="n">
        <v>19</v>
      </c>
      <c r="H630" s="4" t="n">
        <v>29.99</v>
      </c>
      <c r="I630" s="4" t="n">
        <v>11</v>
      </c>
      <c r="J630" s="5" t="n">
        <v>0</v>
      </c>
      <c r="K630" s="4" t="n">
        <f aca="false">G630*H630*(1-J630)</f>
        <v>569.81</v>
      </c>
      <c r="L630" s="4" t="n">
        <f aca="false">G630*I630</f>
        <v>209</v>
      </c>
      <c r="M630" s="4" t="n">
        <f aca="false">K630-L630</f>
        <v>360.81</v>
      </c>
      <c r="N630" s="6" t="n">
        <f aca="false">IF(K630=0,0,M630/K630)</f>
        <v>0.633211070356786</v>
      </c>
      <c r="O630" s="4" t="n">
        <f aca="false">(G630*H630)-K630</f>
        <v>0</v>
      </c>
      <c r="P630" s="3" t="s">
        <v>21</v>
      </c>
    </row>
    <row r="631" customFormat="false" ht="15" hidden="false" customHeight="false" outlineLevel="0" collapsed="false">
      <c r="A631" s="7" t="n">
        <v>46070</v>
      </c>
      <c r="B631" s="8" t="s">
        <v>58</v>
      </c>
      <c r="C631" s="8" t="s">
        <v>58</v>
      </c>
      <c r="D631" s="8" t="s">
        <v>61</v>
      </c>
      <c r="E631" s="8" t="s">
        <v>62</v>
      </c>
      <c r="F631" s="8" t="s">
        <v>34</v>
      </c>
      <c r="G631" s="8" t="n">
        <v>26</v>
      </c>
      <c r="H631" s="9" t="n">
        <v>12.99</v>
      </c>
      <c r="I631" s="9" t="n">
        <v>4.5</v>
      </c>
      <c r="J631" s="10" t="n">
        <v>0</v>
      </c>
      <c r="K631" s="9" t="n">
        <f aca="false">G631*H631*(1-J631)</f>
        <v>337.74</v>
      </c>
      <c r="L631" s="9" t="n">
        <f aca="false">G631*I631</f>
        <v>117</v>
      </c>
      <c r="M631" s="9" t="n">
        <f aca="false">K631-L631</f>
        <v>220.74</v>
      </c>
      <c r="N631" s="11" t="n">
        <f aca="false">IF(K631=0,0,M631/K631)</f>
        <v>0.653579676674365</v>
      </c>
      <c r="O631" s="9" t="n">
        <f aca="false">(G631*H631)-K631</f>
        <v>0</v>
      </c>
      <c r="P631" s="8" t="s">
        <v>21</v>
      </c>
    </row>
    <row r="632" customFormat="false" ht="15" hidden="false" customHeight="false" outlineLevel="0" collapsed="false">
      <c r="A632" s="2" t="n">
        <v>46118</v>
      </c>
      <c r="B632" s="3" t="s">
        <v>27</v>
      </c>
      <c r="C632" s="3" t="s">
        <v>28</v>
      </c>
      <c r="D632" s="3" t="s">
        <v>88</v>
      </c>
      <c r="E632" s="3" t="s">
        <v>89</v>
      </c>
      <c r="F632" s="3" t="s">
        <v>57</v>
      </c>
      <c r="G632" s="3" t="n">
        <v>15</v>
      </c>
      <c r="H632" s="4" t="n">
        <v>14.99</v>
      </c>
      <c r="I632" s="4" t="n">
        <v>4.5</v>
      </c>
      <c r="J632" s="5" t="n">
        <v>0.7</v>
      </c>
      <c r="K632" s="4" t="n">
        <f aca="false">G632*H632*(1-J632)</f>
        <v>67.455</v>
      </c>
      <c r="L632" s="4" t="n">
        <f aca="false">G632*I632</f>
        <v>67.5</v>
      </c>
      <c r="M632" s="4" t="n">
        <f aca="false">K632-L632</f>
        <v>-0.0449999999999875</v>
      </c>
      <c r="N632" s="6" t="n">
        <f aca="false">IF(K632=0,0,M632/K632)</f>
        <v>-0.000667111407604885</v>
      </c>
      <c r="O632" s="4" t="n">
        <f aca="false">(G632*H632)-K632</f>
        <v>157.395</v>
      </c>
      <c r="P632" s="14" t="s">
        <v>97</v>
      </c>
    </row>
    <row r="633" customFormat="false" ht="15" hidden="false" customHeight="false" outlineLevel="0" collapsed="false">
      <c r="A633" s="7" t="n">
        <v>46042</v>
      </c>
      <c r="B633" s="8" t="s">
        <v>31</v>
      </c>
      <c r="C633" s="8" t="s">
        <v>23</v>
      </c>
      <c r="D633" s="8" t="s">
        <v>76</v>
      </c>
      <c r="E633" s="8" t="s">
        <v>77</v>
      </c>
      <c r="F633" s="8" t="s">
        <v>34</v>
      </c>
      <c r="G633" s="8" t="n">
        <v>24</v>
      </c>
      <c r="H633" s="9" t="n">
        <v>44.99</v>
      </c>
      <c r="I633" s="9" t="n">
        <v>14</v>
      </c>
      <c r="J633" s="10" t="n">
        <v>0.1</v>
      </c>
      <c r="K633" s="9" t="n">
        <f aca="false">G633*H633*(1-J633)</f>
        <v>971.784</v>
      </c>
      <c r="L633" s="9" t="n">
        <f aca="false">G633*I633</f>
        <v>336</v>
      </c>
      <c r="M633" s="9" t="n">
        <f aca="false">K633-L633</f>
        <v>635.784</v>
      </c>
      <c r="N633" s="11" t="n">
        <f aca="false">IF(K633=0,0,M633/K633)</f>
        <v>0.654244153021659</v>
      </c>
      <c r="O633" s="9" t="n">
        <f aca="false">(G633*H633)-K633</f>
        <v>107.976</v>
      </c>
      <c r="P633" s="8" t="s">
        <v>21</v>
      </c>
    </row>
    <row r="634" customFormat="false" ht="15" hidden="false" customHeight="false" outlineLevel="0" collapsed="false">
      <c r="A634" s="2" t="n">
        <v>46056</v>
      </c>
      <c r="B634" s="3" t="s">
        <v>31</v>
      </c>
      <c r="C634" s="3" t="s">
        <v>23</v>
      </c>
      <c r="D634" s="3" t="s">
        <v>32</v>
      </c>
      <c r="E634" s="3" t="s">
        <v>33</v>
      </c>
      <c r="F634" s="3" t="s">
        <v>34</v>
      </c>
      <c r="G634" s="3" t="n">
        <v>16</v>
      </c>
      <c r="H634" s="4" t="n">
        <v>18.99</v>
      </c>
      <c r="I634" s="4" t="n">
        <v>6</v>
      </c>
      <c r="J634" s="5" t="n">
        <v>0.25</v>
      </c>
      <c r="K634" s="4" t="n">
        <f aca="false">G634*H634*(1-J634)</f>
        <v>227.88</v>
      </c>
      <c r="L634" s="4" t="n">
        <f aca="false">G634*I634</f>
        <v>96</v>
      </c>
      <c r="M634" s="4" t="n">
        <f aca="false">K634-L634</f>
        <v>131.88</v>
      </c>
      <c r="N634" s="6" t="n">
        <f aca="false">IF(K634=0,0,M634/K634)</f>
        <v>0.578725645076356</v>
      </c>
      <c r="O634" s="4" t="n">
        <f aca="false">(G634*H634)-K634</f>
        <v>75.96</v>
      </c>
      <c r="P634" s="3" t="s">
        <v>21</v>
      </c>
    </row>
    <row r="635" customFormat="false" ht="15" hidden="false" customHeight="false" outlineLevel="0" collapsed="false">
      <c r="A635" s="7" t="n">
        <v>46026</v>
      </c>
      <c r="B635" s="8" t="s">
        <v>22</v>
      </c>
      <c r="C635" s="8" t="s">
        <v>23</v>
      </c>
      <c r="D635" s="8" t="s">
        <v>82</v>
      </c>
      <c r="E635" s="8" t="s">
        <v>83</v>
      </c>
      <c r="F635" s="8" t="s">
        <v>26</v>
      </c>
      <c r="G635" s="8" t="n">
        <v>5</v>
      </c>
      <c r="H635" s="9" t="n">
        <v>44.99</v>
      </c>
      <c r="I635" s="9" t="n">
        <v>18</v>
      </c>
      <c r="J635" s="10" t="n">
        <v>0</v>
      </c>
      <c r="K635" s="9" t="n">
        <f aca="false">G635*H635*(1-J635)</f>
        <v>224.95</v>
      </c>
      <c r="L635" s="9" t="n">
        <f aca="false">G635*I635</f>
        <v>90</v>
      </c>
      <c r="M635" s="9" t="n">
        <f aca="false">K635-L635</f>
        <v>134.95</v>
      </c>
      <c r="N635" s="11" t="n">
        <f aca="false">IF(K635=0,0,M635/K635)</f>
        <v>0.599911091353634</v>
      </c>
      <c r="O635" s="9" t="n">
        <f aca="false">(G635*H635)-K635</f>
        <v>0</v>
      </c>
      <c r="P635" s="8" t="s">
        <v>21</v>
      </c>
    </row>
    <row r="636" customFormat="false" ht="15" hidden="false" customHeight="false" outlineLevel="0" collapsed="false">
      <c r="A636" s="2" t="n">
        <v>46115</v>
      </c>
      <c r="B636" s="3" t="s">
        <v>58</v>
      </c>
      <c r="C636" s="3" t="s">
        <v>58</v>
      </c>
      <c r="D636" s="3" t="s">
        <v>74</v>
      </c>
      <c r="E636" s="3" t="s">
        <v>75</v>
      </c>
      <c r="F636" s="3" t="s">
        <v>40</v>
      </c>
      <c r="G636" s="3" t="n">
        <v>1</v>
      </c>
      <c r="H636" s="4" t="n">
        <v>29.99</v>
      </c>
      <c r="I636" s="4" t="n">
        <v>13</v>
      </c>
      <c r="J636" s="5" t="n">
        <v>0</v>
      </c>
      <c r="K636" s="4" t="n">
        <f aca="false">G636*H636*(1-J636)</f>
        <v>29.99</v>
      </c>
      <c r="L636" s="4" t="n">
        <f aca="false">G636*I636</f>
        <v>13</v>
      </c>
      <c r="M636" s="4" t="n">
        <f aca="false">K636-L636</f>
        <v>16.99</v>
      </c>
      <c r="N636" s="6" t="n">
        <f aca="false">IF(K636=0,0,M636/K636)</f>
        <v>0.566522174058019</v>
      </c>
      <c r="O636" s="4" t="n">
        <f aca="false">(G636*H636)-K636</f>
        <v>0</v>
      </c>
      <c r="P636" s="3" t="s">
        <v>21</v>
      </c>
    </row>
    <row r="637" customFormat="false" ht="15" hidden="false" customHeight="false" outlineLevel="0" collapsed="false">
      <c r="A637" s="7" t="n">
        <v>46028</v>
      </c>
      <c r="B637" s="8" t="s">
        <v>31</v>
      </c>
      <c r="C637" s="8" t="s">
        <v>23</v>
      </c>
      <c r="D637" s="8" t="s">
        <v>84</v>
      </c>
      <c r="E637" s="8" t="s">
        <v>85</v>
      </c>
      <c r="F637" s="8" t="s">
        <v>20</v>
      </c>
      <c r="G637" s="8" t="n">
        <v>2</v>
      </c>
      <c r="H637" s="9" t="n">
        <v>34.99</v>
      </c>
      <c r="I637" s="9" t="n">
        <v>13</v>
      </c>
      <c r="J637" s="10" t="n">
        <v>0.3</v>
      </c>
      <c r="K637" s="9" t="n">
        <f aca="false">G637*H637*(1-J637)</f>
        <v>48.986</v>
      </c>
      <c r="L637" s="9" t="n">
        <f aca="false">G637*I637</f>
        <v>26</v>
      </c>
      <c r="M637" s="9" t="n">
        <f aca="false">K637-L637</f>
        <v>22.986</v>
      </c>
      <c r="N637" s="11" t="n">
        <f aca="false">IF(K637=0,0,M637/K637)</f>
        <v>0.469236108275834</v>
      </c>
      <c r="O637" s="9" t="n">
        <f aca="false">(G637*H637)-K637</f>
        <v>20.994</v>
      </c>
      <c r="P637" s="8" t="s">
        <v>21</v>
      </c>
    </row>
    <row r="638" customFormat="false" ht="15" hidden="false" customHeight="false" outlineLevel="0" collapsed="false">
      <c r="A638" s="2" t="n">
        <v>46051</v>
      </c>
      <c r="B638" s="3" t="s">
        <v>64</v>
      </c>
      <c r="C638" s="3" t="s">
        <v>65</v>
      </c>
      <c r="D638" s="3" t="s">
        <v>90</v>
      </c>
      <c r="E638" s="3" t="s">
        <v>91</v>
      </c>
      <c r="F638" s="3" t="s">
        <v>26</v>
      </c>
      <c r="G638" s="3" t="n">
        <v>28</v>
      </c>
      <c r="H638" s="4" t="n">
        <v>29.99</v>
      </c>
      <c r="I638" s="4" t="n">
        <v>11</v>
      </c>
      <c r="J638" s="5" t="n">
        <v>0.1</v>
      </c>
      <c r="K638" s="4" t="n">
        <f aca="false">G638*H638*(1-J638)</f>
        <v>755.748</v>
      </c>
      <c r="L638" s="4" t="n">
        <f aca="false">G638*I638</f>
        <v>308</v>
      </c>
      <c r="M638" s="4" t="n">
        <f aca="false">K638-L638</f>
        <v>447.748</v>
      </c>
      <c r="N638" s="6" t="n">
        <f aca="false">IF(K638=0,0,M638/K638)</f>
        <v>0.592456744840873</v>
      </c>
      <c r="O638" s="4" t="n">
        <f aca="false">(G638*H638)-K638</f>
        <v>83.972</v>
      </c>
      <c r="P638" s="3" t="s">
        <v>21</v>
      </c>
    </row>
    <row r="639" customFormat="false" ht="15" hidden="false" customHeight="false" outlineLevel="0" collapsed="false">
      <c r="A639" s="7" t="n">
        <v>46062</v>
      </c>
      <c r="B639" s="8" t="s">
        <v>41</v>
      </c>
      <c r="C639" s="8" t="s">
        <v>28</v>
      </c>
      <c r="D639" s="8" t="s">
        <v>29</v>
      </c>
      <c r="E639" s="8" t="s">
        <v>30</v>
      </c>
      <c r="F639" s="8" t="s">
        <v>20</v>
      </c>
      <c r="G639" s="8" t="n">
        <v>21</v>
      </c>
      <c r="H639" s="9" t="n">
        <v>89.99</v>
      </c>
      <c r="I639" s="9" t="n">
        <v>42</v>
      </c>
      <c r="J639" s="10" t="n">
        <v>0</v>
      </c>
      <c r="K639" s="9" t="n">
        <f aca="false">G639*H639*(1-J639)</f>
        <v>1889.79</v>
      </c>
      <c r="L639" s="9" t="n">
        <f aca="false">G639*I639</f>
        <v>882</v>
      </c>
      <c r="M639" s="9" t="n">
        <f aca="false">K639-L639</f>
        <v>1007.79</v>
      </c>
      <c r="N639" s="11" t="n">
        <f aca="false">IF(K639=0,0,M639/K639)</f>
        <v>0.533281475719524</v>
      </c>
      <c r="O639" s="9" t="n">
        <f aca="false">(G639*H639)-K639</f>
        <v>0</v>
      </c>
      <c r="P639" s="8" t="s">
        <v>21</v>
      </c>
    </row>
    <row r="640" customFormat="false" ht="15" hidden="false" customHeight="false" outlineLevel="0" collapsed="false">
      <c r="A640" s="2" t="n">
        <v>46089</v>
      </c>
      <c r="B640" s="3" t="s">
        <v>22</v>
      </c>
      <c r="C640" s="3" t="s">
        <v>23</v>
      </c>
      <c r="D640" s="3" t="s">
        <v>82</v>
      </c>
      <c r="E640" s="3" t="s">
        <v>83</v>
      </c>
      <c r="F640" s="3" t="s">
        <v>26</v>
      </c>
      <c r="G640" s="3" t="n">
        <v>16</v>
      </c>
      <c r="H640" s="4" t="n">
        <v>44.99</v>
      </c>
      <c r="I640" s="4" t="n">
        <v>18</v>
      </c>
      <c r="J640" s="5" t="n">
        <v>0.3</v>
      </c>
      <c r="K640" s="4" t="n">
        <f aca="false">G640*H640*(1-J640)</f>
        <v>503.888</v>
      </c>
      <c r="L640" s="4" t="n">
        <f aca="false">G640*I640</f>
        <v>288</v>
      </c>
      <c r="M640" s="4" t="n">
        <f aca="false">K640-L640</f>
        <v>215.888</v>
      </c>
      <c r="N640" s="6" t="n">
        <f aca="false">IF(K640=0,0,M640/K640)</f>
        <v>0.428444416219477</v>
      </c>
      <c r="O640" s="4" t="n">
        <f aca="false">(G640*H640)-K640</f>
        <v>215.952</v>
      </c>
      <c r="P640" s="3" t="s">
        <v>21</v>
      </c>
    </row>
    <row r="641" customFormat="false" ht="15" hidden="false" customHeight="false" outlineLevel="0" collapsed="false">
      <c r="A641" s="7" t="n">
        <v>46038</v>
      </c>
      <c r="B641" s="8" t="s">
        <v>37</v>
      </c>
      <c r="C641" s="8" t="s">
        <v>17</v>
      </c>
      <c r="D641" s="8" t="s">
        <v>90</v>
      </c>
      <c r="E641" s="8" t="s">
        <v>91</v>
      </c>
      <c r="F641" s="8" t="s">
        <v>26</v>
      </c>
      <c r="G641" s="8" t="n">
        <v>4</v>
      </c>
      <c r="H641" s="9" t="n">
        <v>29.99</v>
      </c>
      <c r="I641" s="9" t="n">
        <v>11</v>
      </c>
      <c r="J641" s="10" t="n">
        <v>0</v>
      </c>
      <c r="K641" s="9" t="n">
        <f aca="false">G641*H641*(1-J641)</f>
        <v>119.96</v>
      </c>
      <c r="L641" s="9" t="n">
        <f aca="false">G641*I641</f>
        <v>44</v>
      </c>
      <c r="M641" s="9" t="n">
        <f aca="false">K641-L641</f>
        <v>75.96</v>
      </c>
      <c r="N641" s="11" t="n">
        <f aca="false">IF(K641=0,0,M641/K641)</f>
        <v>0.633211070356786</v>
      </c>
      <c r="O641" s="9" t="n">
        <f aca="false">(G641*H641)-K641</f>
        <v>0</v>
      </c>
      <c r="P641" s="8" t="s">
        <v>21</v>
      </c>
    </row>
    <row r="642" customFormat="false" ht="15" hidden="false" customHeight="false" outlineLevel="0" collapsed="false">
      <c r="A642" s="2" t="n">
        <v>46034</v>
      </c>
      <c r="B642" s="3" t="s">
        <v>41</v>
      </c>
      <c r="C642" s="3" t="s">
        <v>28</v>
      </c>
      <c r="D642" s="3" t="s">
        <v>80</v>
      </c>
      <c r="E642" s="3" t="s">
        <v>81</v>
      </c>
      <c r="F642" s="3" t="s">
        <v>57</v>
      </c>
      <c r="G642" s="3" t="n">
        <v>20</v>
      </c>
      <c r="H642" s="4" t="n">
        <v>17.99</v>
      </c>
      <c r="I642" s="4" t="n">
        <v>6.5</v>
      </c>
      <c r="J642" s="5" t="n">
        <v>0.15</v>
      </c>
      <c r="K642" s="4" t="n">
        <f aca="false">G642*H642*(1-J642)</f>
        <v>305.83</v>
      </c>
      <c r="L642" s="4" t="n">
        <f aca="false">G642*I642</f>
        <v>130</v>
      </c>
      <c r="M642" s="4" t="n">
        <f aca="false">K642-L642</f>
        <v>175.83</v>
      </c>
      <c r="N642" s="6" t="n">
        <f aca="false">IF(K642=0,0,M642/K642)</f>
        <v>0.574927247163457</v>
      </c>
      <c r="O642" s="4" t="n">
        <f aca="false">(G642*H642)-K642</f>
        <v>53.97</v>
      </c>
      <c r="P642" s="3" t="s">
        <v>21</v>
      </c>
    </row>
    <row r="643" customFormat="false" ht="15" hidden="false" customHeight="false" outlineLevel="0" collapsed="false">
      <c r="A643" s="7" t="n">
        <v>46109</v>
      </c>
      <c r="B643" s="8" t="s">
        <v>37</v>
      </c>
      <c r="C643" s="8" t="s">
        <v>17</v>
      </c>
      <c r="D643" s="8" t="s">
        <v>59</v>
      </c>
      <c r="E643" s="8" t="s">
        <v>60</v>
      </c>
      <c r="F643" s="8" t="s">
        <v>50</v>
      </c>
      <c r="G643" s="8" t="n">
        <v>19</v>
      </c>
      <c r="H643" s="9" t="n">
        <v>24.99</v>
      </c>
      <c r="I643" s="9" t="n">
        <v>8.5</v>
      </c>
      <c r="J643" s="10" t="n">
        <v>0</v>
      </c>
      <c r="K643" s="9" t="n">
        <f aca="false">G643*H643*(1-J643)</f>
        <v>474.81</v>
      </c>
      <c r="L643" s="9" t="n">
        <f aca="false">G643*I643</f>
        <v>161.5</v>
      </c>
      <c r="M643" s="9" t="n">
        <f aca="false">K643-L643</f>
        <v>313.31</v>
      </c>
      <c r="N643" s="11" t="n">
        <f aca="false">IF(K643=0,0,M643/K643)</f>
        <v>0.659863945578231</v>
      </c>
      <c r="O643" s="9" t="n">
        <f aca="false">(G643*H643)-K643</f>
        <v>0</v>
      </c>
      <c r="P643" s="8" t="s">
        <v>21</v>
      </c>
    </row>
    <row r="644" customFormat="false" ht="15" hidden="false" customHeight="false" outlineLevel="0" collapsed="false">
      <c r="A644" s="2" t="n">
        <v>46061</v>
      </c>
      <c r="B644" s="3" t="s">
        <v>58</v>
      </c>
      <c r="C644" s="3" t="s">
        <v>58</v>
      </c>
      <c r="D644" s="3" t="s">
        <v>80</v>
      </c>
      <c r="E644" s="3" t="s">
        <v>81</v>
      </c>
      <c r="F644" s="3" t="s">
        <v>57</v>
      </c>
      <c r="G644" s="3" t="n">
        <v>384</v>
      </c>
      <c r="H644" s="4" t="n">
        <v>17.99</v>
      </c>
      <c r="I644" s="4" t="n">
        <v>6.5</v>
      </c>
      <c r="J644" s="5" t="n">
        <v>0</v>
      </c>
      <c r="K644" s="4" t="n">
        <f aca="false">G644*H644*(1-J644)</f>
        <v>6908.16</v>
      </c>
      <c r="L644" s="4" t="n">
        <f aca="false">G644*I644</f>
        <v>2496</v>
      </c>
      <c r="M644" s="4" t="n">
        <f aca="false">K644-L644</f>
        <v>4412.16</v>
      </c>
      <c r="N644" s="6" t="n">
        <f aca="false">IF(K644=0,0,M644/K644)</f>
        <v>0.638688160088938</v>
      </c>
      <c r="O644" s="4" t="n">
        <f aca="false">(G644*H644)-K644</f>
        <v>0</v>
      </c>
      <c r="P644" s="13" t="s">
        <v>92</v>
      </c>
    </row>
    <row r="645" customFormat="false" ht="15" hidden="false" customHeight="false" outlineLevel="0" collapsed="false">
      <c r="A645" s="7" t="n">
        <v>46079</v>
      </c>
      <c r="B645" s="8" t="s">
        <v>58</v>
      </c>
      <c r="C645" s="8" t="s">
        <v>58</v>
      </c>
      <c r="D645" s="8" t="s">
        <v>78</v>
      </c>
      <c r="E645" s="8" t="s">
        <v>79</v>
      </c>
      <c r="F645" s="8" t="s">
        <v>20</v>
      </c>
      <c r="G645" s="8" t="n">
        <v>2</v>
      </c>
      <c r="H645" s="9" t="n">
        <v>39.99</v>
      </c>
      <c r="I645" s="9" t="n">
        <v>16</v>
      </c>
      <c r="J645" s="10" t="n">
        <v>0</v>
      </c>
      <c r="K645" s="9" t="n">
        <f aca="false">G645*H645*(1-J645)</f>
        <v>79.98</v>
      </c>
      <c r="L645" s="9" t="n">
        <f aca="false">G645*I645</f>
        <v>32</v>
      </c>
      <c r="M645" s="9" t="n">
        <f aca="false">K645-L645</f>
        <v>47.98</v>
      </c>
      <c r="N645" s="11" t="n">
        <f aca="false">IF(K645=0,0,M645/K645)</f>
        <v>0.599899974993749</v>
      </c>
      <c r="O645" s="9" t="n">
        <f aca="false">(G645*H645)-K645</f>
        <v>0</v>
      </c>
      <c r="P645" s="8" t="s">
        <v>21</v>
      </c>
    </row>
    <row r="646" customFormat="false" ht="15" hidden="false" customHeight="false" outlineLevel="0" collapsed="false">
      <c r="A646" s="2" t="n">
        <v>46029</v>
      </c>
      <c r="B646" s="3" t="s">
        <v>41</v>
      </c>
      <c r="C646" s="3" t="s">
        <v>28</v>
      </c>
      <c r="D646" s="3" t="s">
        <v>18</v>
      </c>
      <c r="E646" s="3" t="s">
        <v>19</v>
      </c>
      <c r="F646" s="3" t="s">
        <v>20</v>
      </c>
      <c r="G646" s="3" t="n">
        <v>16</v>
      </c>
      <c r="H646" s="4" t="n">
        <v>24.99</v>
      </c>
      <c r="I646" s="4" t="n">
        <v>10.5</v>
      </c>
      <c r="J646" s="5" t="n">
        <v>0</v>
      </c>
      <c r="K646" s="4" t="n">
        <f aca="false">G646*H646*(1-J646)</f>
        <v>399.84</v>
      </c>
      <c r="L646" s="4" t="n">
        <f aca="false">G646*I646</f>
        <v>168</v>
      </c>
      <c r="M646" s="4" t="n">
        <f aca="false">K646-L646</f>
        <v>231.84</v>
      </c>
      <c r="N646" s="6" t="n">
        <f aca="false">IF(K646=0,0,M646/K646)</f>
        <v>0.579831932773109</v>
      </c>
      <c r="O646" s="4" t="n">
        <f aca="false">(G646*H646)-K646</f>
        <v>0</v>
      </c>
      <c r="P646" s="3" t="s">
        <v>21</v>
      </c>
    </row>
    <row r="647" customFormat="false" ht="15" hidden="false" customHeight="false" outlineLevel="0" collapsed="false">
      <c r="A647" s="7" t="n">
        <v>46080</v>
      </c>
      <c r="B647" s="8" t="s">
        <v>22</v>
      </c>
      <c r="C647" s="8" t="s">
        <v>23</v>
      </c>
      <c r="D647" s="8" t="s">
        <v>68</v>
      </c>
      <c r="E647" s="8" t="s">
        <v>69</v>
      </c>
      <c r="F647" s="8" t="s">
        <v>40</v>
      </c>
      <c r="G647" s="8" t="n">
        <v>16</v>
      </c>
      <c r="H647" s="9" t="n">
        <v>24.99</v>
      </c>
      <c r="I647" s="9" t="n">
        <v>9</v>
      </c>
      <c r="J647" s="10" t="n">
        <v>0.15</v>
      </c>
      <c r="K647" s="9" t="n">
        <f aca="false">G647*H647*(1-J647)</f>
        <v>339.864</v>
      </c>
      <c r="L647" s="9" t="n">
        <f aca="false">G647*I647</f>
        <v>144</v>
      </c>
      <c r="M647" s="9" t="n">
        <f aca="false">K647-L647</f>
        <v>195.864</v>
      </c>
      <c r="N647" s="11" t="n">
        <f aca="false">IF(K647=0,0,M647/K647)</f>
        <v>0.576301108678766</v>
      </c>
      <c r="O647" s="9" t="n">
        <f aca="false">(G647*H647)-K647</f>
        <v>59.976</v>
      </c>
      <c r="P647" s="8" t="s">
        <v>21</v>
      </c>
    </row>
    <row r="648" customFormat="false" ht="15" hidden="false" customHeight="false" outlineLevel="0" collapsed="false">
      <c r="A648" s="2" t="n">
        <v>46039</v>
      </c>
      <c r="B648" s="3" t="s">
        <v>31</v>
      </c>
      <c r="C648" s="3" t="s">
        <v>23</v>
      </c>
      <c r="D648" s="3" t="s">
        <v>38</v>
      </c>
      <c r="E648" s="3" t="s">
        <v>39</v>
      </c>
      <c r="F648" s="3" t="s">
        <v>40</v>
      </c>
      <c r="G648" s="3" t="n">
        <v>13</v>
      </c>
      <c r="H648" s="4" t="n">
        <v>12.99</v>
      </c>
      <c r="I648" s="4" t="n">
        <v>4</v>
      </c>
      <c r="J648" s="5" t="n">
        <v>0.25</v>
      </c>
      <c r="K648" s="4" t="n">
        <f aca="false">G648*H648*(1-J648)</f>
        <v>126.6525</v>
      </c>
      <c r="L648" s="4" t="n">
        <f aca="false">G648*I648</f>
        <v>52</v>
      </c>
      <c r="M648" s="4" t="n">
        <f aca="false">K648-L648</f>
        <v>74.6525</v>
      </c>
      <c r="N648" s="6" t="n">
        <f aca="false">IF(K648=0,0,M648/K648)</f>
        <v>0.589427764947396</v>
      </c>
      <c r="O648" s="4" t="n">
        <f aca="false">(G648*H648)-K648</f>
        <v>42.2175</v>
      </c>
      <c r="P648" s="3" t="s">
        <v>21</v>
      </c>
    </row>
    <row r="649" customFormat="false" ht="15" hidden="false" customHeight="false" outlineLevel="0" collapsed="false">
      <c r="A649" s="7" t="n">
        <v>46031</v>
      </c>
      <c r="B649" s="8" t="s">
        <v>58</v>
      </c>
      <c r="C649" s="8" t="s">
        <v>58</v>
      </c>
      <c r="D649" s="8" t="s">
        <v>72</v>
      </c>
      <c r="E649" s="8" t="s">
        <v>73</v>
      </c>
      <c r="F649" s="8" t="s">
        <v>57</v>
      </c>
      <c r="G649" s="8" t="n">
        <v>2</v>
      </c>
      <c r="H649" s="9" t="n">
        <v>19.99</v>
      </c>
      <c r="I649" s="9" t="n">
        <v>7</v>
      </c>
      <c r="J649" s="10" t="n">
        <v>0</v>
      </c>
      <c r="K649" s="9" t="n">
        <f aca="false">G649*H649*(1-J649)</f>
        <v>39.98</v>
      </c>
      <c r="L649" s="9" t="n">
        <f aca="false">G649*I649</f>
        <v>14</v>
      </c>
      <c r="M649" s="9" t="n">
        <f aca="false">K649-L649</f>
        <v>25.98</v>
      </c>
      <c r="N649" s="11" t="n">
        <f aca="false">IF(K649=0,0,M649/K649)</f>
        <v>0.649824912456228</v>
      </c>
      <c r="O649" s="9" t="n">
        <f aca="false">(G649*H649)-K649</f>
        <v>0</v>
      </c>
      <c r="P649" s="8" t="s">
        <v>21</v>
      </c>
    </row>
    <row r="650" customFormat="false" ht="15" hidden="false" customHeight="false" outlineLevel="0" collapsed="false">
      <c r="A650" s="2" t="n">
        <v>46060</v>
      </c>
      <c r="B650" s="3" t="s">
        <v>58</v>
      </c>
      <c r="C650" s="3" t="s">
        <v>58</v>
      </c>
      <c r="D650" s="3" t="s">
        <v>66</v>
      </c>
      <c r="E650" s="3" t="s">
        <v>67</v>
      </c>
      <c r="F650" s="3" t="s">
        <v>57</v>
      </c>
      <c r="G650" s="3" t="n">
        <v>17</v>
      </c>
      <c r="H650" s="4" t="n">
        <v>14.99</v>
      </c>
      <c r="I650" s="4" t="n">
        <v>5.5</v>
      </c>
      <c r="J650" s="5" t="n">
        <v>0.05</v>
      </c>
      <c r="K650" s="4" t="n">
        <f aca="false">G650*H650*(1-J650)</f>
        <v>242.0885</v>
      </c>
      <c r="L650" s="4" t="n">
        <f aca="false">G650*I650</f>
        <v>93.5</v>
      </c>
      <c r="M650" s="4" t="n">
        <f aca="false">K650-L650</f>
        <v>148.5885</v>
      </c>
      <c r="N650" s="6" t="n">
        <f aca="false">IF(K650=0,0,M650/K650)</f>
        <v>0.613777606123381</v>
      </c>
      <c r="O650" s="4" t="n">
        <f aca="false">(G650*H650)-K650</f>
        <v>12.7415</v>
      </c>
      <c r="P650" s="3" t="s">
        <v>21</v>
      </c>
    </row>
    <row r="651" customFormat="false" ht="15" hidden="false" customHeight="false" outlineLevel="0" collapsed="false">
      <c r="A651" s="7" t="n">
        <v>46112</v>
      </c>
      <c r="B651" s="8" t="s">
        <v>37</v>
      </c>
      <c r="C651" s="8" t="s">
        <v>17</v>
      </c>
      <c r="D651" s="8" t="s">
        <v>42</v>
      </c>
      <c r="E651" s="8" t="s">
        <v>43</v>
      </c>
      <c r="F651" s="8" t="s">
        <v>34</v>
      </c>
      <c r="G651" s="8" t="n">
        <v>24</v>
      </c>
      <c r="H651" s="9" t="n">
        <v>11.99</v>
      </c>
      <c r="I651" s="9" t="n">
        <v>3.5</v>
      </c>
      <c r="J651" s="10" t="n">
        <v>0</v>
      </c>
      <c r="K651" s="9" t="n">
        <f aca="false">G651*H651*(1-J651)</f>
        <v>287.76</v>
      </c>
      <c r="L651" s="9" t="n">
        <f aca="false">G651*I651</f>
        <v>84</v>
      </c>
      <c r="M651" s="9" t="n">
        <f aca="false">K651-L651</f>
        <v>203.76</v>
      </c>
      <c r="N651" s="11" t="n">
        <f aca="false">IF(K651=0,0,M651/K651)</f>
        <v>0.708090075062552</v>
      </c>
      <c r="O651" s="9" t="n">
        <f aca="false">(G651*H651)-K651</f>
        <v>0</v>
      </c>
      <c r="P651" s="8" t="s">
        <v>21</v>
      </c>
    </row>
    <row r="652" customFormat="false" ht="15" hidden="false" customHeight="false" outlineLevel="0" collapsed="false">
      <c r="A652" s="2" t="n">
        <v>46093</v>
      </c>
      <c r="B652" s="3" t="s">
        <v>27</v>
      </c>
      <c r="C652" s="3" t="s">
        <v>28</v>
      </c>
      <c r="D652" s="3" t="s">
        <v>70</v>
      </c>
      <c r="E652" s="3" t="s">
        <v>71</v>
      </c>
      <c r="F652" s="3" t="s">
        <v>20</v>
      </c>
      <c r="G652" s="3" t="n">
        <v>21</v>
      </c>
      <c r="H652" s="4" t="n">
        <v>49.99</v>
      </c>
      <c r="I652" s="4" t="n">
        <v>19</v>
      </c>
      <c r="J652" s="5" t="n">
        <v>0.05</v>
      </c>
      <c r="K652" s="4" t="n">
        <f aca="false">G652*H652*(1-J652)</f>
        <v>997.3005</v>
      </c>
      <c r="L652" s="4" t="n">
        <f aca="false">G652*I652</f>
        <v>399</v>
      </c>
      <c r="M652" s="4" t="n">
        <f aca="false">K652-L652</f>
        <v>598.3005</v>
      </c>
      <c r="N652" s="6" t="n">
        <f aca="false">IF(K652=0,0,M652/K652)</f>
        <v>0.599919983996799</v>
      </c>
      <c r="O652" s="4" t="n">
        <f aca="false">(G652*H652)-K652</f>
        <v>52.4895</v>
      </c>
      <c r="P652" s="3" t="s">
        <v>21</v>
      </c>
    </row>
    <row r="653" customFormat="false" ht="15" hidden="false" customHeight="false" outlineLevel="0" collapsed="false">
      <c r="A653" s="7" t="n">
        <v>46042</v>
      </c>
      <c r="B653" s="8" t="s">
        <v>64</v>
      </c>
      <c r="C653" s="8" t="s">
        <v>65</v>
      </c>
      <c r="D653" s="8" t="s">
        <v>61</v>
      </c>
      <c r="E653" s="8" t="s">
        <v>62</v>
      </c>
      <c r="F653" s="8" t="s">
        <v>34</v>
      </c>
      <c r="G653" s="8" t="n">
        <v>7</v>
      </c>
      <c r="H653" s="9" t="n">
        <v>14.99</v>
      </c>
      <c r="I653" s="9" t="n">
        <v>4.5</v>
      </c>
      <c r="J653" s="10" t="n">
        <v>0.1</v>
      </c>
      <c r="K653" s="9" t="n">
        <f aca="false">G653*H653*(1-J653)</f>
        <v>94.437</v>
      </c>
      <c r="L653" s="9" t="n">
        <f aca="false">G653*I653</f>
        <v>31.5</v>
      </c>
      <c r="M653" s="9" t="n">
        <f aca="false">K653-L653</f>
        <v>62.937</v>
      </c>
      <c r="N653" s="11" t="n">
        <f aca="false">IF(K653=0,0,M653/K653)</f>
        <v>0.666444296197465</v>
      </c>
      <c r="O653" s="9" t="n">
        <f aca="false">(G653*H653)-K653</f>
        <v>10.493</v>
      </c>
      <c r="P653" s="8" t="s">
        <v>21</v>
      </c>
    </row>
    <row r="654" customFormat="false" ht="15" hidden="false" customHeight="false" outlineLevel="0" collapsed="false">
      <c r="A654" s="2" t="n">
        <v>46097</v>
      </c>
      <c r="B654" s="3" t="s">
        <v>31</v>
      </c>
      <c r="C654" s="3" t="s">
        <v>23</v>
      </c>
      <c r="D654" s="3" t="s">
        <v>42</v>
      </c>
      <c r="E654" s="3" t="s">
        <v>43</v>
      </c>
      <c r="F654" s="3" t="s">
        <v>34</v>
      </c>
      <c r="G654" s="3" t="n">
        <v>5</v>
      </c>
      <c r="H654" s="4" t="n">
        <v>11.99</v>
      </c>
      <c r="I654" s="4" t="n">
        <v>3.5</v>
      </c>
      <c r="J654" s="5" t="n">
        <v>0.3</v>
      </c>
      <c r="K654" s="4" t="n">
        <f aca="false">G654*H654*(1-J654)</f>
        <v>41.965</v>
      </c>
      <c r="L654" s="4" t="n">
        <f aca="false">G654*I654</f>
        <v>17.5</v>
      </c>
      <c r="M654" s="4" t="n">
        <f aca="false">K654-L654</f>
        <v>24.465</v>
      </c>
      <c r="N654" s="6" t="n">
        <f aca="false">IF(K654=0,0,M654/K654)</f>
        <v>0.582985821517932</v>
      </c>
      <c r="O654" s="4" t="n">
        <f aca="false">(G654*H654)-K654</f>
        <v>17.985</v>
      </c>
      <c r="P654" s="3" t="s">
        <v>21</v>
      </c>
    </row>
    <row r="655" customFormat="false" ht="15" hidden="false" customHeight="false" outlineLevel="0" collapsed="false">
      <c r="A655" s="7" t="n">
        <v>46061</v>
      </c>
      <c r="B655" s="8" t="s">
        <v>37</v>
      </c>
      <c r="C655" s="8" t="s">
        <v>17</v>
      </c>
      <c r="D655" s="8" t="s">
        <v>70</v>
      </c>
      <c r="E655" s="8" t="s">
        <v>71</v>
      </c>
      <c r="F655" s="8" t="s">
        <v>20</v>
      </c>
      <c r="G655" s="8" t="n">
        <v>17</v>
      </c>
      <c r="H655" s="9" t="n">
        <v>49.99</v>
      </c>
      <c r="I655" s="9" t="n">
        <v>19</v>
      </c>
      <c r="J655" s="10" t="n">
        <v>0</v>
      </c>
      <c r="K655" s="9" t="n">
        <f aca="false">G655*H655*(1-J655)</f>
        <v>849.83</v>
      </c>
      <c r="L655" s="9" t="n">
        <f aca="false">G655*I655</f>
        <v>323</v>
      </c>
      <c r="M655" s="9" t="n">
        <f aca="false">K655-L655</f>
        <v>526.83</v>
      </c>
      <c r="N655" s="11" t="n">
        <f aca="false">IF(K655=0,0,M655/K655)</f>
        <v>0.619923984796959</v>
      </c>
      <c r="O655" s="9" t="n">
        <f aca="false">(G655*H655)-K655</f>
        <v>0</v>
      </c>
      <c r="P655" s="8" t="s">
        <v>21</v>
      </c>
    </row>
    <row r="656" customFormat="false" ht="15" hidden="false" customHeight="false" outlineLevel="0" collapsed="false">
      <c r="A656" s="2" t="n">
        <v>46068</v>
      </c>
      <c r="B656" s="3" t="s">
        <v>37</v>
      </c>
      <c r="C656" s="3" t="s">
        <v>17</v>
      </c>
      <c r="D656" s="3" t="s">
        <v>53</v>
      </c>
      <c r="E656" s="3" t="s">
        <v>54</v>
      </c>
      <c r="F656" s="3" t="s">
        <v>50</v>
      </c>
      <c r="G656" s="3" t="n">
        <v>10</v>
      </c>
      <c r="H656" s="4" t="n">
        <v>22.99</v>
      </c>
      <c r="I656" s="4" t="n">
        <v>8</v>
      </c>
      <c r="J656" s="5" t="n">
        <v>0.15</v>
      </c>
      <c r="K656" s="4" t="n">
        <f aca="false">G656*H656*(1-J656)</f>
        <v>195.415</v>
      </c>
      <c r="L656" s="4" t="n">
        <f aca="false">G656*I656</f>
        <v>80</v>
      </c>
      <c r="M656" s="4" t="n">
        <f aca="false">K656-L656</f>
        <v>115.415</v>
      </c>
      <c r="N656" s="6" t="n">
        <f aca="false">IF(K656=0,0,M656/K656)</f>
        <v>0.590614845329171</v>
      </c>
      <c r="O656" s="4" t="n">
        <f aca="false">(G656*H656)-K656</f>
        <v>34.485</v>
      </c>
      <c r="P656" s="3" t="s">
        <v>21</v>
      </c>
    </row>
    <row r="657" customFormat="false" ht="15" hidden="false" customHeight="false" outlineLevel="0" collapsed="false">
      <c r="A657" s="7" t="n">
        <v>46052</v>
      </c>
      <c r="B657" s="8" t="s">
        <v>41</v>
      </c>
      <c r="C657" s="8" t="s">
        <v>28</v>
      </c>
      <c r="D657" s="8" t="s">
        <v>88</v>
      </c>
      <c r="E657" s="8" t="s">
        <v>89</v>
      </c>
      <c r="F657" s="8" t="s">
        <v>57</v>
      </c>
      <c r="G657" s="8" t="n">
        <v>20</v>
      </c>
      <c r="H657" s="9" t="n">
        <v>12.99</v>
      </c>
      <c r="I657" s="9" t="n">
        <v>4.5</v>
      </c>
      <c r="J657" s="10" t="n">
        <v>0.3</v>
      </c>
      <c r="K657" s="9" t="n">
        <f aca="false">G657*H657*(1-J657)</f>
        <v>181.86</v>
      </c>
      <c r="L657" s="9" t="n">
        <f aca="false">G657*I657</f>
        <v>90</v>
      </c>
      <c r="M657" s="9" t="n">
        <f aca="false">K657-L657</f>
        <v>91.86</v>
      </c>
      <c r="N657" s="11" t="n">
        <f aca="false">IF(K657=0,0,M657/K657)</f>
        <v>0.505113823820521</v>
      </c>
      <c r="O657" s="9" t="n">
        <f aca="false">(G657*H657)-K657</f>
        <v>77.94</v>
      </c>
      <c r="P657" s="8" t="s">
        <v>21</v>
      </c>
    </row>
    <row r="658" customFormat="false" ht="15" hidden="false" customHeight="false" outlineLevel="0" collapsed="false">
      <c r="A658" s="2" t="n">
        <v>46057</v>
      </c>
      <c r="B658" s="3" t="s">
        <v>22</v>
      </c>
      <c r="C658" s="3" t="s">
        <v>23</v>
      </c>
      <c r="D658" s="3" t="s">
        <v>35</v>
      </c>
      <c r="E658" s="3" t="s">
        <v>36</v>
      </c>
      <c r="F658" s="3" t="s">
        <v>26</v>
      </c>
      <c r="G658" s="3" t="n">
        <v>23</v>
      </c>
      <c r="H658" s="4" t="n">
        <v>69.99</v>
      </c>
      <c r="I658" s="4" t="n">
        <v>30</v>
      </c>
      <c r="J658" s="5" t="n">
        <v>0.25</v>
      </c>
      <c r="K658" s="4" t="n">
        <f aca="false">G658*H658*(1-J658)</f>
        <v>1207.3275</v>
      </c>
      <c r="L658" s="4" t="n">
        <f aca="false">G658*I658</f>
        <v>690</v>
      </c>
      <c r="M658" s="4" t="n">
        <f aca="false">K658-L658</f>
        <v>517.3275</v>
      </c>
      <c r="N658" s="6" t="n">
        <f aca="false">IF(K658=0,0,M658/K658)</f>
        <v>0.428489784254894</v>
      </c>
      <c r="O658" s="4" t="n">
        <f aca="false">(G658*H658)-K658</f>
        <v>402.4425</v>
      </c>
      <c r="P658" s="3" t="s">
        <v>21</v>
      </c>
    </row>
    <row r="659" customFormat="false" ht="15" hidden="false" customHeight="false" outlineLevel="0" collapsed="false">
      <c r="A659" s="7" t="n">
        <v>46067</v>
      </c>
      <c r="B659" s="8" t="s">
        <v>64</v>
      </c>
      <c r="C659" s="8" t="s">
        <v>65</v>
      </c>
      <c r="D659" s="8" t="s">
        <v>76</v>
      </c>
      <c r="E659" s="8" t="s">
        <v>77</v>
      </c>
      <c r="F659" s="8" t="s">
        <v>34</v>
      </c>
      <c r="G659" s="8" t="n">
        <v>12</v>
      </c>
      <c r="H659" s="9" t="n">
        <v>44.99</v>
      </c>
      <c r="I659" s="9" t="n">
        <v>14</v>
      </c>
      <c r="J659" s="10" t="n">
        <v>0</v>
      </c>
      <c r="K659" s="9" t="n">
        <f aca="false">G659*H659*(1-J659)</f>
        <v>539.88</v>
      </c>
      <c r="L659" s="9" t="n">
        <f aca="false">G659*I659</f>
        <v>168</v>
      </c>
      <c r="M659" s="9" t="n">
        <f aca="false">K659-L659</f>
        <v>371.88</v>
      </c>
      <c r="N659" s="11" t="n">
        <f aca="false">IF(K659=0,0,M659/K659)</f>
        <v>0.688819737719493</v>
      </c>
      <c r="O659" s="9" t="n">
        <f aca="false">(G659*H659)-K659</f>
        <v>0</v>
      </c>
      <c r="P659" s="8" t="s">
        <v>21</v>
      </c>
    </row>
    <row r="660" customFormat="false" ht="15" hidden="false" customHeight="false" outlineLevel="0" collapsed="false">
      <c r="A660" s="2" t="n">
        <v>46099</v>
      </c>
      <c r="B660" s="3" t="s">
        <v>16</v>
      </c>
      <c r="C660" s="3" t="s">
        <v>17</v>
      </c>
      <c r="D660" s="3" t="s">
        <v>88</v>
      </c>
      <c r="E660" s="3" t="s">
        <v>89</v>
      </c>
      <c r="F660" s="3" t="s">
        <v>57</v>
      </c>
      <c r="G660" s="3" t="n">
        <v>13</v>
      </c>
      <c r="H660" s="4" t="n">
        <v>12.99</v>
      </c>
      <c r="I660" s="4" t="n">
        <v>4.5</v>
      </c>
      <c r="J660" s="5" t="n">
        <v>0.1</v>
      </c>
      <c r="K660" s="4" t="n">
        <f aca="false">G660*H660*(1-J660)</f>
        <v>151.983</v>
      </c>
      <c r="L660" s="4" t="n">
        <f aca="false">G660*I660</f>
        <v>58.5</v>
      </c>
      <c r="M660" s="4" t="n">
        <f aca="false">K660-L660</f>
        <v>93.483</v>
      </c>
      <c r="N660" s="6" t="n">
        <f aca="false">IF(K660=0,0,M660/K660)</f>
        <v>0.615088529638183</v>
      </c>
      <c r="O660" s="4" t="n">
        <f aca="false">(G660*H660)-K660</f>
        <v>16.887</v>
      </c>
      <c r="P660" s="3" t="s">
        <v>21</v>
      </c>
    </row>
    <row r="661" customFormat="false" ht="15" hidden="false" customHeight="false" outlineLevel="0" collapsed="false">
      <c r="A661" s="7" t="n">
        <v>46029</v>
      </c>
      <c r="B661" s="8" t="s">
        <v>16</v>
      </c>
      <c r="C661" s="8" t="s">
        <v>17</v>
      </c>
      <c r="D661" s="8" t="s">
        <v>38</v>
      </c>
      <c r="E661" s="8" t="s">
        <v>39</v>
      </c>
      <c r="F661" s="8" t="s">
        <v>40</v>
      </c>
      <c r="G661" s="8" t="n">
        <v>19</v>
      </c>
      <c r="H661" s="9" t="n">
        <v>12.99</v>
      </c>
      <c r="I661" s="9" t="n">
        <v>4</v>
      </c>
      <c r="J661" s="10" t="n">
        <v>0.1</v>
      </c>
      <c r="K661" s="9" t="n">
        <f aca="false">G661*H661*(1-J661)</f>
        <v>222.129</v>
      </c>
      <c r="L661" s="9" t="n">
        <f aca="false">G661*I661</f>
        <v>76</v>
      </c>
      <c r="M661" s="9" t="n">
        <f aca="false">K661-L661</f>
        <v>146.129</v>
      </c>
      <c r="N661" s="11" t="n">
        <f aca="false">IF(K661=0,0,M661/K661)</f>
        <v>0.657856470789496</v>
      </c>
      <c r="O661" s="9" t="n">
        <f aca="false">(G661*H661)-K661</f>
        <v>24.681</v>
      </c>
      <c r="P661" s="8" t="s">
        <v>21</v>
      </c>
    </row>
    <row r="662" customFormat="false" ht="15" hidden="false" customHeight="false" outlineLevel="0" collapsed="false">
      <c r="A662" s="2" t="n">
        <v>46108</v>
      </c>
      <c r="B662" s="3" t="s">
        <v>27</v>
      </c>
      <c r="C662" s="3" t="s">
        <v>28</v>
      </c>
      <c r="D662" s="3" t="s">
        <v>51</v>
      </c>
      <c r="E662" s="3" t="s">
        <v>52</v>
      </c>
      <c r="F662" s="3" t="s">
        <v>50</v>
      </c>
      <c r="G662" s="3" t="n">
        <v>5</v>
      </c>
      <c r="H662" s="4" t="n">
        <v>19.99</v>
      </c>
      <c r="I662" s="4" t="n">
        <v>7</v>
      </c>
      <c r="J662" s="5" t="n">
        <v>0.3</v>
      </c>
      <c r="K662" s="4" t="n">
        <f aca="false">G662*H662*(1-J662)</f>
        <v>69.965</v>
      </c>
      <c r="L662" s="4" t="n">
        <f aca="false">G662*I662</f>
        <v>35</v>
      </c>
      <c r="M662" s="4" t="n">
        <f aca="false">K662-L662</f>
        <v>34.965</v>
      </c>
      <c r="N662" s="6" t="n">
        <f aca="false">IF(K662=0,0,M662/K662)</f>
        <v>0.499749874937469</v>
      </c>
      <c r="O662" s="4" t="n">
        <f aca="false">(G662*H662)-K662</f>
        <v>29.985</v>
      </c>
      <c r="P662" s="3" t="s">
        <v>21</v>
      </c>
    </row>
    <row r="663" customFormat="false" ht="15" hidden="false" customHeight="false" outlineLevel="0" collapsed="false">
      <c r="A663" s="7" t="n">
        <v>46036</v>
      </c>
      <c r="B663" s="8" t="s">
        <v>27</v>
      </c>
      <c r="C663" s="8" t="s">
        <v>28</v>
      </c>
      <c r="D663" s="8" t="s">
        <v>95</v>
      </c>
      <c r="E663" s="8" t="s">
        <v>96</v>
      </c>
      <c r="F663" s="8" t="s">
        <v>50</v>
      </c>
      <c r="G663" s="8" t="n">
        <v>30</v>
      </c>
      <c r="H663" s="9" t="n">
        <v>34.99</v>
      </c>
      <c r="I663" s="9" t="n">
        <v>12</v>
      </c>
      <c r="J663" s="10" t="n">
        <v>0</v>
      </c>
      <c r="K663" s="9" t="n">
        <f aca="false">G663*H663*(1-J663)</f>
        <v>1049.7</v>
      </c>
      <c r="L663" s="9" t="n">
        <f aca="false">G663*I663</f>
        <v>360</v>
      </c>
      <c r="M663" s="9" t="n">
        <f aca="false">K663-L663</f>
        <v>689.7</v>
      </c>
      <c r="N663" s="11" t="n">
        <f aca="false">IF(K663=0,0,M663/K663)</f>
        <v>0.657044869962847</v>
      </c>
      <c r="O663" s="9" t="n">
        <f aca="false">(G663*H663)-K663</f>
        <v>0</v>
      </c>
      <c r="P663" s="8" t="s">
        <v>21</v>
      </c>
    </row>
    <row r="664" customFormat="false" ht="15" hidden="false" customHeight="false" outlineLevel="0" collapsed="false">
      <c r="A664" s="2" t="n">
        <v>46038</v>
      </c>
      <c r="B664" s="3" t="s">
        <v>22</v>
      </c>
      <c r="C664" s="3" t="s">
        <v>23</v>
      </c>
      <c r="D664" s="3" t="s">
        <v>76</v>
      </c>
      <c r="E664" s="3" t="s">
        <v>77</v>
      </c>
      <c r="F664" s="3" t="s">
        <v>34</v>
      </c>
      <c r="G664" s="3" t="n">
        <v>22</v>
      </c>
      <c r="H664" s="4" t="n">
        <v>44.99</v>
      </c>
      <c r="I664" s="4" t="n">
        <v>14</v>
      </c>
      <c r="J664" s="5" t="n">
        <v>0.15</v>
      </c>
      <c r="K664" s="4" t="n">
        <f aca="false">G664*H664*(1-J664)</f>
        <v>841.313</v>
      </c>
      <c r="L664" s="4" t="n">
        <f aca="false">G664*I664</f>
        <v>308</v>
      </c>
      <c r="M664" s="4" t="n">
        <f aca="false">K664-L664</f>
        <v>533.313</v>
      </c>
      <c r="N664" s="6" t="n">
        <f aca="false">IF(K664=0,0,M664/K664)</f>
        <v>0.633905573787639</v>
      </c>
      <c r="O664" s="4" t="n">
        <f aca="false">(G664*H664)-K664</f>
        <v>148.467</v>
      </c>
      <c r="P664" s="3" t="s">
        <v>21</v>
      </c>
    </row>
    <row r="665" customFormat="false" ht="15" hidden="false" customHeight="false" outlineLevel="0" collapsed="false">
      <c r="A665" s="7" t="n">
        <v>46130</v>
      </c>
      <c r="B665" s="8" t="s">
        <v>31</v>
      </c>
      <c r="C665" s="8" t="s">
        <v>23</v>
      </c>
      <c r="D665" s="8" t="s">
        <v>42</v>
      </c>
      <c r="E665" s="8" t="s">
        <v>43</v>
      </c>
      <c r="F665" s="8" t="s">
        <v>34</v>
      </c>
      <c r="G665" s="8" t="n">
        <v>22</v>
      </c>
      <c r="H665" s="9" t="n">
        <v>11.99</v>
      </c>
      <c r="I665" s="9" t="n">
        <v>3.5</v>
      </c>
      <c r="J665" s="10" t="n">
        <v>0.05</v>
      </c>
      <c r="K665" s="9" t="n">
        <f aca="false">G665*H665*(1-J665)</f>
        <v>250.591</v>
      </c>
      <c r="L665" s="9" t="n">
        <f aca="false">G665*I665</f>
        <v>77</v>
      </c>
      <c r="M665" s="9" t="n">
        <f aca="false">K665-L665</f>
        <v>173.591</v>
      </c>
      <c r="N665" s="11" t="n">
        <f aca="false">IF(K665=0,0,M665/K665)</f>
        <v>0.692726394802687</v>
      </c>
      <c r="O665" s="9" t="n">
        <f aca="false">(G665*H665)-K665</f>
        <v>13.189</v>
      </c>
      <c r="P665" s="8" t="s">
        <v>21</v>
      </c>
    </row>
    <row r="666" customFormat="false" ht="15" hidden="false" customHeight="false" outlineLevel="0" collapsed="false">
      <c r="A666" s="2" t="n">
        <v>46051</v>
      </c>
      <c r="B666" s="3" t="s">
        <v>41</v>
      </c>
      <c r="C666" s="3" t="s">
        <v>28</v>
      </c>
      <c r="D666" s="3" t="s">
        <v>84</v>
      </c>
      <c r="E666" s="3" t="s">
        <v>85</v>
      </c>
      <c r="F666" s="3" t="s">
        <v>20</v>
      </c>
      <c r="G666" s="3" t="n">
        <v>20</v>
      </c>
      <c r="H666" s="4" t="n">
        <v>34.99</v>
      </c>
      <c r="I666" s="4" t="n">
        <v>13</v>
      </c>
      <c r="J666" s="5" t="n">
        <v>0</v>
      </c>
      <c r="K666" s="4" t="n">
        <f aca="false">G666*H666*(1-J666)</f>
        <v>699.8</v>
      </c>
      <c r="L666" s="4" t="n">
        <f aca="false">G666*I666</f>
        <v>260</v>
      </c>
      <c r="M666" s="4" t="n">
        <f aca="false">K666-L666</f>
        <v>439.8</v>
      </c>
      <c r="N666" s="6" t="n">
        <f aca="false">IF(K666=0,0,M666/K666)</f>
        <v>0.628465275793084</v>
      </c>
      <c r="O666" s="4" t="n">
        <f aca="false">(G666*H666)-K666</f>
        <v>0</v>
      </c>
      <c r="P666" s="3" t="s">
        <v>21</v>
      </c>
    </row>
    <row r="667" customFormat="false" ht="15" hidden="false" customHeight="false" outlineLevel="0" collapsed="false">
      <c r="A667" s="7" t="n">
        <v>46054</v>
      </c>
      <c r="B667" s="8" t="s">
        <v>31</v>
      </c>
      <c r="C667" s="8" t="s">
        <v>23</v>
      </c>
      <c r="D667" s="8" t="s">
        <v>80</v>
      </c>
      <c r="E667" s="8" t="s">
        <v>81</v>
      </c>
      <c r="F667" s="8" t="s">
        <v>57</v>
      </c>
      <c r="G667" s="8" t="n">
        <v>3</v>
      </c>
      <c r="H667" s="9" t="n">
        <v>17.99</v>
      </c>
      <c r="I667" s="9" t="n">
        <v>6.5</v>
      </c>
      <c r="J667" s="10" t="n">
        <v>0.1</v>
      </c>
      <c r="K667" s="9" t="n">
        <f aca="false">G667*H667*(1-J667)</f>
        <v>48.573</v>
      </c>
      <c r="L667" s="9" t="n">
        <f aca="false">G667*I667</f>
        <v>19.5</v>
      </c>
      <c r="M667" s="9" t="n">
        <f aca="false">K667-L667</f>
        <v>29.073</v>
      </c>
      <c r="N667" s="11" t="n">
        <f aca="false">IF(K667=0,0,M667/K667)</f>
        <v>0.59854240009882</v>
      </c>
      <c r="O667" s="9" t="n">
        <f aca="false">(G667*H667)-K667</f>
        <v>5.397</v>
      </c>
      <c r="P667" s="8" t="s">
        <v>21</v>
      </c>
    </row>
    <row r="668" customFormat="false" ht="15" hidden="false" customHeight="false" outlineLevel="0" collapsed="false">
      <c r="A668" s="2" t="n">
        <v>46032</v>
      </c>
      <c r="B668" s="3" t="s">
        <v>58</v>
      </c>
      <c r="C668" s="3" t="s">
        <v>58</v>
      </c>
      <c r="D668" s="3" t="s">
        <v>48</v>
      </c>
      <c r="E668" s="3" t="s">
        <v>49</v>
      </c>
      <c r="F668" s="3" t="s">
        <v>50</v>
      </c>
      <c r="G668" s="3" t="n">
        <v>8</v>
      </c>
      <c r="H668" s="4" t="n">
        <v>54.99</v>
      </c>
      <c r="I668" s="4" t="n">
        <v>20</v>
      </c>
      <c r="J668" s="5" t="n">
        <v>0.1</v>
      </c>
      <c r="K668" s="4" t="n">
        <f aca="false">G668*H668*(1-J668)</f>
        <v>395.928</v>
      </c>
      <c r="L668" s="4" t="n">
        <f aca="false">G668*I668</f>
        <v>160</v>
      </c>
      <c r="M668" s="4" t="n">
        <f aca="false">K668-L668</f>
        <v>235.928</v>
      </c>
      <c r="N668" s="6" t="n">
        <f aca="false">IF(K668=0,0,M668/K668)</f>
        <v>0.595886120708816</v>
      </c>
      <c r="O668" s="4" t="n">
        <f aca="false">(G668*H668)-K668</f>
        <v>43.992</v>
      </c>
      <c r="P668" s="3" t="s">
        <v>21</v>
      </c>
    </row>
    <row r="669" customFormat="false" ht="15" hidden="false" customHeight="false" outlineLevel="0" collapsed="false">
      <c r="A669" s="7" t="n">
        <v>46097</v>
      </c>
      <c r="B669" s="8" t="s">
        <v>41</v>
      </c>
      <c r="C669" s="8" t="s">
        <v>28</v>
      </c>
      <c r="D669" s="8" t="s">
        <v>51</v>
      </c>
      <c r="E669" s="8" t="s">
        <v>52</v>
      </c>
      <c r="F669" s="8" t="s">
        <v>50</v>
      </c>
      <c r="G669" s="8" t="n">
        <v>27</v>
      </c>
      <c r="H669" s="9" t="n">
        <v>19.99</v>
      </c>
      <c r="I669" s="9" t="n">
        <v>7</v>
      </c>
      <c r="J669" s="10" t="n">
        <v>0.05</v>
      </c>
      <c r="K669" s="9" t="n">
        <f aca="false">G669*H669*(1-J669)</f>
        <v>512.7435</v>
      </c>
      <c r="L669" s="9" t="n">
        <f aca="false">G669*I669</f>
        <v>189</v>
      </c>
      <c r="M669" s="9" t="n">
        <f aca="false">K669-L669</f>
        <v>323.7435</v>
      </c>
      <c r="N669" s="11" t="n">
        <f aca="false">IF(K669=0,0,M669/K669)</f>
        <v>0.631394644690766</v>
      </c>
      <c r="O669" s="9" t="n">
        <f aca="false">(G669*H669)-K669</f>
        <v>26.9865</v>
      </c>
      <c r="P669" s="8" t="s">
        <v>21</v>
      </c>
    </row>
    <row r="670" customFormat="false" ht="15" hidden="false" customHeight="false" outlineLevel="0" collapsed="false">
      <c r="A670" s="2" t="n">
        <v>46046</v>
      </c>
      <c r="B670" s="3" t="s">
        <v>16</v>
      </c>
      <c r="C670" s="3" t="s">
        <v>17</v>
      </c>
      <c r="D670" s="3" t="s">
        <v>66</v>
      </c>
      <c r="E670" s="3" t="s">
        <v>67</v>
      </c>
      <c r="F670" s="3" t="s">
        <v>57</v>
      </c>
      <c r="G670" s="3" t="n">
        <v>11</v>
      </c>
      <c r="H670" s="4" t="n">
        <v>14.99</v>
      </c>
      <c r="I670" s="4" t="n">
        <v>5.5</v>
      </c>
      <c r="J670" s="5" t="n">
        <v>0</v>
      </c>
      <c r="K670" s="4" t="n">
        <f aca="false">G670*H670*(1-J670)</f>
        <v>164.89</v>
      </c>
      <c r="L670" s="4" t="n">
        <f aca="false">G670*I670</f>
        <v>60.5</v>
      </c>
      <c r="M670" s="4" t="n">
        <f aca="false">K670-L670</f>
        <v>104.39</v>
      </c>
      <c r="N670" s="6" t="n">
        <f aca="false">IF(K670=0,0,M670/K670)</f>
        <v>0.633088725817212</v>
      </c>
      <c r="O670" s="4" t="n">
        <f aca="false">(G670*H670)-K670</f>
        <v>0</v>
      </c>
      <c r="P670" s="3" t="s">
        <v>21</v>
      </c>
    </row>
    <row r="671" customFormat="false" ht="15" hidden="false" customHeight="false" outlineLevel="0" collapsed="false">
      <c r="A671" s="7" t="n">
        <v>46080</v>
      </c>
      <c r="B671" s="8" t="s">
        <v>27</v>
      </c>
      <c r="C671" s="8" t="s">
        <v>28</v>
      </c>
      <c r="D671" s="8" t="s">
        <v>42</v>
      </c>
      <c r="E671" s="8" t="s">
        <v>43</v>
      </c>
      <c r="F671" s="8" t="s">
        <v>34</v>
      </c>
      <c r="G671" s="8" t="n">
        <v>8</v>
      </c>
      <c r="H671" s="9" t="n">
        <v>11.99</v>
      </c>
      <c r="I671" s="9" t="n">
        <v>3.5</v>
      </c>
      <c r="J671" s="10" t="n">
        <v>0.3</v>
      </c>
      <c r="K671" s="9" t="n">
        <f aca="false">G671*H671*(1-J671)</f>
        <v>67.144</v>
      </c>
      <c r="L671" s="9" t="n">
        <f aca="false">G671*I671</f>
        <v>28</v>
      </c>
      <c r="M671" s="9" t="n">
        <f aca="false">K671-L671</f>
        <v>39.144</v>
      </c>
      <c r="N671" s="11" t="n">
        <f aca="false">IF(K671=0,0,M671/K671)</f>
        <v>0.582985821517932</v>
      </c>
      <c r="O671" s="9" t="n">
        <f aca="false">(G671*H671)-K671</f>
        <v>28.776</v>
      </c>
      <c r="P671" s="8" t="s">
        <v>21</v>
      </c>
    </row>
    <row r="672" customFormat="false" ht="15" hidden="false" customHeight="false" outlineLevel="0" collapsed="false">
      <c r="A672" s="2" t="n">
        <v>46124</v>
      </c>
      <c r="B672" s="3" t="s">
        <v>16</v>
      </c>
      <c r="C672" s="3" t="s">
        <v>17</v>
      </c>
      <c r="D672" s="3" t="s">
        <v>29</v>
      </c>
      <c r="E672" s="3" t="s">
        <v>30</v>
      </c>
      <c r="F672" s="3" t="s">
        <v>20</v>
      </c>
      <c r="G672" s="3" t="n">
        <v>8</v>
      </c>
      <c r="H672" s="4" t="n">
        <v>79.99</v>
      </c>
      <c r="I672" s="4" t="n">
        <v>42</v>
      </c>
      <c r="J672" s="5" t="n">
        <v>0</v>
      </c>
      <c r="K672" s="4" t="n">
        <f aca="false">G672*H672*(1-J672)</f>
        <v>639.92</v>
      </c>
      <c r="L672" s="4" t="n">
        <f aca="false">G672*I672</f>
        <v>336</v>
      </c>
      <c r="M672" s="4" t="n">
        <f aca="false">K672-L672</f>
        <v>303.92</v>
      </c>
      <c r="N672" s="6" t="n">
        <f aca="false">IF(K672=0,0,M672/K672)</f>
        <v>0.474934366795849</v>
      </c>
      <c r="O672" s="4" t="n">
        <f aca="false">(G672*H672)-K672</f>
        <v>0</v>
      </c>
      <c r="P672" s="3" t="s">
        <v>21</v>
      </c>
    </row>
    <row r="673" customFormat="false" ht="15" hidden="false" customHeight="false" outlineLevel="0" collapsed="false">
      <c r="A673" s="7" t="n">
        <v>46025</v>
      </c>
      <c r="B673" s="8" t="s">
        <v>58</v>
      </c>
      <c r="C673" s="8" t="s">
        <v>58</v>
      </c>
      <c r="D673" s="8" t="s">
        <v>18</v>
      </c>
      <c r="E673" s="8" t="s">
        <v>19</v>
      </c>
      <c r="F673" s="8" t="s">
        <v>20</v>
      </c>
      <c r="G673" s="8" t="n">
        <v>11</v>
      </c>
      <c r="H673" s="9" t="n">
        <v>24.99</v>
      </c>
      <c r="I673" s="9" t="n">
        <v>10.5</v>
      </c>
      <c r="J673" s="10" t="n">
        <v>0.25</v>
      </c>
      <c r="K673" s="9" t="n">
        <f aca="false">G673*H673*(1-J673)</f>
        <v>206.1675</v>
      </c>
      <c r="L673" s="9" t="n">
        <f aca="false">G673*I673</f>
        <v>115.5</v>
      </c>
      <c r="M673" s="9" t="n">
        <f aca="false">K673-L673</f>
        <v>90.6675</v>
      </c>
      <c r="N673" s="11" t="n">
        <f aca="false">IF(K673=0,0,M673/K673)</f>
        <v>0.439775910364146</v>
      </c>
      <c r="O673" s="9" t="n">
        <f aca="false">(G673*H673)-K673</f>
        <v>68.7225</v>
      </c>
      <c r="P673" s="8" t="s">
        <v>21</v>
      </c>
    </row>
    <row r="674" customFormat="false" ht="15" hidden="false" customHeight="false" outlineLevel="0" collapsed="false">
      <c r="A674" s="2" t="n">
        <v>46047</v>
      </c>
      <c r="B674" s="3" t="s">
        <v>64</v>
      </c>
      <c r="C674" s="3" t="s">
        <v>65</v>
      </c>
      <c r="D674" s="3" t="s">
        <v>72</v>
      </c>
      <c r="E674" s="3" t="s">
        <v>73</v>
      </c>
      <c r="F674" s="3" t="s">
        <v>57</v>
      </c>
      <c r="G674" s="3" t="n">
        <v>17</v>
      </c>
      <c r="H674" s="4" t="n">
        <v>19.99</v>
      </c>
      <c r="I674" s="4" t="n">
        <v>7</v>
      </c>
      <c r="J674" s="5" t="n">
        <v>0.3</v>
      </c>
      <c r="K674" s="4" t="n">
        <f aca="false">G674*H674*(1-J674)</f>
        <v>237.881</v>
      </c>
      <c r="L674" s="4" t="n">
        <f aca="false">G674*I674</f>
        <v>119</v>
      </c>
      <c r="M674" s="4" t="n">
        <f aca="false">K674-L674</f>
        <v>118.881</v>
      </c>
      <c r="N674" s="6" t="n">
        <f aca="false">IF(K674=0,0,M674/K674)</f>
        <v>0.499749874937469</v>
      </c>
      <c r="O674" s="4" t="n">
        <f aca="false">(G674*H674)-K674</f>
        <v>101.949</v>
      </c>
      <c r="P674" s="3" t="s">
        <v>21</v>
      </c>
    </row>
    <row r="675" customFormat="false" ht="15" hidden="false" customHeight="false" outlineLevel="0" collapsed="false">
      <c r="A675" s="7" t="n">
        <v>46082</v>
      </c>
      <c r="B675" s="8" t="s">
        <v>64</v>
      </c>
      <c r="C675" s="8" t="s">
        <v>65</v>
      </c>
      <c r="D675" s="8" t="s">
        <v>88</v>
      </c>
      <c r="E675" s="8" t="s">
        <v>89</v>
      </c>
      <c r="F675" s="8" t="s">
        <v>57</v>
      </c>
      <c r="G675" s="8" t="n">
        <v>14</v>
      </c>
      <c r="H675" s="9" t="n">
        <v>12.99</v>
      </c>
      <c r="I675" s="9" t="n">
        <v>4.5</v>
      </c>
      <c r="J675" s="10" t="n">
        <v>0</v>
      </c>
      <c r="K675" s="9" t="n">
        <f aca="false">G675*H675*(1-J675)</f>
        <v>181.86</v>
      </c>
      <c r="L675" s="9" t="n">
        <f aca="false">G675*I675</f>
        <v>63</v>
      </c>
      <c r="M675" s="9" t="n">
        <f aca="false">K675-L675</f>
        <v>118.86</v>
      </c>
      <c r="N675" s="11" t="n">
        <f aca="false">IF(K675=0,0,M675/K675)</f>
        <v>0.653579676674365</v>
      </c>
      <c r="O675" s="9" t="n">
        <f aca="false">(G675*H675)-K675</f>
        <v>0</v>
      </c>
      <c r="P675" s="8" t="s">
        <v>21</v>
      </c>
    </row>
    <row r="676" customFormat="false" ht="15" hidden="false" customHeight="false" outlineLevel="0" collapsed="false">
      <c r="A676" s="2" t="n">
        <v>46071</v>
      </c>
      <c r="B676" s="3" t="s">
        <v>64</v>
      </c>
      <c r="C676" s="3" t="s">
        <v>65</v>
      </c>
      <c r="D676" s="3" t="s">
        <v>53</v>
      </c>
      <c r="E676" s="3" t="s">
        <v>54</v>
      </c>
      <c r="F676" s="3" t="s">
        <v>50</v>
      </c>
      <c r="G676" s="3" t="n">
        <v>11</v>
      </c>
      <c r="H676" s="4" t="n">
        <v>22.99</v>
      </c>
      <c r="I676" s="4" t="n">
        <v>8</v>
      </c>
      <c r="J676" s="5" t="n">
        <v>0</v>
      </c>
      <c r="K676" s="4" t="n">
        <f aca="false">G676*H676*(1-J676)</f>
        <v>252.89</v>
      </c>
      <c r="L676" s="4" t="n">
        <f aca="false">G676*I676</f>
        <v>88</v>
      </c>
      <c r="M676" s="4" t="n">
        <f aca="false">K676-L676</f>
        <v>164.89</v>
      </c>
      <c r="N676" s="6" t="n">
        <f aca="false">IF(K676=0,0,M676/K676)</f>
        <v>0.652022618529796</v>
      </c>
      <c r="O676" s="4" t="n">
        <f aca="false">(G676*H676)-K676</f>
        <v>0</v>
      </c>
      <c r="P676" s="3" t="s">
        <v>21</v>
      </c>
    </row>
    <row r="677" customFormat="false" ht="15" hidden="false" customHeight="false" outlineLevel="0" collapsed="false">
      <c r="A677" s="7" t="n">
        <v>46046</v>
      </c>
      <c r="B677" s="8" t="s">
        <v>41</v>
      </c>
      <c r="C677" s="8" t="s">
        <v>28</v>
      </c>
      <c r="D677" s="8" t="s">
        <v>48</v>
      </c>
      <c r="E677" s="8" t="s">
        <v>49</v>
      </c>
      <c r="F677" s="8" t="s">
        <v>50</v>
      </c>
      <c r="G677" s="8" t="n">
        <v>7</v>
      </c>
      <c r="H677" s="9" t="n">
        <v>54.99</v>
      </c>
      <c r="I677" s="9" t="n">
        <v>20</v>
      </c>
      <c r="J677" s="10" t="n">
        <v>0.15</v>
      </c>
      <c r="K677" s="9" t="n">
        <f aca="false">G677*H677*(1-J677)</f>
        <v>327.1905</v>
      </c>
      <c r="L677" s="9" t="n">
        <f aca="false">G677*I677</f>
        <v>140</v>
      </c>
      <c r="M677" s="9" t="n">
        <f aca="false">K677-L677</f>
        <v>187.1905</v>
      </c>
      <c r="N677" s="11" t="n">
        <f aca="false">IF(K677=0,0,M677/K677)</f>
        <v>0.572114716044628</v>
      </c>
      <c r="O677" s="9" t="n">
        <f aca="false">(G677*H677)-K677</f>
        <v>57.7395</v>
      </c>
      <c r="P677" s="8" t="s">
        <v>21</v>
      </c>
    </row>
    <row r="678" customFormat="false" ht="15" hidden="false" customHeight="false" outlineLevel="0" collapsed="false">
      <c r="A678" s="2" t="n">
        <v>46038</v>
      </c>
      <c r="B678" s="3" t="s">
        <v>64</v>
      </c>
      <c r="C678" s="3" t="s">
        <v>65</v>
      </c>
      <c r="D678" s="3" t="s">
        <v>84</v>
      </c>
      <c r="E678" s="3" t="s">
        <v>85</v>
      </c>
      <c r="F678" s="3" t="s">
        <v>20</v>
      </c>
      <c r="G678" s="3" t="n">
        <v>18</v>
      </c>
      <c r="H678" s="4" t="n">
        <v>34.99</v>
      </c>
      <c r="I678" s="4" t="n">
        <v>13</v>
      </c>
      <c r="J678" s="5" t="n">
        <v>0.05</v>
      </c>
      <c r="K678" s="4" t="n">
        <f aca="false">G678*H678*(1-J678)</f>
        <v>598.329</v>
      </c>
      <c r="L678" s="4" t="n">
        <f aca="false">G678*I678</f>
        <v>234</v>
      </c>
      <c r="M678" s="4" t="n">
        <f aca="false">K678-L678</f>
        <v>364.329</v>
      </c>
      <c r="N678" s="6" t="n">
        <f aca="false">IF(K678=0,0,M678/K678)</f>
        <v>0.608910816624299</v>
      </c>
      <c r="O678" s="4" t="n">
        <f aca="false">(G678*H678)-K678</f>
        <v>31.491</v>
      </c>
      <c r="P678" s="3" t="s">
        <v>21</v>
      </c>
    </row>
    <row r="679" customFormat="false" ht="15" hidden="false" customHeight="false" outlineLevel="0" collapsed="false">
      <c r="A679" s="7" t="n">
        <v>46117</v>
      </c>
      <c r="B679" s="8" t="s">
        <v>37</v>
      </c>
      <c r="C679" s="8" t="s">
        <v>17</v>
      </c>
      <c r="D679" s="8" t="s">
        <v>82</v>
      </c>
      <c r="E679" s="8" t="s">
        <v>83</v>
      </c>
      <c r="F679" s="8" t="s">
        <v>26</v>
      </c>
      <c r="G679" s="8" t="n">
        <v>2</v>
      </c>
      <c r="H679" s="9" t="n">
        <v>44.99</v>
      </c>
      <c r="I679" s="9" t="n">
        <v>18</v>
      </c>
      <c r="J679" s="10" t="n">
        <v>0.3</v>
      </c>
      <c r="K679" s="9" t="n">
        <f aca="false">G679*H679*(1-J679)</f>
        <v>62.986</v>
      </c>
      <c r="L679" s="9" t="n">
        <f aca="false">G679*I679</f>
        <v>36</v>
      </c>
      <c r="M679" s="9" t="n">
        <f aca="false">K679-L679</f>
        <v>26.986</v>
      </c>
      <c r="N679" s="11" t="n">
        <f aca="false">IF(K679=0,0,M679/K679)</f>
        <v>0.428444416219477</v>
      </c>
      <c r="O679" s="9" t="n">
        <f aca="false">(G679*H679)-K679</f>
        <v>26.994</v>
      </c>
      <c r="P679" s="8" t="s">
        <v>21</v>
      </c>
    </row>
    <row r="680" customFormat="false" ht="15" hidden="false" customHeight="false" outlineLevel="0" collapsed="false">
      <c r="A680" s="2" t="n">
        <v>46065</v>
      </c>
      <c r="B680" s="3" t="s">
        <v>22</v>
      </c>
      <c r="C680" s="3" t="s">
        <v>23</v>
      </c>
      <c r="D680" s="3" t="s">
        <v>48</v>
      </c>
      <c r="E680" s="3" t="s">
        <v>49</v>
      </c>
      <c r="F680" s="3" t="s">
        <v>50</v>
      </c>
      <c r="G680" s="3" t="n">
        <v>4</v>
      </c>
      <c r="H680" s="4" t="n">
        <v>54.99</v>
      </c>
      <c r="I680" s="4" t="n">
        <v>20</v>
      </c>
      <c r="J680" s="5" t="n">
        <v>0.2</v>
      </c>
      <c r="K680" s="4" t="n">
        <f aca="false">G680*H680*(1-J680)</f>
        <v>175.968</v>
      </c>
      <c r="L680" s="4" t="n">
        <f aca="false">G680*I680</f>
        <v>80</v>
      </c>
      <c r="M680" s="4" t="n">
        <f aca="false">K680-L680</f>
        <v>95.968</v>
      </c>
      <c r="N680" s="6" t="n">
        <f aca="false">IF(K680=0,0,M680/K680)</f>
        <v>0.545371885797418</v>
      </c>
      <c r="O680" s="4" t="n">
        <f aca="false">(G680*H680)-K680</f>
        <v>43.992</v>
      </c>
      <c r="P680" s="3" t="s">
        <v>21</v>
      </c>
    </row>
    <row r="681" customFormat="false" ht="15" hidden="false" customHeight="false" outlineLevel="0" collapsed="false">
      <c r="A681" s="7" t="n">
        <v>46079</v>
      </c>
      <c r="B681" s="8" t="s">
        <v>22</v>
      </c>
      <c r="C681" s="8" t="s">
        <v>23</v>
      </c>
      <c r="D681" s="8" t="s">
        <v>78</v>
      </c>
      <c r="E681" s="8" t="s">
        <v>79</v>
      </c>
      <c r="F681" s="8" t="s">
        <v>20</v>
      </c>
      <c r="G681" s="8" t="n">
        <v>21</v>
      </c>
      <c r="H681" s="9" t="n">
        <v>39.99</v>
      </c>
      <c r="I681" s="9" t="n">
        <v>16</v>
      </c>
      <c r="J681" s="10" t="n">
        <v>0.2</v>
      </c>
      <c r="K681" s="9" t="n">
        <f aca="false">G681*H681*(1-J681)</f>
        <v>671.832</v>
      </c>
      <c r="L681" s="9" t="n">
        <f aca="false">G681*I681</f>
        <v>336</v>
      </c>
      <c r="M681" s="9" t="n">
        <f aca="false">K681-L681</f>
        <v>335.832</v>
      </c>
      <c r="N681" s="11" t="n">
        <f aca="false">IF(K681=0,0,M681/K681)</f>
        <v>0.499874968742186</v>
      </c>
      <c r="O681" s="9" t="n">
        <f aca="false">(G681*H681)-K681</f>
        <v>167.958</v>
      </c>
      <c r="P681" s="8" t="s">
        <v>21</v>
      </c>
    </row>
    <row r="682" customFormat="false" ht="15" hidden="false" customHeight="false" outlineLevel="0" collapsed="false">
      <c r="A682" s="2" t="n">
        <v>46087</v>
      </c>
      <c r="B682" s="3" t="s">
        <v>31</v>
      </c>
      <c r="C682" s="3" t="s">
        <v>23</v>
      </c>
      <c r="D682" s="3" t="s">
        <v>44</v>
      </c>
      <c r="E682" s="3" t="s">
        <v>45</v>
      </c>
      <c r="F682" s="3" t="s">
        <v>40</v>
      </c>
      <c r="G682" s="3" t="n">
        <v>4</v>
      </c>
      <c r="H682" s="4" t="n">
        <v>29.99</v>
      </c>
      <c r="I682" s="4" t="n">
        <v>11</v>
      </c>
      <c r="J682" s="5" t="n">
        <v>0.2</v>
      </c>
      <c r="K682" s="4" t="n">
        <f aca="false">G682*H682*(1-J682)</f>
        <v>95.968</v>
      </c>
      <c r="L682" s="4" t="n">
        <f aca="false">G682*I682</f>
        <v>44</v>
      </c>
      <c r="M682" s="4" t="n">
        <f aca="false">K682-L682</f>
        <v>51.968</v>
      </c>
      <c r="N682" s="6" t="n">
        <f aca="false">IF(K682=0,0,M682/K682)</f>
        <v>0.541513837945982</v>
      </c>
      <c r="O682" s="4" t="n">
        <f aca="false">(G682*H682)-K682</f>
        <v>23.992</v>
      </c>
      <c r="P682" s="3" t="s">
        <v>21</v>
      </c>
    </row>
    <row r="683" customFormat="false" ht="15" hidden="false" customHeight="false" outlineLevel="0" collapsed="false">
      <c r="A683" s="7" t="n">
        <v>46083</v>
      </c>
      <c r="B683" s="8" t="s">
        <v>22</v>
      </c>
      <c r="C683" s="8" t="s">
        <v>23</v>
      </c>
      <c r="D683" s="8" t="s">
        <v>53</v>
      </c>
      <c r="E683" s="8" t="s">
        <v>54</v>
      </c>
      <c r="F683" s="8" t="s">
        <v>50</v>
      </c>
      <c r="G683" s="8" t="n">
        <v>24</v>
      </c>
      <c r="H683" s="9" t="n">
        <v>22.99</v>
      </c>
      <c r="I683" s="9" t="n">
        <v>8</v>
      </c>
      <c r="J683" s="10" t="n">
        <v>0.15</v>
      </c>
      <c r="K683" s="9" t="n">
        <f aca="false">G683*H683*(1-J683)</f>
        <v>468.996</v>
      </c>
      <c r="L683" s="9" t="n">
        <f aca="false">G683*I683</f>
        <v>192</v>
      </c>
      <c r="M683" s="9" t="n">
        <f aca="false">K683-L683</f>
        <v>276.996</v>
      </c>
      <c r="N683" s="11" t="n">
        <f aca="false">IF(K683=0,0,M683/K683)</f>
        <v>0.590614845329171</v>
      </c>
      <c r="O683" s="9" t="n">
        <f aca="false">(G683*H683)-K683</f>
        <v>82.764</v>
      </c>
      <c r="P683" s="8" t="s">
        <v>21</v>
      </c>
    </row>
    <row r="684" customFormat="false" ht="15" hidden="false" customHeight="false" outlineLevel="0" collapsed="false">
      <c r="A684" s="2" t="n">
        <v>46030</v>
      </c>
      <c r="B684" s="3" t="s">
        <v>22</v>
      </c>
      <c r="C684" s="3" t="s">
        <v>23</v>
      </c>
      <c r="D684" s="3" t="s">
        <v>32</v>
      </c>
      <c r="E684" s="3" t="s">
        <v>33</v>
      </c>
      <c r="F684" s="3" t="s">
        <v>34</v>
      </c>
      <c r="G684" s="3" t="n">
        <v>19</v>
      </c>
      <c r="H684" s="4" t="n">
        <v>18.99</v>
      </c>
      <c r="I684" s="4" t="n">
        <v>6</v>
      </c>
      <c r="J684" s="5" t="n">
        <v>0</v>
      </c>
      <c r="K684" s="4" t="n">
        <f aca="false">G684*H684*(1-J684)</f>
        <v>360.81</v>
      </c>
      <c r="L684" s="4" t="n">
        <f aca="false">G684*I684</f>
        <v>114</v>
      </c>
      <c r="M684" s="4" t="n">
        <f aca="false">K684-L684</f>
        <v>246.81</v>
      </c>
      <c r="N684" s="6" t="n">
        <f aca="false">IF(K684=0,0,M684/K684)</f>
        <v>0.684044233807267</v>
      </c>
      <c r="O684" s="4" t="n">
        <f aca="false">(G684*H684)-K684</f>
        <v>0</v>
      </c>
      <c r="P684" s="3" t="s">
        <v>21</v>
      </c>
    </row>
    <row r="685" customFormat="false" ht="15" hidden="false" customHeight="false" outlineLevel="0" collapsed="false">
      <c r="A685" s="7" t="n">
        <v>46127</v>
      </c>
      <c r="B685" s="8" t="s">
        <v>64</v>
      </c>
      <c r="C685" s="8" t="s">
        <v>65</v>
      </c>
      <c r="D685" s="8" t="s">
        <v>76</v>
      </c>
      <c r="E685" s="8" t="s">
        <v>77</v>
      </c>
      <c r="F685" s="8" t="s">
        <v>34</v>
      </c>
      <c r="G685" s="8" t="n">
        <v>16</v>
      </c>
      <c r="H685" s="9" t="n">
        <v>49.99</v>
      </c>
      <c r="I685" s="9" t="n">
        <v>14</v>
      </c>
      <c r="J685" s="10" t="n">
        <v>0</v>
      </c>
      <c r="K685" s="9" t="n">
        <f aca="false">G685*H685*(1-J685)</f>
        <v>799.84</v>
      </c>
      <c r="L685" s="9" t="n">
        <f aca="false">G685*I685</f>
        <v>224</v>
      </c>
      <c r="M685" s="9" t="n">
        <f aca="false">K685-L685</f>
        <v>575.84</v>
      </c>
      <c r="N685" s="11" t="n">
        <f aca="false">IF(K685=0,0,M685/K685)</f>
        <v>0.71994398879776</v>
      </c>
      <c r="O685" s="9" t="n">
        <f aca="false">(G685*H685)-K685</f>
        <v>0</v>
      </c>
      <c r="P685" s="8" t="s">
        <v>21</v>
      </c>
    </row>
    <row r="686" customFormat="false" ht="15" hidden="false" customHeight="false" outlineLevel="0" collapsed="false">
      <c r="A686" s="2" t="n">
        <v>46036</v>
      </c>
      <c r="B686" s="3" t="s">
        <v>16</v>
      </c>
      <c r="C686" s="3" t="s">
        <v>17</v>
      </c>
      <c r="D686" s="3" t="s">
        <v>72</v>
      </c>
      <c r="E686" s="3" t="s">
        <v>73</v>
      </c>
      <c r="F686" s="3" t="s">
        <v>57</v>
      </c>
      <c r="G686" s="3" t="n">
        <v>25</v>
      </c>
      <c r="H686" s="4" t="n">
        <v>19.99</v>
      </c>
      <c r="I686" s="4" t="n">
        <v>7</v>
      </c>
      <c r="J686" s="5" t="n">
        <v>0.1</v>
      </c>
      <c r="K686" s="4" t="n">
        <f aca="false">G686*H686*(1-J686)</f>
        <v>449.775</v>
      </c>
      <c r="L686" s="4" t="n">
        <f aca="false">G686*I686</f>
        <v>175</v>
      </c>
      <c r="M686" s="4" t="n">
        <f aca="false">K686-L686</f>
        <v>274.775</v>
      </c>
      <c r="N686" s="6" t="n">
        <f aca="false">IF(K686=0,0,M686/K686)</f>
        <v>0.610916569395809</v>
      </c>
      <c r="O686" s="4" t="n">
        <f aca="false">(G686*H686)-K686</f>
        <v>49.975</v>
      </c>
      <c r="P686" s="3" t="s">
        <v>21</v>
      </c>
    </row>
    <row r="687" customFormat="false" ht="15" hidden="false" customHeight="false" outlineLevel="0" collapsed="false">
      <c r="A687" s="7" t="n">
        <v>46099</v>
      </c>
      <c r="B687" s="8" t="s">
        <v>31</v>
      </c>
      <c r="C687" s="8" t="s">
        <v>23</v>
      </c>
      <c r="D687" s="8" t="s">
        <v>48</v>
      </c>
      <c r="E687" s="8" t="s">
        <v>49</v>
      </c>
      <c r="F687" s="8" t="s">
        <v>50</v>
      </c>
      <c r="G687" s="8" t="n">
        <v>1</v>
      </c>
      <c r="H687" s="9" t="n">
        <v>59.99</v>
      </c>
      <c r="I687" s="9" t="n">
        <v>20</v>
      </c>
      <c r="J687" s="10" t="n">
        <v>0.7</v>
      </c>
      <c r="K687" s="9" t="n">
        <f aca="false">G687*H687*(1-J687)</f>
        <v>17.997</v>
      </c>
      <c r="L687" s="9" t="n">
        <f aca="false">G687*I687</f>
        <v>20</v>
      </c>
      <c r="M687" s="9" t="n">
        <f aca="false">K687-L687</f>
        <v>-2.003</v>
      </c>
      <c r="N687" s="11" t="n">
        <f aca="false">IF(K687=0,0,M687/K687)</f>
        <v>-0.111296327165639</v>
      </c>
      <c r="O687" s="9" t="n">
        <f aca="false">(G687*H687)-K687</f>
        <v>41.993</v>
      </c>
      <c r="P687" s="14" t="s">
        <v>97</v>
      </c>
    </row>
    <row r="688" customFormat="false" ht="15" hidden="false" customHeight="false" outlineLevel="0" collapsed="false">
      <c r="A688" s="2" t="n">
        <v>46062</v>
      </c>
      <c r="B688" s="3" t="s">
        <v>41</v>
      </c>
      <c r="C688" s="3" t="s">
        <v>28</v>
      </c>
      <c r="D688" s="3" t="s">
        <v>66</v>
      </c>
      <c r="E688" s="3" t="s">
        <v>67</v>
      </c>
      <c r="F688" s="3" t="s">
        <v>57</v>
      </c>
      <c r="G688" s="3" t="n">
        <v>13</v>
      </c>
      <c r="H688" s="4" t="n">
        <v>14.99</v>
      </c>
      <c r="I688" s="4" t="n">
        <v>5.5</v>
      </c>
      <c r="J688" s="5" t="n">
        <v>0</v>
      </c>
      <c r="K688" s="4" t="n">
        <f aca="false">G688*H688*(1-J688)</f>
        <v>194.87</v>
      </c>
      <c r="L688" s="4" t="n">
        <f aca="false">G688*I688</f>
        <v>71.5</v>
      </c>
      <c r="M688" s="4" t="n">
        <f aca="false">K688-L688</f>
        <v>123.37</v>
      </c>
      <c r="N688" s="6" t="n">
        <f aca="false">IF(K688=0,0,M688/K688)</f>
        <v>0.633088725817211</v>
      </c>
      <c r="O688" s="4" t="n">
        <f aca="false">(G688*H688)-K688</f>
        <v>0</v>
      </c>
      <c r="P688" s="3" t="s">
        <v>21</v>
      </c>
    </row>
    <row r="689" customFormat="false" ht="15" hidden="false" customHeight="false" outlineLevel="0" collapsed="false">
      <c r="A689" s="7" t="n">
        <v>46038</v>
      </c>
      <c r="B689" s="8" t="s">
        <v>27</v>
      </c>
      <c r="C689" s="8" t="s">
        <v>28</v>
      </c>
      <c r="D689" s="8" t="s">
        <v>46</v>
      </c>
      <c r="E689" s="8" t="s">
        <v>47</v>
      </c>
      <c r="F689" s="8" t="s">
        <v>20</v>
      </c>
      <c r="G689" s="8" t="n">
        <v>26</v>
      </c>
      <c r="H689" s="9" t="n">
        <v>44.99</v>
      </c>
      <c r="I689" s="9" t="n">
        <v>18</v>
      </c>
      <c r="J689" s="10" t="n">
        <v>0</v>
      </c>
      <c r="K689" s="9" t="n">
        <f aca="false">G689*H689*(1-J689)</f>
        <v>1169.74</v>
      </c>
      <c r="L689" s="9" t="n">
        <f aca="false">G689*I689</f>
        <v>468</v>
      </c>
      <c r="M689" s="9" t="n">
        <f aca="false">K689-L689</f>
        <v>701.74</v>
      </c>
      <c r="N689" s="11" t="n">
        <f aca="false">IF(K689=0,0,M689/K689)</f>
        <v>0.599911091353634</v>
      </c>
      <c r="O689" s="9" t="n">
        <f aca="false">(G689*H689)-K689</f>
        <v>0</v>
      </c>
      <c r="P689" s="8" t="s">
        <v>21</v>
      </c>
    </row>
    <row r="690" customFormat="false" ht="15" hidden="false" customHeight="false" outlineLevel="0" collapsed="false">
      <c r="A690" s="2" t="n">
        <v>46053</v>
      </c>
      <c r="B690" s="3" t="s">
        <v>22</v>
      </c>
      <c r="C690" s="3" t="s">
        <v>23</v>
      </c>
      <c r="D690" s="3" t="s">
        <v>42</v>
      </c>
      <c r="E690" s="3" t="s">
        <v>43</v>
      </c>
      <c r="F690" s="3" t="s">
        <v>34</v>
      </c>
      <c r="G690" s="3" t="n">
        <v>26</v>
      </c>
      <c r="H690" s="4" t="n">
        <v>11.99</v>
      </c>
      <c r="I690" s="4" t="n">
        <v>3.5</v>
      </c>
      <c r="J690" s="5" t="n">
        <v>0.1</v>
      </c>
      <c r="K690" s="4" t="n">
        <f aca="false">G690*H690*(1-J690)</f>
        <v>280.566</v>
      </c>
      <c r="L690" s="4" t="n">
        <f aca="false">G690*I690</f>
        <v>91</v>
      </c>
      <c r="M690" s="4" t="n">
        <f aca="false">K690-L690</f>
        <v>189.566</v>
      </c>
      <c r="N690" s="6" t="n">
        <f aca="false">IF(K690=0,0,M690/K690)</f>
        <v>0.675655638958391</v>
      </c>
      <c r="O690" s="4" t="n">
        <f aca="false">(G690*H690)-K690</f>
        <v>31.174</v>
      </c>
      <c r="P690" s="3" t="s">
        <v>21</v>
      </c>
    </row>
    <row r="691" customFormat="false" ht="15" hidden="false" customHeight="false" outlineLevel="0" collapsed="false">
      <c r="A691" s="7" t="n">
        <v>46107</v>
      </c>
      <c r="B691" s="8" t="s">
        <v>41</v>
      </c>
      <c r="C691" s="8" t="s">
        <v>28</v>
      </c>
      <c r="D691" s="8" t="s">
        <v>38</v>
      </c>
      <c r="E691" s="8" t="s">
        <v>39</v>
      </c>
      <c r="F691" s="8" t="s">
        <v>40</v>
      </c>
      <c r="G691" s="8" t="n">
        <v>9</v>
      </c>
      <c r="H691" s="9" t="n">
        <v>12.99</v>
      </c>
      <c r="I691" s="9" t="n">
        <v>4</v>
      </c>
      <c r="J691" s="10" t="n">
        <v>0</v>
      </c>
      <c r="K691" s="9" t="n">
        <f aca="false">G691*H691*(1-J691)</f>
        <v>116.91</v>
      </c>
      <c r="L691" s="9" t="n">
        <f aca="false">G691*I691</f>
        <v>36</v>
      </c>
      <c r="M691" s="9" t="n">
        <f aca="false">K691-L691</f>
        <v>80.91</v>
      </c>
      <c r="N691" s="11" t="n">
        <f aca="false">IF(K691=0,0,M691/K691)</f>
        <v>0.692070823710547</v>
      </c>
      <c r="O691" s="9" t="n">
        <f aca="false">(G691*H691)-K691</f>
        <v>0</v>
      </c>
      <c r="P691" s="8" t="s">
        <v>21</v>
      </c>
    </row>
    <row r="692" customFormat="false" ht="15" hidden="false" customHeight="false" outlineLevel="0" collapsed="false">
      <c r="A692" s="2" t="n">
        <v>46023</v>
      </c>
      <c r="B692" s="3" t="s">
        <v>64</v>
      </c>
      <c r="C692" s="3" t="s">
        <v>65</v>
      </c>
      <c r="D692" s="3" t="s">
        <v>24</v>
      </c>
      <c r="E692" s="3" t="s">
        <v>25</v>
      </c>
      <c r="F692" s="3" t="s">
        <v>26</v>
      </c>
      <c r="G692" s="3" t="n">
        <v>6</v>
      </c>
      <c r="H692" s="4" t="n">
        <v>19.68</v>
      </c>
      <c r="I692" s="4" t="n">
        <v>24</v>
      </c>
      <c r="J692" s="5" t="n">
        <v>0</v>
      </c>
      <c r="K692" s="4" t="n">
        <f aca="false">G692*H692*(1-J692)</f>
        <v>118.08</v>
      </c>
      <c r="L692" s="4" t="n">
        <f aca="false">G692*I692</f>
        <v>144</v>
      </c>
      <c r="M692" s="4" t="n">
        <f aca="false">K692-L692</f>
        <v>-25.92</v>
      </c>
      <c r="N692" s="6" t="n">
        <f aca="false">IF(K692=0,0,M692/K692)</f>
        <v>-0.219512195121951</v>
      </c>
      <c r="O692" s="4" t="n">
        <f aca="false">(G692*H692)-K692</f>
        <v>0</v>
      </c>
      <c r="P692" s="15" t="s">
        <v>98</v>
      </c>
    </row>
    <row r="693" customFormat="false" ht="15" hidden="false" customHeight="false" outlineLevel="0" collapsed="false">
      <c r="A693" s="7" t="n">
        <v>46096</v>
      </c>
      <c r="B693" s="8" t="s">
        <v>31</v>
      </c>
      <c r="C693" s="8" t="s">
        <v>23</v>
      </c>
      <c r="D693" s="8" t="s">
        <v>70</v>
      </c>
      <c r="E693" s="8" t="s">
        <v>71</v>
      </c>
      <c r="F693" s="8" t="s">
        <v>20</v>
      </c>
      <c r="G693" s="8" t="n">
        <v>5</v>
      </c>
      <c r="H693" s="9" t="n">
        <v>49.99</v>
      </c>
      <c r="I693" s="9" t="n">
        <v>19</v>
      </c>
      <c r="J693" s="10" t="n">
        <v>0.25</v>
      </c>
      <c r="K693" s="9" t="n">
        <f aca="false">G693*H693*(1-J693)</f>
        <v>187.4625</v>
      </c>
      <c r="L693" s="9" t="n">
        <f aca="false">G693*I693</f>
        <v>95</v>
      </c>
      <c r="M693" s="9" t="n">
        <f aca="false">K693-L693</f>
        <v>92.4625</v>
      </c>
      <c r="N693" s="11" t="n">
        <f aca="false">IF(K693=0,0,M693/K693)</f>
        <v>0.493231979729279</v>
      </c>
      <c r="O693" s="9" t="n">
        <f aca="false">(G693*H693)-K693</f>
        <v>62.4875</v>
      </c>
      <c r="P693" s="8" t="s">
        <v>21</v>
      </c>
    </row>
    <row r="694" customFormat="false" ht="15" hidden="false" customHeight="false" outlineLevel="0" collapsed="false">
      <c r="A694" s="2" t="n">
        <v>46037</v>
      </c>
      <c r="B694" s="3" t="s">
        <v>16</v>
      </c>
      <c r="C694" s="3" t="s">
        <v>17</v>
      </c>
      <c r="D694" s="3" t="s">
        <v>32</v>
      </c>
      <c r="E694" s="3" t="s">
        <v>33</v>
      </c>
      <c r="F694" s="3" t="s">
        <v>34</v>
      </c>
      <c r="G694" s="3" t="n">
        <v>6</v>
      </c>
      <c r="H694" s="4" t="n">
        <v>18.99</v>
      </c>
      <c r="I694" s="4" t="n">
        <v>6</v>
      </c>
      <c r="J694" s="5" t="n">
        <v>0.3</v>
      </c>
      <c r="K694" s="4" t="n">
        <f aca="false">G694*H694*(1-J694)</f>
        <v>79.758</v>
      </c>
      <c r="L694" s="4" t="n">
        <f aca="false">G694*I694</f>
        <v>36</v>
      </c>
      <c r="M694" s="4" t="n">
        <f aca="false">K694-L694</f>
        <v>43.758</v>
      </c>
      <c r="N694" s="6" t="n">
        <f aca="false">IF(K694=0,0,M694/K694)</f>
        <v>0.548634619724667</v>
      </c>
      <c r="O694" s="4" t="n">
        <f aca="false">(G694*H694)-K694</f>
        <v>34.182</v>
      </c>
      <c r="P694" s="3" t="s">
        <v>21</v>
      </c>
    </row>
    <row r="695" customFormat="false" ht="15" hidden="false" customHeight="false" outlineLevel="0" collapsed="false">
      <c r="A695" s="7" t="n">
        <v>46120</v>
      </c>
      <c r="B695" s="8" t="s">
        <v>27</v>
      </c>
      <c r="C695" s="8" t="s">
        <v>28</v>
      </c>
      <c r="D695" s="8" t="s">
        <v>18</v>
      </c>
      <c r="E695" s="8" t="s">
        <v>19</v>
      </c>
      <c r="F695" s="8" t="s">
        <v>20</v>
      </c>
      <c r="G695" s="8" t="n">
        <v>15</v>
      </c>
      <c r="H695" s="9" t="n">
        <v>26.99</v>
      </c>
      <c r="I695" s="9" t="n">
        <v>10.5</v>
      </c>
      <c r="J695" s="10" t="n">
        <v>0.15</v>
      </c>
      <c r="K695" s="9" t="n">
        <f aca="false">G695*H695*(1-J695)</f>
        <v>344.1225</v>
      </c>
      <c r="L695" s="9" t="n">
        <f aca="false">G695*I695</f>
        <v>157.5</v>
      </c>
      <c r="M695" s="9" t="n">
        <f aca="false">K695-L695</f>
        <v>186.6225</v>
      </c>
      <c r="N695" s="11" t="n">
        <f aca="false">IF(K695=0,0,M695/K695)</f>
        <v>0.542314146851775</v>
      </c>
      <c r="O695" s="9" t="n">
        <f aca="false">(G695*H695)-K695</f>
        <v>60.7275</v>
      </c>
      <c r="P695" s="8" t="s">
        <v>21</v>
      </c>
    </row>
    <row r="696" customFormat="false" ht="15" hidden="false" customHeight="false" outlineLevel="0" collapsed="false">
      <c r="A696" s="2" t="n">
        <v>46039</v>
      </c>
      <c r="B696" s="3" t="s">
        <v>31</v>
      </c>
      <c r="C696" s="3" t="s">
        <v>23</v>
      </c>
      <c r="D696" s="3" t="s">
        <v>29</v>
      </c>
      <c r="E696" s="3" t="s">
        <v>30</v>
      </c>
      <c r="F696" s="3" t="s">
        <v>20</v>
      </c>
      <c r="G696" s="3" t="n">
        <v>21</v>
      </c>
      <c r="H696" s="4" t="n">
        <v>89.99</v>
      </c>
      <c r="I696" s="4" t="n">
        <v>42</v>
      </c>
      <c r="J696" s="5" t="n">
        <v>0</v>
      </c>
      <c r="K696" s="4" t="n">
        <f aca="false">G696*H696*(1-J696)</f>
        <v>1889.79</v>
      </c>
      <c r="L696" s="4" t="n">
        <f aca="false">G696*I696</f>
        <v>882</v>
      </c>
      <c r="M696" s="4" t="n">
        <f aca="false">K696-L696</f>
        <v>1007.79</v>
      </c>
      <c r="N696" s="6" t="n">
        <f aca="false">IF(K696=0,0,M696/K696)</f>
        <v>0.533281475719524</v>
      </c>
      <c r="O696" s="4" t="n">
        <f aca="false">(G696*H696)-K696</f>
        <v>0</v>
      </c>
      <c r="P696" s="3" t="s">
        <v>21</v>
      </c>
    </row>
    <row r="697" customFormat="false" ht="15" hidden="false" customHeight="false" outlineLevel="0" collapsed="false">
      <c r="A697" s="7" t="n">
        <v>46024</v>
      </c>
      <c r="B697" s="8" t="s">
        <v>27</v>
      </c>
      <c r="C697" s="8" t="s">
        <v>28</v>
      </c>
      <c r="D697" s="8" t="s">
        <v>38</v>
      </c>
      <c r="E697" s="8" t="s">
        <v>39</v>
      </c>
      <c r="F697" s="8" t="s">
        <v>40</v>
      </c>
      <c r="G697" s="8" t="n">
        <v>26</v>
      </c>
      <c r="H697" s="9" t="n">
        <v>12.99</v>
      </c>
      <c r="I697" s="9" t="n">
        <v>4</v>
      </c>
      <c r="J697" s="10" t="n">
        <v>0.15</v>
      </c>
      <c r="K697" s="9" t="n">
        <f aca="false">G697*H697*(1-J697)</f>
        <v>287.079</v>
      </c>
      <c r="L697" s="9" t="n">
        <f aca="false">G697*I697</f>
        <v>104</v>
      </c>
      <c r="M697" s="9" t="n">
        <f aca="false">K697-L697</f>
        <v>183.079</v>
      </c>
      <c r="N697" s="11" t="n">
        <f aca="false">IF(K697=0,0,M697/K697)</f>
        <v>0.637730380835937</v>
      </c>
      <c r="O697" s="9" t="n">
        <f aca="false">(G697*H697)-K697</f>
        <v>50.661</v>
      </c>
      <c r="P697" s="8" t="s">
        <v>21</v>
      </c>
    </row>
    <row r="698" customFormat="false" ht="15" hidden="false" customHeight="false" outlineLevel="0" collapsed="false">
      <c r="A698" s="2" t="n">
        <v>46120</v>
      </c>
      <c r="B698" s="3" t="s">
        <v>31</v>
      </c>
      <c r="C698" s="3" t="s">
        <v>23</v>
      </c>
      <c r="D698" s="3" t="s">
        <v>38</v>
      </c>
      <c r="E698" s="3" t="s">
        <v>39</v>
      </c>
      <c r="F698" s="3" t="s">
        <v>40</v>
      </c>
      <c r="G698" s="3" t="n">
        <v>9</v>
      </c>
      <c r="H698" s="4" t="n">
        <v>12.99</v>
      </c>
      <c r="I698" s="4" t="n">
        <v>4</v>
      </c>
      <c r="J698" s="5" t="n">
        <v>0.1</v>
      </c>
      <c r="K698" s="4" t="n">
        <f aca="false">G698*H698*(1-J698)</f>
        <v>105.219</v>
      </c>
      <c r="L698" s="4" t="n">
        <f aca="false">G698*I698</f>
        <v>36</v>
      </c>
      <c r="M698" s="4" t="n">
        <f aca="false">K698-L698</f>
        <v>69.219</v>
      </c>
      <c r="N698" s="6" t="n">
        <f aca="false">IF(K698=0,0,M698/K698)</f>
        <v>0.657856470789496</v>
      </c>
      <c r="O698" s="4" t="n">
        <f aca="false">(G698*H698)-K698</f>
        <v>11.691</v>
      </c>
      <c r="P698" s="3" t="s">
        <v>21</v>
      </c>
    </row>
    <row r="699" customFormat="false" ht="15" hidden="false" customHeight="false" outlineLevel="0" collapsed="false">
      <c r="A699" s="7" t="n">
        <v>46126</v>
      </c>
      <c r="B699" s="8" t="s">
        <v>31</v>
      </c>
      <c r="C699" s="8" t="s">
        <v>23</v>
      </c>
      <c r="D699" s="8" t="s">
        <v>53</v>
      </c>
      <c r="E699" s="8" t="s">
        <v>54</v>
      </c>
      <c r="F699" s="8" t="s">
        <v>50</v>
      </c>
      <c r="G699" s="8" t="n">
        <v>5</v>
      </c>
      <c r="H699" s="9" t="n">
        <v>22.99</v>
      </c>
      <c r="I699" s="9" t="n">
        <v>8</v>
      </c>
      <c r="J699" s="10" t="n">
        <v>0.2</v>
      </c>
      <c r="K699" s="9" t="n">
        <f aca="false">G699*H699*(1-J699)</f>
        <v>91.96</v>
      </c>
      <c r="L699" s="9" t="n">
        <f aca="false">G699*I699</f>
        <v>40</v>
      </c>
      <c r="M699" s="9" t="n">
        <f aca="false">K699-L699</f>
        <v>51.96</v>
      </c>
      <c r="N699" s="11" t="n">
        <f aca="false">IF(K699=0,0,M699/K699)</f>
        <v>0.565028273162245</v>
      </c>
      <c r="O699" s="9" t="n">
        <f aca="false">(G699*H699)-K699</f>
        <v>22.99</v>
      </c>
      <c r="P699" s="8" t="s">
        <v>21</v>
      </c>
    </row>
    <row r="700" customFormat="false" ht="15" hidden="false" customHeight="false" outlineLevel="0" collapsed="false">
      <c r="A700" s="2" t="n">
        <v>46114</v>
      </c>
      <c r="B700" s="3" t="s">
        <v>27</v>
      </c>
      <c r="C700" s="3" t="s">
        <v>28</v>
      </c>
      <c r="D700" s="3" t="s">
        <v>84</v>
      </c>
      <c r="E700" s="3" t="s">
        <v>85</v>
      </c>
      <c r="F700" s="3" t="s">
        <v>20</v>
      </c>
      <c r="G700" s="3" t="n">
        <v>2</v>
      </c>
      <c r="H700" s="4" t="n">
        <v>34.99</v>
      </c>
      <c r="I700" s="4" t="n">
        <v>13</v>
      </c>
      <c r="J700" s="5" t="n">
        <v>0</v>
      </c>
      <c r="K700" s="4" t="n">
        <f aca="false">G700*H700*(1-J700)</f>
        <v>69.98</v>
      </c>
      <c r="L700" s="4" t="n">
        <f aca="false">G700*I700</f>
        <v>26</v>
      </c>
      <c r="M700" s="4" t="n">
        <f aca="false">K700-L700</f>
        <v>43.98</v>
      </c>
      <c r="N700" s="6" t="n">
        <f aca="false">IF(K700=0,0,M700/K700)</f>
        <v>0.628465275793084</v>
      </c>
      <c r="O700" s="4" t="n">
        <f aca="false">(G700*H700)-K700</f>
        <v>0</v>
      </c>
      <c r="P700" s="3" t="s">
        <v>21</v>
      </c>
    </row>
    <row r="701" customFormat="false" ht="15" hidden="false" customHeight="false" outlineLevel="0" collapsed="false">
      <c r="A701" s="7" t="n">
        <v>46035</v>
      </c>
      <c r="B701" s="8" t="s">
        <v>37</v>
      </c>
      <c r="C701" s="8" t="s">
        <v>17</v>
      </c>
      <c r="D701" s="8" t="s">
        <v>48</v>
      </c>
      <c r="E701" s="8" t="s">
        <v>49</v>
      </c>
      <c r="F701" s="8" t="s">
        <v>50</v>
      </c>
      <c r="G701" s="8" t="n">
        <v>16</v>
      </c>
      <c r="H701" s="9" t="n">
        <v>54.99</v>
      </c>
      <c r="I701" s="9" t="n">
        <v>20</v>
      </c>
      <c r="J701" s="10" t="n">
        <v>0.2</v>
      </c>
      <c r="K701" s="9" t="n">
        <f aca="false">G701*H701*(1-J701)</f>
        <v>703.872</v>
      </c>
      <c r="L701" s="9" t="n">
        <f aca="false">G701*I701</f>
        <v>320</v>
      </c>
      <c r="M701" s="9" t="n">
        <f aca="false">K701-L701</f>
        <v>383.872</v>
      </c>
      <c r="N701" s="11" t="n">
        <f aca="false">IF(K701=0,0,M701/K701)</f>
        <v>0.545371885797418</v>
      </c>
      <c r="O701" s="9" t="n">
        <f aca="false">(G701*H701)-K701</f>
        <v>175.968</v>
      </c>
      <c r="P701" s="8" t="s">
        <v>21</v>
      </c>
    </row>
    <row r="702" customFormat="false" ht="15" hidden="false" customHeight="false" outlineLevel="0" collapsed="false">
      <c r="A702" s="2" t="n">
        <v>46124</v>
      </c>
      <c r="B702" s="3" t="s">
        <v>22</v>
      </c>
      <c r="C702" s="3" t="s">
        <v>23</v>
      </c>
      <c r="D702" s="3" t="s">
        <v>32</v>
      </c>
      <c r="E702" s="3" t="s">
        <v>33</v>
      </c>
      <c r="F702" s="3" t="s">
        <v>34</v>
      </c>
      <c r="G702" s="3" t="n">
        <v>27</v>
      </c>
      <c r="H702" s="4" t="n">
        <v>18.99</v>
      </c>
      <c r="I702" s="4" t="n">
        <v>6</v>
      </c>
      <c r="J702" s="5" t="n">
        <v>0.05</v>
      </c>
      <c r="K702" s="4" t="n">
        <f aca="false">G702*H702*(1-J702)</f>
        <v>487.0935</v>
      </c>
      <c r="L702" s="4" t="n">
        <f aca="false">G702*I702</f>
        <v>162</v>
      </c>
      <c r="M702" s="4" t="n">
        <f aca="false">K702-L702</f>
        <v>325.0935</v>
      </c>
      <c r="N702" s="6" t="n">
        <f aca="false">IF(K702=0,0,M702/K702)</f>
        <v>0.667414982955018</v>
      </c>
      <c r="O702" s="4" t="n">
        <f aca="false">(G702*H702)-K702</f>
        <v>25.6365</v>
      </c>
      <c r="P702" s="3" t="s">
        <v>21</v>
      </c>
    </row>
    <row r="703" customFormat="false" ht="15" hidden="false" customHeight="false" outlineLevel="0" collapsed="false">
      <c r="A703" s="7" t="n">
        <v>46028</v>
      </c>
      <c r="B703" s="8" t="s">
        <v>22</v>
      </c>
      <c r="C703" s="8" t="s">
        <v>23</v>
      </c>
      <c r="D703" s="8" t="s">
        <v>90</v>
      </c>
      <c r="E703" s="8" t="s">
        <v>91</v>
      </c>
      <c r="F703" s="8" t="s">
        <v>26</v>
      </c>
      <c r="G703" s="8" t="n">
        <v>22</v>
      </c>
      <c r="H703" s="9" t="n">
        <v>29.99</v>
      </c>
      <c r="I703" s="9" t="n">
        <v>11</v>
      </c>
      <c r="J703" s="10" t="n">
        <v>0</v>
      </c>
      <c r="K703" s="9" t="n">
        <f aca="false">G703*H703*(1-J703)</f>
        <v>659.78</v>
      </c>
      <c r="L703" s="9" t="n">
        <f aca="false">G703*I703</f>
        <v>242</v>
      </c>
      <c r="M703" s="9" t="n">
        <f aca="false">K703-L703</f>
        <v>417.78</v>
      </c>
      <c r="N703" s="11" t="n">
        <f aca="false">IF(K703=0,0,M703/K703)</f>
        <v>0.633211070356786</v>
      </c>
      <c r="O703" s="9" t="n">
        <f aca="false">(G703*H703)-K703</f>
        <v>0</v>
      </c>
      <c r="P703" s="8" t="s">
        <v>21</v>
      </c>
    </row>
    <row r="704" customFormat="false" ht="15" hidden="false" customHeight="false" outlineLevel="0" collapsed="false">
      <c r="A704" s="2" t="n">
        <v>46097</v>
      </c>
      <c r="B704" s="3" t="s">
        <v>41</v>
      </c>
      <c r="C704" s="3" t="s">
        <v>28</v>
      </c>
      <c r="D704" s="3" t="s">
        <v>59</v>
      </c>
      <c r="E704" s="3" t="s">
        <v>60</v>
      </c>
      <c r="F704" s="3" t="s">
        <v>50</v>
      </c>
      <c r="G704" s="3" t="n">
        <v>20</v>
      </c>
      <c r="H704" s="4" t="n">
        <v>24.99</v>
      </c>
      <c r="I704" s="4" t="n">
        <v>8.5</v>
      </c>
      <c r="J704" s="5" t="n">
        <v>0.2</v>
      </c>
      <c r="K704" s="4" t="n">
        <f aca="false">G704*H704*(1-J704)</f>
        <v>399.84</v>
      </c>
      <c r="L704" s="4" t="n">
        <f aca="false">G704*I704</f>
        <v>170</v>
      </c>
      <c r="M704" s="4" t="n">
        <f aca="false">K704-L704</f>
        <v>229.84</v>
      </c>
      <c r="N704" s="6" t="n">
        <f aca="false">IF(K704=0,0,M704/K704)</f>
        <v>0.574829931972789</v>
      </c>
      <c r="O704" s="4" t="n">
        <f aca="false">(G704*H704)-K704</f>
        <v>99.96</v>
      </c>
      <c r="P704" s="3" t="s">
        <v>21</v>
      </c>
    </row>
    <row r="705" customFormat="false" ht="15" hidden="false" customHeight="false" outlineLevel="0" collapsed="false">
      <c r="A705" s="7" t="n">
        <v>46046</v>
      </c>
      <c r="B705" s="8" t="s">
        <v>64</v>
      </c>
      <c r="C705" s="8" t="s">
        <v>65</v>
      </c>
      <c r="D705" s="8" t="s">
        <v>53</v>
      </c>
      <c r="E705" s="8" t="s">
        <v>54</v>
      </c>
      <c r="F705" s="8" t="s">
        <v>50</v>
      </c>
      <c r="G705" s="8" t="n">
        <v>18</v>
      </c>
      <c r="H705" s="9" t="n">
        <v>22.99</v>
      </c>
      <c r="I705" s="9" t="n">
        <v>8</v>
      </c>
      <c r="J705" s="10" t="n">
        <v>0.2</v>
      </c>
      <c r="K705" s="9" t="n">
        <f aca="false">G705*H705*(1-J705)</f>
        <v>331.056</v>
      </c>
      <c r="L705" s="9" t="n">
        <f aca="false">G705*I705</f>
        <v>144</v>
      </c>
      <c r="M705" s="9" t="n">
        <f aca="false">K705-L705</f>
        <v>187.056</v>
      </c>
      <c r="N705" s="11" t="n">
        <f aca="false">IF(K705=0,0,M705/K705)</f>
        <v>0.565028273162245</v>
      </c>
      <c r="O705" s="9" t="n">
        <f aca="false">(G705*H705)-K705</f>
        <v>82.764</v>
      </c>
      <c r="P705" s="8" t="s">
        <v>21</v>
      </c>
    </row>
    <row r="706" customFormat="false" ht="15" hidden="false" customHeight="false" outlineLevel="0" collapsed="false">
      <c r="A706" s="2" t="n">
        <v>46111</v>
      </c>
      <c r="B706" s="3" t="s">
        <v>41</v>
      </c>
      <c r="C706" s="3" t="s">
        <v>28</v>
      </c>
      <c r="D706" s="3" t="s">
        <v>82</v>
      </c>
      <c r="E706" s="3" t="s">
        <v>83</v>
      </c>
      <c r="F706" s="3" t="s">
        <v>26</v>
      </c>
      <c r="G706" s="3" t="n">
        <v>22</v>
      </c>
      <c r="H706" s="4" t="n">
        <v>44.99</v>
      </c>
      <c r="I706" s="4" t="n">
        <v>18</v>
      </c>
      <c r="J706" s="5" t="n">
        <v>0.25</v>
      </c>
      <c r="K706" s="4" t="n">
        <f aca="false">G706*H706*(1-J706)</f>
        <v>742.335</v>
      </c>
      <c r="L706" s="4" t="n">
        <f aca="false">G706*I706</f>
        <v>396</v>
      </c>
      <c r="M706" s="4" t="n">
        <f aca="false">K706-L706</f>
        <v>346.335</v>
      </c>
      <c r="N706" s="6" t="n">
        <f aca="false">IF(K706=0,0,M706/K706)</f>
        <v>0.466548121804846</v>
      </c>
      <c r="O706" s="4" t="n">
        <f aca="false">(G706*H706)-K706</f>
        <v>247.445</v>
      </c>
      <c r="P706" s="3" t="s">
        <v>21</v>
      </c>
    </row>
    <row r="707" customFormat="false" ht="15" hidden="false" customHeight="false" outlineLevel="0" collapsed="false">
      <c r="A707" s="7" t="n">
        <v>46076</v>
      </c>
      <c r="B707" s="8" t="s">
        <v>31</v>
      </c>
      <c r="C707" s="8" t="s">
        <v>23</v>
      </c>
      <c r="D707" s="8" t="s">
        <v>82</v>
      </c>
      <c r="E707" s="8" t="s">
        <v>83</v>
      </c>
      <c r="F707" s="8" t="s">
        <v>26</v>
      </c>
      <c r="G707" s="8" t="n">
        <v>7</v>
      </c>
      <c r="H707" s="9" t="n">
        <v>44.99</v>
      </c>
      <c r="I707" s="9" t="n">
        <v>18</v>
      </c>
      <c r="J707" s="10" t="n">
        <v>0</v>
      </c>
      <c r="K707" s="9" t="n">
        <f aca="false">G707*H707*(1-J707)</f>
        <v>314.93</v>
      </c>
      <c r="L707" s="9" t="n">
        <f aca="false">G707*I707</f>
        <v>126</v>
      </c>
      <c r="M707" s="9" t="n">
        <f aca="false">K707-L707</f>
        <v>188.93</v>
      </c>
      <c r="N707" s="11" t="n">
        <f aca="false">IF(K707=0,0,M707/K707)</f>
        <v>0.599911091353634</v>
      </c>
      <c r="O707" s="9" t="n">
        <f aca="false">(G707*H707)-K707</f>
        <v>0</v>
      </c>
      <c r="P707" s="8" t="s">
        <v>21</v>
      </c>
    </row>
    <row r="708" customFormat="false" ht="15" hidden="false" customHeight="false" outlineLevel="0" collapsed="false">
      <c r="A708" s="2" t="n">
        <v>46101</v>
      </c>
      <c r="B708" s="3" t="s">
        <v>27</v>
      </c>
      <c r="C708" s="3" t="s">
        <v>28</v>
      </c>
      <c r="D708" s="3" t="s">
        <v>80</v>
      </c>
      <c r="E708" s="3" t="s">
        <v>81</v>
      </c>
      <c r="F708" s="3" t="s">
        <v>57</v>
      </c>
      <c r="G708" s="3" t="n">
        <v>19</v>
      </c>
      <c r="H708" s="4" t="n">
        <v>17.99</v>
      </c>
      <c r="I708" s="4" t="n">
        <v>6.5</v>
      </c>
      <c r="J708" s="5" t="n">
        <v>0.25</v>
      </c>
      <c r="K708" s="4" t="n">
        <f aca="false">G708*H708*(1-J708)</f>
        <v>256.3575</v>
      </c>
      <c r="L708" s="4" t="n">
        <f aca="false">G708*I708</f>
        <v>123.5</v>
      </c>
      <c r="M708" s="4" t="n">
        <f aca="false">K708-L708</f>
        <v>132.8575</v>
      </c>
      <c r="N708" s="6" t="n">
        <f aca="false">IF(K708=0,0,M708/K708)</f>
        <v>0.518250880118584</v>
      </c>
      <c r="O708" s="4" t="n">
        <f aca="false">(G708*H708)-K708</f>
        <v>85.4525</v>
      </c>
      <c r="P708" s="3" t="s">
        <v>21</v>
      </c>
    </row>
    <row r="709" customFormat="false" ht="15" hidden="false" customHeight="false" outlineLevel="0" collapsed="false">
      <c r="A709" s="7" t="n">
        <v>46067</v>
      </c>
      <c r="B709" s="8" t="s">
        <v>27</v>
      </c>
      <c r="C709" s="8" t="s">
        <v>28</v>
      </c>
      <c r="D709" s="8" t="s">
        <v>61</v>
      </c>
      <c r="E709" s="8" t="s">
        <v>62</v>
      </c>
      <c r="F709" s="8" t="s">
        <v>34</v>
      </c>
      <c r="G709" s="8" t="n">
        <v>12</v>
      </c>
      <c r="H709" s="9" t="n">
        <v>12.99</v>
      </c>
      <c r="I709" s="9" t="n">
        <v>4.5</v>
      </c>
      <c r="J709" s="10" t="n">
        <v>0</v>
      </c>
      <c r="K709" s="9" t="n">
        <f aca="false">G709*H709*(1-J709)</f>
        <v>155.88</v>
      </c>
      <c r="L709" s="9" t="n">
        <f aca="false">G709*I709</f>
        <v>54</v>
      </c>
      <c r="M709" s="9" t="n">
        <f aca="false">K709-L709</f>
        <v>101.88</v>
      </c>
      <c r="N709" s="11" t="n">
        <f aca="false">IF(K709=0,0,M709/K709)</f>
        <v>0.653579676674365</v>
      </c>
      <c r="O709" s="9" t="n">
        <f aca="false">(G709*H709)-K709</f>
        <v>0</v>
      </c>
      <c r="P709" s="8" t="s">
        <v>21</v>
      </c>
    </row>
    <row r="710" customFormat="false" ht="15" hidden="false" customHeight="false" outlineLevel="0" collapsed="false">
      <c r="A710" s="2" t="n">
        <v>46072</v>
      </c>
      <c r="B710" s="3" t="s">
        <v>41</v>
      </c>
      <c r="C710" s="3" t="s">
        <v>28</v>
      </c>
      <c r="D710" s="3" t="s">
        <v>44</v>
      </c>
      <c r="E710" s="3" t="s">
        <v>45</v>
      </c>
      <c r="F710" s="3" t="s">
        <v>40</v>
      </c>
      <c r="G710" s="3" t="n">
        <v>14</v>
      </c>
      <c r="H710" s="4" t="n">
        <v>29.99</v>
      </c>
      <c r="I710" s="4" t="n">
        <v>11</v>
      </c>
      <c r="J710" s="5" t="n">
        <v>0</v>
      </c>
      <c r="K710" s="4" t="n">
        <f aca="false">G710*H710*(1-J710)</f>
        <v>419.86</v>
      </c>
      <c r="L710" s="4" t="n">
        <f aca="false">G710*I710</f>
        <v>154</v>
      </c>
      <c r="M710" s="4" t="n">
        <f aca="false">K710-L710</f>
        <v>265.86</v>
      </c>
      <c r="N710" s="6" t="n">
        <f aca="false">IF(K710=0,0,M710/K710)</f>
        <v>0.633211070356786</v>
      </c>
      <c r="O710" s="4" t="n">
        <f aca="false">(G710*H710)-K710</f>
        <v>0</v>
      </c>
      <c r="P710" s="3" t="s">
        <v>21</v>
      </c>
    </row>
    <row r="711" customFormat="false" ht="15" hidden="false" customHeight="false" outlineLevel="0" collapsed="false">
      <c r="A711" s="7" t="n">
        <v>46099</v>
      </c>
      <c r="B711" s="8" t="s">
        <v>37</v>
      </c>
      <c r="C711" s="8" t="s">
        <v>17</v>
      </c>
      <c r="D711" s="8" t="s">
        <v>44</v>
      </c>
      <c r="E711" s="8" t="s">
        <v>45</v>
      </c>
      <c r="F711" s="8" t="s">
        <v>40</v>
      </c>
      <c r="G711" s="8" t="n">
        <v>5</v>
      </c>
      <c r="H711" s="9" t="n">
        <v>29.99</v>
      </c>
      <c r="I711" s="9" t="n">
        <v>11</v>
      </c>
      <c r="J711" s="10" t="n">
        <v>0.5</v>
      </c>
      <c r="K711" s="9" t="n">
        <f aca="false">G711*H711*(1-J711)</f>
        <v>74.975</v>
      </c>
      <c r="L711" s="9" t="n">
        <f aca="false">G711*I711</f>
        <v>55</v>
      </c>
      <c r="M711" s="9" t="n">
        <f aca="false">K711-L711</f>
        <v>19.975</v>
      </c>
      <c r="N711" s="11" t="n">
        <f aca="false">IF(K711=0,0,M711/K711)</f>
        <v>0.266422140713571</v>
      </c>
      <c r="O711" s="9" t="n">
        <f aca="false">(G711*H711)-K711</f>
        <v>74.975</v>
      </c>
      <c r="P711" s="14" t="s">
        <v>97</v>
      </c>
    </row>
    <row r="712" customFormat="false" ht="15" hidden="false" customHeight="false" outlineLevel="0" collapsed="false">
      <c r="A712" s="2" t="n">
        <v>46056</v>
      </c>
      <c r="B712" s="3" t="s">
        <v>37</v>
      </c>
      <c r="C712" s="3" t="s">
        <v>17</v>
      </c>
      <c r="D712" s="3" t="s">
        <v>82</v>
      </c>
      <c r="E712" s="3" t="s">
        <v>83</v>
      </c>
      <c r="F712" s="3" t="s">
        <v>26</v>
      </c>
      <c r="G712" s="3" t="n">
        <v>7</v>
      </c>
      <c r="H712" s="4" t="n">
        <v>44.99</v>
      </c>
      <c r="I712" s="4" t="n">
        <v>18</v>
      </c>
      <c r="J712" s="5" t="n">
        <v>0</v>
      </c>
      <c r="K712" s="4" t="n">
        <f aca="false">G712*H712*(1-J712)</f>
        <v>314.93</v>
      </c>
      <c r="L712" s="4" t="n">
        <f aca="false">G712*I712</f>
        <v>126</v>
      </c>
      <c r="M712" s="4" t="n">
        <f aca="false">K712-L712</f>
        <v>188.93</v>
      </c>
      <c r="N712" s="6" t="n">
        <f aca="false">IF(K712=0,0,M712/K712)</f>
        <v>0.599911091353634</v>
      </c>
      <c r="O712" s="4" t="n">
        <f aca="false">(G712*H712)-K712</f>
        <v>0</v>
      </c>
      <c r="P712" s="3" t="s">
        <v>21</v>
      </c>
    </row>
    <row r="713" customFormat="false" ht="15" hidden="false" customHeight="false" outlineLevel="0" collapsed="false">
      <c r="A713" s="7" t="n">
        <v>46039</v>
      </c>
      <c r="B713" s="8" t="s">
        <v>22</v>
      </c>
      <c r="C713" s="8" t="s">
        <v>23</v>
      </c>
      <c r="D713" s="8" t="s">
        <v>95</v>
      </c>
      <c r="E713" s="8" t="s">
        <v>96</v>
      </c>
      <c r="F713" s="8" t="s">
        <v>50</v>
      </c>
      <c r="G713" s="8" t="n">
        <v>23</v>
      </c>
      <c r="H713" s="9" t="n">
        <v>34.99</v>
      </c>
      <c r="I713" s="9" t="n">
        <v>12</v>
      </c>
      <c r="J713" s="10" t="n">
        <v>0</v>
      </c>
      <c r="K713" s="9" t="n">
        <f aca="false">G713*H713*(1-J713)</f>
        <v>804.77</v>
      </c>
      <c r="L713" s="9" t="n">
        <f aca="false">G713*I713</f>
        <v>276</v>
      </c>
      <c r="M713" s="9" t="n">
        <f aca="false">K713-L713</f>
        <v>528.77</v>
      </c>
      <c r="N713" s="11" t="n">
        <f aca="false">IF(K713=0,0,M713/K713)</f>
        <v>0.657044869962847</v>
      </c>
      <c r="O713" s="9" t="n">
        <f aca="false">(G713*H713)-K713</f>
        <v>0</v>
      </c>
      <c r="P713" s="8" t="s">
        <v>21</v>
      </c>
    </row>
    <row r="714" customFormat="false" ht="15" hidden="false" customHeight="false" outlineLevel="0" collapsed="false">
      <c r="A714" s="2" t="n">
        <v>46117</v>
      </c>
      <c r="B714" s="3" t="s">
        <v>27</v>
      </c>
      <c r="C714" s="3" t="s">
        <v>28</v>
      </c>
      <c r="D714" s="3" t="s">
        <v>76</v>
      </c>
      <c r="E714" s="3" t="s">
        <v>77</v>
      </c>
      <c r="F714" s="3" t="s">
        <v>34</v>
      </c>
      <c r="G714" s="3" t="n">
        <v>27</v>
      </c>
      <c r="H714" s="4" t="n">
        <v>49.99</v>
      </c>
      <c r="I714" s="4" t="n">
        <v>14</v>
      </c>
      <c r="J714" s="5" t="n">
        <v>0.15</v>
      </c>
      <c r="K714" s="4" t="n">
        <f aca="false">G714*H714*(1-J714)</f>
        <v>1147.2705</v>
      </c>
      <c r="L714" s="4" t="n">
        <f aca="false">G714*I714</f>
        <v>378</v>
      </c>
      <c r="M714" s="4" t="n">
        <f aca="false">K714-L714</f>
        <v>769.2705</v>
      </c>
      <c r="N714" s="6" t="n">
        <f aca="false">IF(K714=0,0,M714/K714)</f>
        <v>0.67052233976207</v>
      </c>
      <c r="O714" s="4" t="n">
        <f aca="false">(G714*H714)-K714</f>
        <v>202.4595</v>
      </c>
      <c r="P714" s="3" t="s">
        <v>21</v>
      </c>
    </row>
    <row r="715" customFormat="false" ht="15" hidden="false" customHeight="false" outlineLevel="0" collapsed="false">
      <c r="A715" s="7" t="n">
        <v>46095</v>
      </c>
      <c r="B715" s="8" t="s">
        <v>31</v>
      </c>
      <c r="C715" s="8" t="s">
        <v>23</v>
      </c>
      <c r="D715" s="8" t="s">
        <v>74</v>
      </c>
      <c r="E715" s="8" t="s">
        <v>75</v>
      </c>
      <c r="F715" s="8" t="s">
        <v>40</v>
      </c>
      <c r="G715" s="8" t="n">
        <v>25</v>
      </c>
      <c r="H715" s="9" t="n">
        <v>29.99</v>
      </c>
      <c r="I715" s="9" t="n">
        <v>13</v>
      </c>
      <c r="J715" s="10" t="n">
        <v>0</v>
      </c>
      <c r="K715" s="9" t="n">
        <f aca="false">G715*H715*(1-J715)</f>
        <v>749.75</v>
      </c>
      <c r="L715" s="9" t="n">
        <f aca="false">G715*I715</f>
        <v>325</v>
      </c>
      <c r="M715" s="9" t="n">
        <f aca="false">K715-L715</f>
        <v>424.75</v>
      </c>
      <c r="N715" s="11" t="n">
        <f aca="false">IF(K715=0,0,M715/K715)</f>
        <v>0.566522174058019</v>
      </c>
      <c r="O715" s="9" t="n">
        <f aca="false">(G715*H715)-K715</f>
        <v>0</v>
      </c>
      <c r="P715" s="8" t="s">
        <v>21</v>
      </c>
    </row>
    <row r="716" customFormat="false" ht="15" hidden="false" customHeight="false" outlineLevel="0" collapsed="false">
      <c r="A716" s="2" t="n">
        <v>46028</v>
      </c>
      <c r="B716" s="3" t="s">
        <v>64</v>
      </c>
      <c r="C716" s="3" t="s">
        <v>65</v>
      </c>
      <c r="D716" s="3" t="s">
        <v>93</v>
      </c>
      <c r="E716" s="3" t="s">
        <v>94</v>
      </c>
      <c r="F716" s="3" t="s">
        <v>34</v>
      </c>
      <c r="G716" s="3" t="n">
        <v>11</v>
      </c>
      <c r="H716" s="4" t="n">
        <v>29.99</v>
      </c>
      <c r="I716" s="4" t="n">
        <v>9</v>
      </c>
      <c r="J716" s="5" t="n">
        <v>0.25</v>
      </c>
      <c r="K716" s="4" t="n">
        <f aca="false">G716*H716*(1-J716)</f>
        <v>247.4175</v>
      </c>
      <c r="L716" s="4" t="n">
        <f aca="false">G716*I716</f>
        <v>99</v>
      </c>
      <c r="M716" s="4" t="n">
        <f aca="false">K716-L716</f>
        <v>148.4175</v>
      </c>
      <c r="N716" s="6" t="n">
        <f aca="false">IF(K716=0,0,M716/K716)</f>
        <v>0.599866622207403</v>
      </c>
      <c r="O716" s="4" t="n">
        <f aca="false">(G716*H716)-K716</f>
        <v>82.4725</v>
      </c>
      <c r="P716" s="3" t="s">
        <v>21</v>
      </c>
    </row>
    <row r="717" customFormat="false" ht="15" hidden="false" customHeight="false" outlineLevel="0" collapsed="false">
      <c r="A717" s="7" t="n">
        <v>46088</v>
      </c>
      <c r="B717" s="8" t="s">
        <v>37</v>
      </c>
      <c r="C717" s="8" t="s">
        <v>17</v>
      </c>
      <c r="D717" s="8" t="s">
        <v>66</v>
      </c>
      <c r="E717" s="8" t="s">
        <v>67</v>
      </c>
      <c r="F717" s="8" t="s">
        <v>57</v>
      </c>
      <c r="G717" s="8" t="n">
        <v>7</v>
      </c>
      <c r="H717" s="9" t="n">
        <v>17.99</v>
      </c>
      <c r="I717" s="9" t="n">
        <v>5.5</v>
      </c>
      <c r="J717" s="10" t="n">
        <v>0</v>
      </c>
      <c r="K717" s="9" t="n">
        <f aca="false">G717*H717*(1-J717)</f>
        <v>125.93</v>
      </c>
      <c r="L717" s="9" t="n">
        <f aca="false">G717*I717</f>
        <v>38.5</v>
      </c>
      <c r="M717" s="9" t="n">
        <f aca="false">K717-L717</f>
        <v>87.43</v>
      </c>
      <c r="N717" s="11" t="n">
        <f aca="false">IF(K717=0,0,M717/K717)</f>
        <v>0.694274596998332</v>
      </c>
      <c r="O717" s="9" t="n">
        <f aca="false">(G717*H717)-K717</f>
        <v>0</v>
      </c>
      <c r="P717" s="12" t="s">
        <v>63</v>
      </c>
    </row>
    <row r="718" customFormat="false" ht="15" hidden="false" customHeight="false" outlineLevel="0" collapsed="false">
      <c r="A718" s="2" t="n">
        <v>46111</v>
      </c>
      <c r="B718" s="3" t="s">
        <v>16</v>
      </c>
      <c r="C718" s="3" t="s">
        <v>17</v>
      </c>
      <c r="D718" s="3" t="s">
        <v>93</v>
      </c>
      <c r="E718" s="3" t="s">
        <v>94</v>
      </c>
      <c r="F718" s="3" t="s">
        <v>34</v>
      </c>
      <c r="G718" s="3" t="n">
        <v>27</v>
      </c>
      <c r="H718" s="4" t="n">
        <v>29.99</v>
      </c>
      <c r="I718" s="4" t="n">
        <v>9</v>
      </c>
      <c r="J718" s="5" t="n">
        <v>0</v>
      </c>
      <c r="K718" s="4" t="n">
        <f aca="false">G718*H718*(1-J718)</f>
        <v>809.73</v>
      </c>
      <c r="L718" s="4" t="n">
        <f aca="false">G718*I718</f>
        <v>243</v>
      </c>
      <c r="M718" s="4" t="n">
        <f aca="false">K718-L718</f>
        <v>566.73</v>
      </c>
      <c r="N718" s="6" t="n">
        <f aca="false">IF(K718=0,0,M718/K718)</f>
        <v>0.699899966655552</v>
      </c>
      <c r="O718" s="4" t="n">
        <f aca="false">(G718*H718)-K718</f>
        <v>0</v>
      </c>
      <c r="P718" s="3" t="s">
        <v>21</v>
      </c>
    </row>
    <row r="719" customFormat="false" ht="15" hidden="false" customHeight="false" outlineLevel="0" collapsed="false">
      <c r="A719" s="7" t="n">
        <v>46102</v>
      </c>
      <c r="B719" s="8" t="s">
        <v>16</v>
      </c>
      <c r="C719" s="8" t="s">
        <v>17</v>
      </c>
      <c r="D719" s="8" t="s">
        <v>61</v>
      </c>
      <c r="E719" s="8" t="s">
        <v>62</v>
      </c>
      <c r="F719" s="8" t="s">
        <v>34</v>
      </c>
      <c r="G719" s="8" t="n">
        <v>18</v>
      </c>
      <c r="H719" s="9" t="n">
        <v>12.99</v>
      </c>
      <c r="I719" s="9" t="n">
        <v>4.5</v>
      </c>
      <c r="J719" s="10" t="n">
        <v>0.05</v>
      </c>
      <c r="K719" s="9" t="n">
        <f aca="false">G719*H719*(1-J719)</f>
        <v>222.129</v>
      </c>
      <c r="L719" s="9" t="n">
        <f aca="false">G719*I719</f>
        <v>81</v>
      </c>
      <c r="M719" s="9" t="n">
        <f aca="false">K719-L719</f>
        <v>141.129</v>
      </c>
      <c r="N719" s="11" t="n">
        <f aca="false">IF(K719=0,0,M719/K719)</f>
        <v>0.635347028078279</v>
      </c>
      <c r="O719" s="9" t="n">
        <f aca="false">(G719*H719)-K719</f>
        <v>11.691</v>
      </c>
      <c r="P719" s="8" t="s">
        <v>21</v>
      </c>
    </row>
    <row r="720" customFormat="false" ht="15" hidden="false" customHeight="false" outlineLevel="0" collapsed="false">
      <c r="A720" s="2" t="n">
        <v>46055</v>
      </c>
      <c r="B720" s="3" t="s">
        <v>37</v>
      </c>
      <c r="C720" s="3" t="s">
        <v>17</v>
      </c>
      <c r="D720" s="3" t="s">
        <v>78</v>
      </c>
      <c r="E720" s="3" t="s">
        <v>79</v>
      </c>
      <c r="F720" s="3" t="s">
        <v>20</v>
      </c>
      <c r="G720" s="3" t="n">
        <v>1</v>
      </c>
      <c r="H720" s="4" t="n">
        <v>39.99</v>
      </c>
      <c r="I720" s="4" t="n">
        <v>16</v>
      </c>
      <c r="J720" s="5" t="n">
        <v>0.25</v>
      </c>
      <c r="K720" s="4" t="n">
        <f aca="false">G720*H720*(1-J720)</f>
        <v>29.9925</v>
      </c>
      <c r="L720" s="4" t="n">
        <f aca="false">G720*I720</f>
        <v>16</v>
      </c>
      <c r="M720" s="4" t="n">
        <f aca="false">K720-L720</f>
        <v>13.9925</v>
      </c>
      <c r="N720" s="6" t="n">
        <f aca="false">IF(K720=0,0,M720/K720)</f>
        <v>0.466533299991665</v>
      </c>
      <c r="O720" s="4" t="n">
        <f aca="false">(G720*H720)-K720</f>
        <v>9.9975</v>
      </c>
      <c r="P720" s="3" t="s">
        <v>21</v>
      </c>
    </row>
    <row r="721" customFormat="false" ht="15" hidden="false" customHeight="false" outlineLevel="0" collapsed="false">
      <c r="A721" s="7" t="n">
        <v>46050</v>
      </c>
      <c r="B721" s="8" t="s">
        <v>16</v>
      </c>
      <c r="C721" s="8" t="s">
        <v>17</v>
      </c>
      <c r="D721" s="8" t="s">
        <v>51</v>
      </c>
      <c r="E721" s="8" t="s">
        <v>52</v>
      </c>
      <c r="F721" s="8" t="s">
        <v>50</v>
      </c>
      <c r="G721" s="8" t="n">
        <v>10</v>
      </c>
      <c r="H721" s="9" t="n">
        <v>19.99</v>
      </c>
      <c r="I721" s="9" t="n">
        <v>7</v>
      </c>
      <c r="J721" s="10" t="n">
        <v>0</v>
      </c>
      <c r="K721" s="9" t="n">
        <f aca="false">G721*H721*(1-J721)</f>
        <v>199.9</v>
      </c>
      <c r="L721" s="9" t="n">
        <f aca="false">G721*I721</f>
        <v>70</v>
      </c>
      <c r="M721" s="9" t="n">
        <f aca="false">K721-L721</f>
        <v>129.9</v>
      </c>
      <c r="N721" s="11" t="n">
        <f aca="false">IF(K721=0,0,M721/K721)</f>
        <v>0.649824912456228</v>
      </c>
      <c r="O721" s="9" t="n">
        <f aca="false">(G721*H721)-K721</f>
        <v>0</v>
      </c>
      <c r="P721" s="8" t="s">
        <v>21</v>
      </c>
    </row>
    <row r="722" customFormat="false" ht="15" hidden="false" customHeight="false" outlineLevel="0" collapsed="false">
      <c r="A722" s="2" t="n">
        <v>46113</v>
      </c>
      <c r="B722" s="3" t="s">
        <v>58</v>
      </c>
      <c r="C722" s="3" t="s">
        <v>58</v>
      </c>
      <c r="D722" s="3" t="s">
        <v>53</v>
      </c>
      <c r="E722" s="3" t="s">
        <v>54</v>
      </c>
      <c r="F722" s="3" t="s">
        <v>50</v>
      </c>
      <c r="G722" s="3" t="n">
        <v>8</v>
      </c>
      <c r="H722" s="4" t="n">
        <v>22.99</v>
      </c>
      <c r="I722" s="4" t="n">
        <v>8</v>
      </c>
      <c r="J722" s="5" t="n">
        <v>0.45</v>
      </c>
      <c r="K722" s="4" t="n">
        <f aca="false">G722*H722*(1-J722)</f>
        <v>101.156</v>
      </c>
      <c r="L722" s="4" t="n">
        <f aca="false">G722*I722</f>
        <v>64</v>
      </c>
      <c r="M722" s="4" t="n">
        <f aca="false">K722-L722</f>
        <v>37.156</v>
      </c>
      <c r="N722" s="6" t="n">
        <f aca="false">IF(K722=0,0,M722/K722)</f>
        <v>0.367313851872356</v>
      </c>
      <c r="O722" s="4" t="n">
        <f aca="false">(G722*H722)-K722</f>
        <v>82.764</v>
      </c>
      <c r="P722" s="14" t="s">
        <v>97</v>
      </c>
    </row>
    <row r="723" customFormat="false" ht="15" hidden="false" customHeight="false" outlineLevel="0" collapsed="false">
      <c r="A723" s="7" t="n">
        <v>46049</v>
      </c>
      <c r="B723" s="8" t="s">
        <v>41</v>
      </c>
      <c r="C723" s="8" t="s">
        <v>28</v>
      </c>
      <c r="D723" s="8" t="s">
        <v>68</v>
      </c>
      <c r="E723" s="8" t="s">
        <v>69</v>
      </c>
      <c r="F723" s="8" t="s">
        <v>40</v>
      </c>
      <c r="G723" s="8" t="n">
        <v>23</v>
      </c>
      <c r="H723" s="9" t="n">
        <v>24.99</v>
      </c>
      <c r="I723" s="9" t="n">
        <v>9</v>
      </c>
      <c r="J723" s="10" t="n">
        <v>0.25</v>
      </c>
      <c r="K723" s="9" t="n">
        <f aca="false">G723*H723*(1-J723)</f>
        <v>431.0775</v>
      </c>
      <c r="L723" s="9" t="n">
        <f aca="false">G723*I723</f>
        <v>207</v>
      </c>
      <c r="M723" s="9" t="n">
        <f aca="false">K723-L723</f>
        <v>224.0775</v>
      </c>
      <c r="N723" s="11" t="n">
        <f aca="false">IF(K723=0,0,M723/K723)</f>
        <v>0.519807923169268</v>
      </c>
      <c r="O723" s="9" t="n">
        <f aca="false">(G723*H723)-K723</f>
        <v>143.6925</v>
      </c>
      <c r="P723" s="8" t="s">
        <v>21</v>
      </c>
    </row>
    <row r="724" customFormat="false" ht="15" hidden="false" customHeight="false" outlineLevel="0" collapsed="false">
      <c r="A724" s="2" t="n">
        <v>46079</v>
      </c>
      <c r="B724" s="3" t="s">
        <v>64</v>
      </c>
      <c r="C724" s="3" t="s">
        <v>65</v>
      </c>
      <c r="D724" s="3" t="s">
        <v>66</v>
      </c>
      <c r="E724" s="3" t="s">
        <v>67</v>
      </c>
      <c r="F724" s="3" t="s">
        <v>57</v>
      </c>
      <c r="G724" s="3" t="n">
        <v>20</v>
      </c>
      <c r="H724" s="4" t="n">
        <v>14.99</v>
      </c>
      <c r="I724" s="4" t="n">
        <v>5.5</v>
      </c>
      <c r="J724" s="5" t="n">
        <v>0.15</v>
      </c>
      <c r="K724" s="4" t="n">
        <f aca="false">G724*H724*(1-J724)</f>
        <v>254.83</v>
      </c>
      <c r="L724" s="4" t="n">
        <f aca="false">G724*I724</f>
        <v>110</v>
      </c>
      <c r="M724" s="4" t="n">
        <f aca="false">K724-L724</f>
        <v>144.83</v>
      </c>
      <c r="N724" s="6" t="n">
        <f aca="false">IF(K724=0,0,M724/K724)</f>
        <v>0.568339677432014</v>
      </c>
      <c r="O724" s="4" t="n">
        <f aca="false">(G724*H724)-K724</f>
        <v>44.97</v>
      </c>
      <c r="P724" s="3" t="s">
        <v>21</v>
      </c>
    </row>
    <row r="725" customFormat="false" ht="15" hidden="false" customHeight="false" outlineLevel="0" collapsed="false">
      <c r="A725" s="7" t="n">
        <v>46044</v>
      </c>
      <c r="B725" s="8" t="s">
        <v>22</v>
      </c>
      <c r="C725" s="8" t="s">
        <v>23</v>
      </c>
      <c r="D725" s="8" t="s">
        <v>42</v>
      </c>
      <c r="E725" s="8" t="s">
        <v>43</v>
      </c>
      <c r="F725" s="8" t="s">
        <v>34</v>
      </c>
      <c r="G725" s="8" t="n">
        <v>27</v>
      </c>
      <c r="H725" s="9" t="n">
        <v>11.99</v>
      </c>
      <c r="I725" s="9" t="n">
        <v>3.5</v>
      </c>
      <c r="J725" s="10" t="n">
        <v>0</v>
      </c>
      <c r="K725" s="9" t="n">
        <f aca="false">G725*H725*(1-J725)</f>
        <v>323.73</v>
      </c>
      <c r="L725" s="9" t="n">
        <f aca="false">G725*I725</f>
        <v>94.5</v>
      </c>
      <c r="M725" s="9" t="n">
        <f aca="false">K725-L725</f>
        <v>229.23</v>
      </c>
      <c r="N725" s="11" t="n">
        <f aca="false">IF(K725=0,0,M725/K725)</f>
        <v>0.708090075062552</v>
      </c>
      <c r="O725" s="9" t="n">
        <f aca="false">(G725*H725)-K725</f>
        <v>0</v>
      </c>
      <c r="P725" s="8" t="s">
        <v>21</v>
      </c>
    </row>
    <row r="726" customFormat="false" ht="15" hidden="false" customHeight="false" outlineLevel="0" collapsed="false">
      <c r="A726" s="2" t="n">
        <v>46123</v>
      </c>
      <c r="B726" s="3" t="s">
        <v>41</v>
      </c>
      <c r="C726" s="3" t="s">
        <v>28</v>
      </c>
      <c r="D726" s="3" t="s">
        <v>86</v>
      </c>
      <c r="E726" s="3" t="s">
        <v>87</v>
      </c>
      <c r="F726" s="3" t="s">
        <v>40</v>
      </c>
      <c r="G726" s="3" t="n">
        <v>22</v>
      </c>
      <c r="H726" s="4" t="n">
        <v>16.99</v>
      </c>
      <c r="I726" s="4" t="n">
        <v>5.5</v>
      </c>
      <c r="J726" s="5" t="n">
        <v>0</v>
      </c>
      <c r="K726" s="4" t="n">
        <f aca="false">G726*H726*(1-J726)</f>
        <v>373.78</v>
      </c>
      <c r="L726" s="4" t="n">
        <f aca="false">G726*I726</f>
        <v>121</v>
      </c>
      <c r="M726" s="4" t="n">
        <f aca="false">K726-L726</f>
        <v>252.78</v>
      </c>
      <c r="N726" s="6" t="n">
        <f aca="false">IF(K726=0,0,M726/K726)</f>
        <v>0.676280164802825</v>
      </c>
      <c r="O726" s="4" t="n">
        <f aca="false">(G726*H726)-K726</f>
        <v>0</v>
      </c>
      <c r="P726" s="3" t="s">
        <v>21</v>
      </c>
    </row>
    <row r="727" customFormat="false" ht="15" hidden="false" customHeight="false" outlineLevel="0" collapsed="false">
      <c r="A727" s="7" t="n">
        <v>46048</v>
      </c>
      <c r="B727" s="8" t="s">
        <v>16</v>
      </c>
      <c r="C727" s="8" t="s">
        <v>17</v>
      </c>
      <c r="D727" s="8" t="s">
        <v>42</v>
      </c>
      <c r="E727" s="8" t="s">
        <v>43</v>
      </c>
      <c r="F727" s="8" t="s">
        <v>34</v>
      </c>
      <c r="G727" s="8" t="n">
        <v>10</v>
      </c>
      <c r="H727" s="9" t="n">
        <v>11.99</v>
      </c>
      <c r="I727" s="9" t="n">
        <v>3.5</v>
      </c>
      <c r="J727" s="10" t="n">
        <v>0.1</v>
      </c>
      <c r="K727" s="9" t="n">
        <f aca="false">G727*H727*(1-J727)</f>
        <v>107.91</v>
      </c>
      <c r="L727" s="9" t="n">
        <f aca="false">G727*I727</f>
        <v>35</v>
      </c>
      <c r="M727" s="9" t="n">
        <f aca="false">K727-L727</f>
        <v>72.91</v>
      </c>
      <c r="N727" s="11" t="n">
        <f aca="false">IF(K727=0,0,M727/K727)</f>
        <v>0.675655638958391</v>
      </c>
      <c r="O727" s="9" t="n">
        <f aca="false">(G727*H727)-K727</f>
        <v>11.99</v>
      </c>
      <c r="P727" s="8" t="s">
        <v>21</v>
      </c>
    </row>
    <row r="728" customFormat="false" ht="15" hidden="false" customHeight="false" outlineLevel="0" collapsed="false">
      <c r="A728" s="2" t="n">
        <v>46073</v>
      </c>
      <c r="B728" s="3" t="s">
        <v>31</v>
      </c>
      <c r="C728" s="3" t="s">
        <v>23</v>
      </c>
      <c r="D728" s="3" t="s">
        <v>55</v>
      </c>
      <c r="E728" s="3" t="s">
        <v>56</v>
      </c>
      <c r="F728" s="3" t="s">
        <v>57</v>
      </c>
      <c r="G728" s="3" t="n">
        <v>23</v>
      </c>
      <c r="H728" s="4" t="n">
        <v>29.99</v>
      </c>
      <c r="I728" s="4" t="n">
        <v>11</v>
      </c>
      <c r="J728" s="5" t="n">
        <v>0.15</v>
      </c>
      <c r="K728" s="4" t="n">
        <f aca="false">G728*H728*(1-J728)</f>
        <v>586.3045</v>
      </c>
      <c r="L728" s="4" t="n">
        <f aca="false">G728*I728</f>
        <v>253</v>
      </c>
      <c r="M728" s="4" t="n">
        <f aca="false">K728-L728</f>
        <v>333.3045</v>
      </c>
      <c r="N728" s="6" t="n">
        <f aca="false">IF(K728=0,0,M728/K728)</f>
        <v>0.568483612184454</v>
      </c>
      <c r="O728" s="4" t="n">
        <f aca="false">(G728*H728)-K728</f>
        <v>103.4655</v>
      </c>
      <c r="P728" s="3" t="s">
        <v>21</v>
      </c>
    </row>
    <row r="729" customFormat="false" ht="15" hidden="false" customHeight="false" outlineLevel="0" collapsed="false">
      <c r="A729" s="7" t="n">
        <v>46073</v>
      </c>
      <c r="B729" s="8" t="s">
        <v>58</v>
      </c>
      <c r="C729" s="8" t="s">
        <v>58</v>
      </c>
      <c r="D729" s="8" t="s">
        <v>70</v>
      </c>
      <c r="E729" s="8" t="s">
        <v>71</v>
      </c>
      <c r="F729" s="8" t="s">
        <v>20</v>
      </c>
      <c r="G729" s="8" t="n">
        <v>9</v>
      </c>
      <c r="H729" s="9" t="n">
        <v>49.99</v>
      </c>
      <c r="I729" s="9" t="n">
        <v>19</v>
      </c>
      <c r="J729" s="10" t="n">
        <v>0</v>
      </c>
      <c r="K729" s="9" t="n">
        <f aca="false">G729*H729*(1-J729)</f>
        <v>449.91</v>
      </c>
      <c r="L729" s="9" t="n">
        <f aca="false">G729*I729</f>
        <v>171</v>
      </c>
      <c r="M729" s="9" t="n">
        <f aca="false">K729-L729</f>
        <v>278.91</v>
      </c>
      <c r="N729" s="11" t="n">
        <f aca="false">IF(K729=0,0,M729/K729)</f>
        <v>0.619923984796959</v>
      </c>
      <c r="O729" s="9" t="n">
        <f aca="false">(G729*H729)-K729</f>
        <v>0</v>
      </c>
      <c r="P729" s="8" t="s">
        <v>21</v>
      </c>
    </row>
    <row r="730" customFormat="false" ht="15" hidden="false" customHeight="false" outlineLevel="0" collapsed="false">
      <c r="A730" s="2" t="n">
        <v>46108</v>
      </c>
      <c r="B730" s="3" t="s">
        <v>37</v>
      </c>
      <c r="C730" s="3" t="s">
        <v>17</v>
      </c>
      <c r="D730" s="3" t="s">
        <v>46</v>
      </c>
      <c r="E730" s="3" t="s">
        <v>47</v>
      </c>
      <c r="F730" s="3" t="s">
        <v>20</v>
      </c>
      <c r="G730" s="3" t="n">
        <v>8</v>
      </c>
      <c r="H730" s="4" t="n">
        <v>44.99</v>
      </c>
      <c r="I730" s="4" t="n">
        <v>18</v>
      </c>
      <c r="J730" s="5" t="n">
        <v>0.3</v>
      </c>
      <c r="K730" s="4" t="n">
        <f aca="false">G730*H730*(1-J730)</f>
        <v>251.944</v>
      </c>
      <c r="L730" s="4" t="n">
        <f aca="false">G730*I730</f>
        <v>144</v>
      </c>
      <c r="M730" s="4" t="n">
        <f aca="false">K730-L730</f>
        <v>107.944</v>
      </c>
      <c r="N730" s="6" t="n">
        <f aca="false">IF(K730=0,0,M730/K730)</f>
        <v>0.428444416219477</v>
      </c>
      <c r="O730" s="4" t="n">
        <f aca="false">(G730*H730)-K730</f>
        <v>107.976</v>
      </c>
      <c r="P730" s="3" t="s">
        <v>21</v>
      </c>
    </row>
    <row r="731" customFormat="false" ht="15" hidden="false" customHeight="false" outlineLevel="0" collapsed="false">
      <c r="A731" s="7" t="n">
        <v>46077</v>
      </c>
      <c r="B731" s="8" t="s">
        <v>64</v>
      </c>
      <c r="C731" s="8" t="s">
        <v>65</v>
      </c>
      <c r="D731" s="8" t="s">
        <v>29</v>
      </c>
      <c r="E731" s="8" t="s">
        <v>30</v>
      </c>
      <c r="F731" s="8" t="s">
        <v>20</v>
      </c>
      <c r="G731" s="8" t="n">
        <v>23</v>
      </c>
      <c r="H731" s="9" t="n">
        <v>89.99</v>
      </c>
      <c r="I731" s="9" t="n">
        <v>42</v>
      </c>
      <c r="J731" s="10" t="n">
        <v>0.25</v>
      </c>
      <c r="K731" s="9" t="n">
        <f aca="false">G731*H731*(1-J731)</f>
        <v>1552.3275</v>
      </c>
      <c r="L731" s="9" t="n">
        <f aca="false">G731*I731</f>
        <v>966</v>
      </c>
      <c r="M731" s="9" t="n">
        <f aca="false">K731-L731</f>
        <v>586.3275</v>
      </c>
      <c r="N731" s="11" t="n">
        <f aca="false">IF(K731=0,0,M731/K731)</f>
        <v>0.377708634292699</v>
      </c>
      <c r="O731" s="9" t="n">
        <f aca="false">(G731*H731)-K731</f>
        <v>517.4425</v>
      </c>
      <c r="P731" s="8" t="s">
        <v>21</v>
      </c>
    </row>
    <row r="732" customFormat="false" ht="15" hidden="false" customHeight="false" outlineLevel="0" collapsed="false">
      <c r="A732" s="2" t="n">
        <v>46131</v>
      </c>
      <c r="B732" s="3" t="s">
        <v>22</v>
      </c>
      <c r="C732" s="3" t="s">
        <v>23</v>
      </c>
      <c r="D732" s="3" t="s">
        <v>44</v>
      </c>
      <c r="E732" s="3" t="s">
        <v>45</v>
      </c>
      <c r="F732" s="3" t="s">
        <v>40</v>
      </c>
      <c r="G732" s="3" t="n">
        <v>28</v>
      </c>
      <c r="H732" s="4" t="n">
        <v>29.99</v>
      </c>
      <c r="I732" s="4" t="n">
        <v>11</v>
      </c>
      <c r="J732" s="5" t="n">
        <v>0.2</v>
      </c>
      <c r="K732" s="4" t="n">
        <f aca="false">G732*H732*(1-J732)</f>
        <v>671.776</v>
      </c>
      <c r="L732" s="4" t="n">
        <f aca="false">G732*I732</f>
        <v>308</v>
      </c>
      <c r="M732" s="4" t="n">
        <f aca="false">K732-L732</f>
        <v>363.776</v>
      </c>
      <c r="N732" s="6" t="n">
        <f aca="false">IF(K732=0,0,M732/K732)</f>
        <v>0.541513837945982</v>
      </c>
      <c r="O732" s="4" t="n">
        <f aca="false">(G732*H732)-K732</f>
        <v>167.944</v>
      </c>
      <c r="P732" s="3" t="s">
        <v>21</v>
      </c>
    </row>
    <row r="733" customFormat="false" ht="15" hidden="false" customHeight="false" outlineLevel="0" collapsed="false">
      <c r="A733" s="7" t="n">
        <v>46023</v>
      </c>
      <c r="B733" s="8" t="s">
        <v>27</v>
      </c>
      <c r="C733" s="8" t="s">
        <v>28</v>
      </c>
      <c r="D733" s="8" t="s">
        <v>59</v>
      </c>
      <c r="E733" s="8" t="s">
        <v>60</v>
      </c>
      <c r="F733" s="8" t="s">
        <v>50</v>
      </c>
      <c r="G733" s="8" t="n">
        <v>8</v>
      </c>
      <c r="H733" s="9" t="n">
        <v>24.99</v>
      </c>
      <c r="I733" s="9" t="n">
        <v>8.5</v>
      </c>
      <c r="J733" s="10" t="n">
        <v>0.15</v>
      </c>
      <c r="K733" s="9" t="n">
        <f aca="false">G733*H733*(1-J733)</f>
        <v>169.932</v>
      </c>
      <c r="L733" s="9" t="n">
        <f aca="false">G733*I733</f>
        <v>68</v>
      </c>
      <c r="M733" s="9" t="n">
        <f aca="false">K733-L733</f>
        <v>101.932</v>
      </c>
      <c r="N733" s="11" t="n">
        <f aca="false">IF(K733=0,0,M733/K733)</f>
        <v>0.59983993597439</v>
      </c>
      <c r="O733" s="9" t="n">
        <f aca="false">(G733*H733)-K733</f>
        <v>29.988</v>
      </c>
      <c r="P733" s="8" t="s">
        <v>21</v>
      </c>
    </row>
    <row r="734" customFormat="false" ht="15" hidden="false" customHeight="false" outlineLevel="0" collapsed="false">
      <c r="A734" s="2" t="n">
        <v>46083</v>
      </c>
      <c r="B734" s="3" t="s">
        <v>31</v>
      </c>
      <c r="C734" s="3" t="s">
        <v>23</v>
      </c>
      <c r="D734" s="3" t="s">
        <v>82</v>
      </c>
      <c r="E734" s="3" t="s">
        <v>83</v>
      </c>
      <c r="F734" s="3" t="s">
        <v>26</v>
      </c>
      <c r="G734" s="3" t="n">
        <v>23</v>
      </c>
      <c r="H734" s="4" t="n">
        <v>44.99</v>
      </c>
      <c r="I734" s="4" t="n">
        <v>18</v>
      </c>
      <c r="J734" s="5" t="n">
        <v>0.3</v>
      </c>
      <c r="K734" s="4" t="n">
        <f aca="false">G734*H734*(1-J734)</f>
        <v>724.339</v>
      </c>
      <c r="L734" s="4" t="n">
        <f aca="false">G734*I734</f>
        <v>414</v>
      </c>
      <c r="M734" s="4" t="n">
        <f aca="false">K734-L734</f>
        <v>310.339</v>
      </c>
      <c r="N734" s="6" t="n">
        <f aca="false">IF(K734=0,0,M734/K734)</f>
        <v>0.428444416219477</v>
      </c>
      <c r="O734" s="4" t="n">
        <f aca="false">(G734*H734)-K734</f>
        <v>310.431</v>
      </c>
      <c r="P734" s="3" t="s">
        <v>21</v>
      </c>
    </row>
    <row r="735" customFormat="false" ht="15" hidden="false" customHeight="false" outlineLevel="0" collapsed="false">
      <c r="A735" s="7" t="n">
        <v>46032</v>
      </c>
      <c r="B735" s="8" t="s">
        <v>22</v>
      </c>
      <c r="C735" s="8" t="s">
        <v>23</v>
      </c>
      <c r="D735" s="8" t="s">
        <v>86</v>
      </c>
      <c r="E735" s="8" t="s">
        <v>87</v>
      </c>
      <c r="F735" s="8" t="s">
        <v>40</v>
      </c>
      <c r="G735" s="8" t="n">
        <v>9</v>
      </c>
      <c r="H735" s="9" t="n">
        <v>16.99</v>
      </c>
      <c r="I735" s="9" t="n">
        <v>5.5</v>
      </c>
      <c r="J735" s="10" t="n">
        <v>0.3</v>
      </c>
      <c r="K735" s="9" t="n">
        <f aca="false">G735*H735*(1-J735)</f>
        <v>107.037</v>
      </c>
      <c r="L735" s="9" t="n">
        <f aca="false">G735*I735</f>
        <v>49.5</v>
      </c>
      <c r="M735" s="9" t="n">
        <f aca="false">K735-L735</f>
        <v>57.537</v>
      </c>
      <c r="N735" s="11" t="n">
        <f aca="false">IF(K735=0,0,M735/K735)</f>
        <v>0.537543092575465</v>
      </c>
      <c r="O735" s="9" t="n">
        <f aca="false">(G735*H735)-K735</f>
        <v>45.873</v>
      </c>
      <c r="P735" s="8" t="s">
        <v>21</v>
      </c>
    </row>
    <row r="736" customFormat="false" ht="15" hidden="false" customHeight="false" outlineLevel="0" collapsed="false">
      <c r="A736" s="2" t="n">
        <v>46059</v>
      </c>
      <c r="B736" s="3" t="s">
        <v>64</v>
      </c>
      <c r="C736" s="3" t="s">
        <v>65</v>
      </c>
      <c r="D736" s="3" t="s">
        <v>74</v>
      </c>
      <c r="E736" s="3" t="s">
        <v>75</v>
      </c>
      <c r="F736" s="3" t="s">
        <v>40</v>
      </c>
      <c r="G736" s="3" t="n">
        <v>1</v>
      </c>
      <c r="H736" s="4" t="n">
        <v>29.99</v>
      </c>
      <c r="I736" s="4" t="n">
        <v>13</v>
      </c>
      <c r="J736" s="5" t="n">
        <v>0.2</v>
      </c>
      <c r="K736" s="4" t="n">
        <f aca="false">G736*H736*(1-J736)</f>
        <v>23.992</v>
      </c>
      <c r="L736" s="4" t="n">
        <f aca="false">G736*I736</f>
        <v>13</v>
      </c>
      <c r="M736" s="4" t="n">
        <f aca="false">K736-L736</f>
        <v>10.992</v>
      </c>
      <c r="N736" s="6" t="n">
        <f aca="false">IF(K736=0,0,M736/K736)</f>
        <v>0.458152717572524</v>
      </c>
      <c r="O736" s="4" t="n">
        <f aca="false">(G736*H736)-K736</f>
        <v>5.998</v>
      </c>
      <c r="P736" s="3" t="s">
        <v>21</v>
      </c>
    </row>
    <row r="737" customFormat="false" ht="15" hidden="false" customHeight="false" outlineLevel="0" collapsed="false">
      <c r="A737" s="7" t="n">
        <v>46064</v>
      </c>
      <c r="B737" s="8" t="s">
        <v>64</v>
      </c>
      <c r="C737" s="8" t="s">
        <v>65</v>
      </c>
      <c r="D737" s="8" t="s">
        <v>95</v>
      </c>
      <c r="E737" s="8" t="s">
        <v>96</v>
      </c>
      <c r="F737" s="8" t="s">
        <v>50</v>
      </c>
      <c r="G737" s="8" t="n">
        <v>20</v>
      </c>
      <c r="H737" s="9" t="n">
        <v>34.99</v>
      </c>
      <c r="I737" s="9" t="n">
        <v>12</v>
      </c>
      <c r="J737" s="10" t="n">
        <v>0</v>
      </c>
      <c r="K737" s="9" t="n">
        <f aca="false">G737*H737*(1-J737)</f>
        <v>699.8</v>
      </c>
      <c r="L737" s="9" t="n">
        <f aca="false">G737*I737</f>
        <v>240</v>
      </c>
      <c r="M737" s="9" t="n">
        <f aca="false">K737-L737</f>
        <v>459.8</v>
      </c>
      <c r="N737" s="11" t="n">
        <f aca="false">IF(K737=0,0,M737/K737)</f>
        <v>0.657044869962847</v>
      </c>
      <c r="O737" s="9" t="n">
        <f aca="false">(G737*H737)-K737</f>
        <v>0</v>
      </c>
      <c r="P737" s="8" t="s">
        <v>21</v>
      </c>
    </row>
    <row r="738" customFormat="false" ht="15" hidden="false" customHeight="false" outlineLevel="0" collapsed="false">
      <c r="A738" s="2" t="n">
        <v>46059</v>
      </c>
      <c r="B738" s="3" t="s">
        <v>41</v>
      </c>
      <c r="C738" s="3" t="s">
        <v>28</v>
      </c>
      <c r="D738" s="3" t="s">
        <v>68</v>
      </c>
      <c r="E738" s="3" t="s">
        <v>69</v>
      </c>
      <c r="F738" s="3" t="s">
        <v>40</v>
      </c>
      <c r="G738" s="3" t="n">
        <v>25</v>
      </c>
      <c r="H738" s="4" t="n">
        <v>24.99</v>
      </c>
      <c r="I738" s="4" t="n">
        <v>9</v>
      </c>
      <c r="J738" s="5" t="n">
        <v>0</v>
      </c>
      <c r="K738" s="4" t="n">
        <f aca="false">G738*H738*(1-J738)</f>
        <v>624.75</v>
      </c>
      <c r="L738" s="4" t="n">
        <f aca="false">G738*I738</f>
        <v>225</v>
      </c>
      <c r="M738" s="4" t="n">
        <f aca="false">K738-L738</f>
        <v>399.75</v>
      </c>
      <c r="N738" s="6" t="n">
        <f aca="false">IF(K738=0,0,M738/K738)</f>
        <v>0.639855942376951</v>
      </c>
      <c r="O738" s="4" t="n">
        <f aca="false">(G738*H738)-K738</f>
        <v>0</v>
      </c>
      <c r="P738" s="3" t="s">
        <v>21</v>
      </c>
    </row>
    <row r="739" customFormat="false" ht="15" hidden="false" customHeight="false" outlineLevel="0" collapsed="false">
      <c r="A739" s="7" t="n">
        <v>46083</v>
      </c>
      <c r="B739" s="8" t="s">
        <v>37</v>
      </c>
      <c r="C739" s="8" t="s">
        <v>17</v>
      </c>
      <c r="D739" s="8" t="s">
        <v>53</v>
      </c>
      <c r="E739" s="8" t="s">
        <v>54</v>
      </c>
      <c r="F739" s="8" t="s">
        <v>50</v>
      </c>
      <c r="G739" s="8" t="n">
        <v>18</v>
      </c>
      <c r="H739" s="9" t="n">
        <v>22.99</v>
      </c>
      <c r="I739" s="9" t="n">
        <v>8</v>
      </c>
      <c r="J739" s="10" t="n">
        <v>0</v>
      </c>
      <c r="K739" s="9" t="n">
        <f aca="false">G739*H739*(1-J739)</f>
        <v>413.82</v>
      </c>
      <c r="L739" s="9" t="n">
        <f aca="false">G739*I739</f>
        <v>144</v>
      </c>
      <c r="M739" s="9" t="n">
        <f aca="false">K739-L739</f>
        <v>269.82</v>
      </c>
      <c r="N739" s="11" t="n">
        <f aca="false">IF(K739=0,0,M739/K739)</f>
        <v>0.652022618529796</v>
      </c>
      <c r="O739" s="9" t="n">
        <f aca="false">(G739*H739)-K739</f>
        <v>0</v>
      </c>
      <c r="P739" s="8" t="s">
        <v>21</v>
      </c>
    </row>
    <row r="740" customFormat="false" ht="15" hidden="false" customHeight="false" outlineLevel="0" collapsed="false">
      <c r="A740" s="2" t="n">
        <v>46029</v>
      </c>
      <c r="B740" s="3" t="s">
        <v>31</v>
      </c>
      <c r="C740" s="3" t="s">
        <v>23</v>
      </c>
      <c r="D740" s="3" t="s">
        <v>76</v>
      </c>
      <c r="E740" s="3" t="s">
        <v>77</v>
      </c>
      <c r="F740" s="3" t="s">
        <v>34</v>
      </c>
      <c r="G740" s="3" t="n">
        <v>4</v>
      </c>
      <c r="H740" s="4" t="n">
        <v>44.99</v>
      </c>
      <c r="I740" s="4" t="n">
        <v>14</v>
      </c>
      <c r="J740" s="5" t="n">
        <v>0.3</v>
      </c>
      <c r="K740" s="4" t="n">
        <f aca="false">G740*H740*(1-J740)</f>
        <v>125.972</v>
      </c>
      <c r="L740" s="4" t="n">
        <f aca="false">G740*I740</f>
        <v>56</v>
      </c>
      <c r="M740" s="4" t="n">
        <f aca="false">K740-L740</f>
        <v>69.972</v>
      </c>
      <c r="N740" s="6" t="n">
        <f aca="false">IF(K740=0,0,M740/K740)</f>
        <v>0.555456768170705</v>
      </c>
      <c r="O740" s="4" t="n">
        <f aca="false">(G740*H740)-K740</f>
        <v>53.988</v>
      </c>
      <c r="P740" s="3" t="s">
        <v>21</v>
      </c>
    </row>
    <row r="741" customFormat="false" ht="15" hidden="false" customHeight="false" outlineLevel="0" collapsed="false">
      <c r="A741" s="7" t="n">
        <v>46042</v>
      </c>
      <c r="B741" s="8" t="s">
        <v>58</v>
      </c>
      <c r="C741" s="8" t="s">
        <v>58</v>
      </c>
      <c r="D741" s="8" t="s">
        <v>84</v>
      </c>
      <c r="E741" s="8" t="s">
        <v>85</v>
      </c>
      <c r="F741" s="8" t="s">
        <v>20</v>
      </c>
      <c r="G741" s="8" t="n">
        <v>16</v>
      </c>
      <c r="H741" s="9" t="n">
        <v>34.99</v>
      </c>
      <c r="I741" s="9" t="n">
        <v>13</v>
      </c>
      <c r="J741" s="10" t="n">
        <v>0.15</v>
      </c>
      <c r="K741" s="9" t="n">
        <f aca="false">G741*H741*(1-J741)</f>
        <v>475.864</v>
      </c>
      <c r="L741" s="9" t="n">
        <f aca="false">G741*I741</f>
        <v>208</v>
      </c>
      <c r="M741" s="9" t="n">
        <f aca="false">K741-L741</f>
        <v>267.864</v>
      </c>
      <c r="N741" s="11" t="n">
        <f aca="false">IF(K741=0,0,M741/K741)</f>
        <v>0.562900324462452</v>
      </c>
      <c r="O741" s="9" t="n">
        <f aca="false">(G741*H741)-K741</f>
        <v>83.976</v>
      </c>
      <c r="P741" s="8" t="s">
        <v>21</v>
      </c>
    </row>
    <row r="742" customFormat="false" ht="15" hidden="false" customHeight="false" outlineLevel="0" collapsed="false">
      <c r="A742" s="2" t="n">
        <v>46052</v>
      </c>
      <c r="B742" s="3" t="s">
        <v>22</v>
      </c>
      <c r="C742" s="3" t="s">
        <v>23</v>
      </c>
      <c r="D742" s="3" t="s">
        <v>35</v>
      </c>
      <c r="E742" s="3" t="s">
        <v>36</v>
      </c>
      <c r="F742" s="3" t="s">
        <v>26</v>
      </c>
      <c r="G742" s="3" t="n">
        <v>12</v>
      </c>
      <c r="H742" s="4" t="n">
        <v>69.99</v>
      </c>
      <c r="I742" s="4" t="n">
        <v>30</v>
      </c>
      <c r="J742" s="5" t="n">
        <v>0</v>
      </c>
      <c r="K742" s="4" t="n">
        <f aca="false">G742*H742*(1-J742)</f>
        <v>839.88</v>
      </c>
      <c r="L742" s="4" t="n">
        <f aca="false">G742*I742</f>
        <v>360</v>
      </c>
      <c r="M742" s="4" t="n">
        <f aca="false">K742-L742</f>
        <v>479.88</v>
      </c>
      <c r="N742" s="6" t="n">
        <f aca="false">IF(K742=0,0,M742/K742)</f>
        <v>0.57136733819117</v>
      </c>
      <c r="O742" s="4" t="n">
        <f aca="false">(G742*H742)-K742</f>
        <v>0</v>
      </c>
      <c r="P742" s="3" t="s">
        <v>21</v>
      </c>
    </row>
    <row r="743" customFormat="false" ht="15" hidden="false" customHeight="false" outlineLevel="0" collapsed="false">
      <c r="A743" s="7" t="n">
        <v>46054</v>
      </c>
      <c r="B743" s="8" t="s">
        <v>31</v>
      </c>
      <c r="C743" s="8" t="s">
        <v>23</v>
      </c>
      <c r="D743" s="8" t="s">
        <v>46</v>
      </c>
      <c r="E743" s="8" t="s">
        <v>47</v>
      </c>
      <c r="F743" s="8" t="s">
        <v>20</v>
      </c>
      <c r="G743" s="8" t="n">
        <v>25</v>
      </c>
      <c r="H743" s="9" t="n">
        <v>44.99</v>
      </c>
      <c r="I743" s="9" t="n">
        <v>18</v>
      </c>
      <c r="J743" s="10" t="n">
        <v>0.05</v>
      </c>
      <c r="K743" s="9" t="n">
        <f aca="false">G743*H743*(1-J743)</f>
        <v>1068.5125</v>
      </c>
      <c r="L743" s="9" t="n">
        <f aca="false">G743*I743</f>
        <v>450</v>
      </c>
      <c r="M743" s="9" t="n">
        <f aca="false">K743-L743</f>
        <v>618.5125</v>
      </c>
      <c r="N743" s="11" t="n">
        <f aca="false">IF(K743=0,0,M743/K743)</f>
        <v>0.578853780372246</v>
      </c>
      <c r="O743" s="9" t="n">
        <f aca="false">(G743*H743)-K743</f>
        <v>56.2375</v>
      </c>
      <c r="P743" s="8" t="s">
        <v>21</v>
      </c>
    </row>
    <row r="744" customFormat="false" ht="15" hidden="false" customHeight="false" outlineLevel="0" collapsed="false">
      <c r="A744" s="2" t="n">
        <v>46035</v>
      </c>
      <c r="B744" s="3" t="s">
        <v>41</v>
      </c>
      <c r="C744" s="3" t="s">
        <v>28</v>
      </c>
      <c r="D744" s="3" t="s">
        <v>68</v>
      </c>
      <c r="E744" s="3" t="s">
        <v>69</v>
      </c>
      <c r="F744" s="3" t="s">
        <v>40</v>
      </c>
      <c r="G744" s="3" t="n">
        <v>12</v>
      </c>
      <c r="H744" s="4" t="n">
        <v>24.99</v>
      </c>
      <c r="I744" s="4" t="n">
        <v>9</v>
      </c>
      <c r="J744" s="5" t="n">
        <v>0.25</v>
      </c>
      <c r="K744" s="4" t="n">
        <f aca="false">G744*H744*(1-J744)</f>
        <v>224.91</v>
      </c>
      <c r="L744" s="4" t="n">
        <f aca="false">G744*I744</f>
        <v>108</v>
      </c>
      <c r="M744" s="4" t="n">
        <f aca="false">K744-L744</f>
        <v>116.91</v>
      </c>
      <c r="N744" s="6" t="n">
        <f aca="false">IF(K744=0,0,M744/K744)</f>
        <v>0.519807923169268</v>
      </c>
      <c r="O744" s="4" t="n">
        <f aca="false">(G744*H744)-K744</f>
        <v>74.97</v>
      </c>
      <c r="P744" s="3" t="s">
        <v>21</v>
      </c>
    </row>
    <row r="745" customFormat="false" ht="15" hidden="false" customHeight="false" outlineLevel="0" collapsed="false">
      <c r="A745" s="7" t="n">
        <v>46097</v>
      </c>
      <c r="B745" s="8" t="s">
        <v>22</v>
      </c>
      <c r="C745" s="8" t="s">
        <v>23</v>
      </c>
      <c r="D745" s="8" t="s">
        <v>66</v>
      </c>
      <c r="E745" s="8" t="s">
        <v>67</v>
      </c>
      <c r="F745" s="8" t="s">
        <v>57</v>
      </c>
      <c r="G745" s="8" t="n">
        <v>29</v>
      </c>
      <c r="H745" s="9" t="n">
        <v>14.99</v>
      </c>
      <c r="I745" s="9" t="n">
        <v>5.5</v>
      </c>
      <c r="J745" s="10" t="n">
        <v>0</v>
      </c>
      <c r="K745" s="9" t="n">
        <f aca="false">G745*H745*(1-J745)</f>
        <v>434.71</v>
      </c>
      <c r="L745" s="9" t="n">
        <f aca="false">G745*I745</f>
        <v>159.5</v>
      </c>
      <c r="M745" s="9" t="n">
        <f aca="false">K745-L745</f>
        <v>275.21</v>
      </c>
      <c r="N745" s="11" t="n">
        <f aca="false">IF(K745=0,0,M745/K745)</f>
        <v>0.633088725817211</v>
      </c>
      <c r="O745" s="9" t="n">
        <f aca="false">(G745*H745)-K745</f>
        <v>0</v>
      </c>
      <c r="P745" s="8" t="s">
        <v>21</v>
      </c>
    </row>
    <row r="746" customFormat="false" ht="15" hidden="false" customHeight="false" outlineLevel="0" collapsed="false">
      <c r="A746" s="2" t="n">
        <v>46080</v>
      </c>
      <c r="B746" s="3" t="s">
        <v>16</v>
      </c>
      <c r="C746" s="3" t="s">
        <v>17</v>
      </c>
      <c r="D746" s="3" t="s">
        <v>93</v>
      </c>
      <c r="E746" s="3" t="s">
        <v>94</v>
      </c>
      <c r="F746" s="3" t="s">
        <v>34</v>
      </c>
      <c r="G746" s="3" t="n">
        <v>28</v>
      </c>
      <c r="H746" s="4" t="n">
        <v>29.99</v>
      </c>
      <c r="I746" s="4" t="n">
        <v>9</v>
      </c>
      <c r="J746" s="5" t="n">
        <v>0.15</v>
      </c>
      <c r="K746" s="4" t="n">
        <f aca="false">G746*H746*(1-J746)</f>
        <v>713.762</v>
      </c>
      <c r="L746" s="4" t="n">
        <f aca="false">G746*I746</f>
        <v>252</v>
      </c>
      <c r="M746" s="4" t="n">
        <f aca="false">K746-L746</f>
        <v>461.762</v>
      </c>
      <c r="N746" s="6" t="n">
        <f aca="false">IF(K746=0,0,M746/K746)</f>
        <v>0.646941137241826</v>
      </c>
      <c r="O746" s="4" t="n">
        <f aca="false">(G746*H746)-K746</f>
        <v>125.958</v>
      </c>
      <c r="P746" s="3" t="s">
        <v>21</v>
      </c>
    </row>
    <row r="747" customFormat="false" ht="15" hidden="false" customHeight="false" outlineLevel="0" collapsed="false">
      <c r="A747" s="7" t="n">
        <v>46030</v>
      </c>
      <c r="B747" s="8" t="s">
        <v>16</v>
      </c>
      <c r="C747" s="8" t="s">
        <v>17</v>
      </c>
      <c r="D747" s="8" t="s">
        <v>32</v>
      </c>
      <c r="E747" s="8" t="s">
        <v>33</v>
      </c>
      <c r="F747" s="8" t="s">
        <v>34</v>
      </c>
      <c r="G747" s="8" t="n">
        <v>22</v>
      </c>
      <c r="H747" s="9" t="n">
        <v>18.99</v>
      </c>
      <c r="I747" s="9" t="n">
        <v>6</v>
      </c>
      <c r="J747" s="10" t="n">
        <v>0.1</v>
      </c>
      <c r="K747" s="9" t="n">
        <f aca="false">G747*H747*(1-J747)</f>
        <v>376.002</v>
      </c>
      <c r="L747" s="9" t="n">
        <f aca="false">G747*I747</f>
        <v>132</v>
      </c>
      <c r="M747" s="9" t="n">
        <f aca="false">K747-L747</f>
        <v>244.002</v>
      </c>
      <c r="N747" s="11" t="n">
        <f aca="false">IF(K747=0,0,M747/K747)</f>
        <v>0.64893803756363</v>
      </c>
      <c r="O747" s="9" t="n">
        <f aca="false">(G747*H747)-K747</f>
        <v>41.778</v>
      </c>
      <c r="P747" s="8" t="s">
        <v>21</v>
      </c>
    </row>
    <row r="748" customFormat="false" ht="15" hidden="false" customHeight="false" outlineLevel="0" collapsed="false">
      <c r="A748" s="2" t="n">
        <v>46126</v>
      </c>
      <c r="B748" s="3" t="s">
        <v>22</v>
      </c>
      <c r="C748" s="3" t="s">
        <v>23</v>
      </c>
      <c r="D748" s="3" t="s">
        <v>53</v>
      </c>
      <c r="E748" s="3" t="s">
        <v>54</v>
      </c>
      <c r="F748" s="3" t="s">
        <v>50</v>
      </c>
      <c r="G748" s="3" t="n">
        <v>16</v>
      </c>
      <c r="H748" s="4" t="n">
        <v>22.99</v>
      </c>
      <c r="I748" s="4" t="n">
        <v>8</v>
      </c>
      <c r="J748" s="5" t="n">
        <v>0</v>
      </c>
      <c r="K748" s="4" t="n">
        <f aca="false">G748*H748*(1-J748)</f>
        <v>367.84</v>
      </c>
      <c r="L748" s="4" t="n">
        <f aca="false">G748*I748</f>
        <v>128</v>
      </c>
      <c r="M748" s="4" t="n">
        <f aca="false">K748-L748</f>
        <v>239.84</v>
      </c>
      <c r="N748" s="6" t="n">
        <f aca="false">IF(K748=0,0,M748/K748)</f>
        <v>0.652022618529796</v>
      </c>
      <c r="O748" s="4" t="n">
        <f aca="false">(G748*H748)-K748</f>
        <v>0</v>
      </c>
      <c r="P748" s="3" t="s">
        <v>21</v>
      </c>
    </row>
    <row r="749" customFormat="false" ht="15" hidden="false" customHeight="false" outlineLevel="0" collapsed="false">
      <c r="A749" s="7" t="n">
        <v>46039</v>
      </c>
      <c r="B749" s="8" t="s">
        <v>16</v>
      </c>
      <c r="C749" s="8" t="s">
        <v>17</v>
      </c>
      <c r="D749" s="8" t="s">
        <v>70</v>
      </c>
      <c r="E749" s="8" t="s">
        <v>71</v>
      </c>
      <c r="F749" s="8" t="s">
        <v>20</v>
      </c>
      <c r="G749" s="8" t="n">
        <v>21</v>
      </c>
      <c r="H749" s="9" t="n">
        <v>49.99</v>
      </c>
      <c r="I749" s="9" t="n">
        <v>19</v>
      </c>
      <c r="J749" s="10" t="n">
        <v>0.2</v>
      </c>
      <c r="K749" s="9" t="n">
        <f aca="false">G749*H749*(1-J749)</f>
        <v>839.832</v>
      </c>
      <c r="L749" s="9" t="n">
        <f aca="false">G749*I749</f>
        <v>399</v>
      </c>
      <c r="M749" s="9" t="n">
        <f aca="false">K749-L749</f>
        <v>440.832</v>
      </c>
      <c r="N749" s="11" t="n">
        <f aca="false">IF(K749=0,0,M749/K749)</f>
        <v>0.524904980996199</v>
      </c>
      <c r="O749" s="9" t="n">
        <f aca="false">(G749*H749)-K749</f>
        <v>209.958</v>
      </c>
      <c r="P749" s="8" t="s">
        <v>21</v>
      </c>
    </row>
    <row r="750" customFormat="false" ht="15" hidden="false" customHeight="false" outlineLevel="0" collapsed="false">
      <c r="A750" s="2" t="n">
        <v>46060</v>
      </c>
      <c r="B750" s="3" t="s">
        <v>16</v>
      </c>
      <c r="C750" s="3" t="s">
        <v>17</v>
      </c>
      <c r="D750" s="3" t="s">
        <v>78</v>
      </c>
      <c r="E750" s="3" t="s">
        <v>79</v>
      </c>
      <c r="F750" s="3" t="s">
        <v>20</v>
      </c>
      <c r="G750" s="3" t="n">
        <v>18</v>
      </c>
      <c r="H750" s="4" t="n">
        <v>39.99</v>
      </c>
      <c r="I750" s="4" t="n">
        <v>16</v>
      </c>
      <c r="J750" s="5" t="n">
        <v>0.15</v>
      </c>
      <c r="K750" s="4" t="n">
        <f aca="false">G750*H750*(1-J750)</f>
        <v>611.847</v>
      </c>
      <c r="L750" s="4" t="n">
        <f aca="false">G750*I750</f>
        <v>288</v>
      </c>
      <c r="M750" s="4" t="n">
        <f aca="false">K750-L750</f>
        <v>323.847</v>
      </c>
      <c r="N750" s="6" t="n">
        <f aca="false">IF(K750=0,0,M750/K750)</f>
        <v>0.529294088227939</v>
      </c>
      <c r="O750" s="4" t="n">
        <f aca="false">(G750*H750)-K750</f>
        <v>107.973</v>
      </c>
      <c r="P750" s="3" t="s">
        <v>21</v>
      </c>
    </row>
    <row r="751" customFormat="false" ht="15" hidden="false" customHeight="false" outlineLevel="0" collapsed="false">
      <c r="A751" s="7" t="n">
        <v>46092</v>
      </c>
      <c r="B751" s="8" t="s">
        <v>31</v>
      </c>
      <c r="C751" s="8" t="s">
        <v>23</v>
      </c>
      <c r="D751" s="8" t="s">
        <v>38</v>
      </c>
      <c r="E751" s="8" t="s">
        <v>39</v>
      </c>
      <c r="F751" s="8" t="s">
        <v>40</v>
      </c>
      <c r="G751" s="8" t="n">
        <v>29</v>
      </c>
      <c r="H751" s="9" t="n">
        <v>12.99</v>
      </c>
      <c r="I751" s="9" t="n">
        <v>4</v>
      </c>
      <c r="J751" s="10" t="n">
        <v>0</v>
      </c>
      <c r="K751" s="9" t="n">
        <f aca="false">G751*H751*(1-J751)</f>
        <v>376.71</v>
      </c>
      <c r="L751" s="9" t="n">
        <f aca="false">G751*I751</f>
        <v>116</v>
      </c>
      <c r="M751" s="9" t="n">
        <f aca="false">K751-L751</f>
        <v>260.71</v>
      </c>
      <c r="N751" s="11" t="n">
        <f aca="false">IF(K751=0,0,M751/K751)</f>
        <v>0.692070823710547</v>
      </c>
      <c r="O751" s="9" t="n">
        <f aca="false">(G751*H751)-K751</f>
        <v>0</v>
      </c>
      <c r="P751" s="8" t="s">
        <v>21</v>
      </c>
    </row>
    <row r="752" customFormat="false" ht="15" hidden="false" customHeight="false" outlineLevel="0" collapsed="false">
      <c r="A752" s="2" t="n">
        <v>46114</v>
      </c>
      <c r="B752" s="3" t="s">
        <v>58</v>
      </c>
      <c r="C752" s="3" t="s">
        <v>58</v>
      </c>
      <c r="D752" s="3" t="s">
        <v>55</v>
      </c>
      <c r="E752" s="3" t="s">
        <v>56</v>
      </c>
      <c r="F752" s="3" t="s">
        <v>57</v>
      </c>
      <c r="G752" s="3" t="n">
        <v>14</v>
      </c>
      <c r="H752" s="4" t="n">
        <v>29.99</v>
      </c>
      <c r="I752" s="4" t="n">
        <v>11</v>
      </c>
      <c r="J752" s="5" t="n">
        <v>0.1</v>
      </c>
      <c r="K752" s="4" t="n">
        <f aca="false">G752*H752*(1-J752)</f>
        <v>377.874</v>
      </c>
      <c r="L752" s="4" t="n">
        <f aca="false">G752*I752</f>
        <v>154</v>
      </c>
      <c r="M752" s="4" t="n">
        <f aca="false">K752-L752</f>
        <v>223.874</v>
      </c>
      <c r="N752" s="6" t="n">
        <f aca="false">IF(K752=0,0,M752/K752)</f>
        <v>0.592456744840873</v>
      </c>
      <c r="O752" s="4" t="n">
        <f aca="false">(G752*H752)-K752</f>
        <v>41.986</v>
      </c>
      <c r="P752" s="3" t="s">
        <v>21</v>
      </c>
    </row>
    <row r="753" customFormat="false" ht="15" hidden="false" customHeight="false" outlineLevel="0" collapsed="false">
      <c r="A753" s="7" t="n">
        <v>46109</v>
      </c>
      <c r="B753" s="8" t="s">
        <v>31</v>
      </c>
      <c r="C753" s="8" t="s">
        <v>23</v>
      </c>
      <c r="D753" s="8" t="s">
        <v>44</v>
      </c>
      <c r="E753" s="8" t="s">
        <v>45</v>
      </c>
      <c r="F753" s="8" t="s">
        <v>40</v>
      </c>
      <c r="G753" s="8" t="n">
        <v>3</v>
      </c>
      <c r="H753" s="9" t="n">
        <v>29.99</v>
      </c>
      <c r="I753" s="9" t="n">
        <v>11</v>
      </c>
      <c r="J753" s="10" t="n">
        <v>0</v>
      </c>
      <c r="K753" s="9" t="n">
        <f aca="false">G753*H753*(1-J753)</f>
        <v>89.97</v>
      </c>
      <c r="L753" s="9" t="n">
        <f aca="false">G753*I753</f>
        <v>33</v>
      </c>
      <c r="M753" s="9" t="n">
        <f aca="false">K753-L753</f>
        <v>56.97</v>
      </c>
      <c r="N753" s="11" t="n">
        <f aca="false">IF(K753=0,0,M753/K753)</f>
        <v>0.633211070356786</v>
      </c>
      <c r="O753" s="9" t="n">
        <f aca="false">(G753*H753)-K753</f>
        <v>0</v>
      </c>
      <c r="P753" s="8" t="s">
        <v>21</v>
      </c>
    </row>
    <row r="754" customFormat="false" ht="15" hidden="false" customHeight="false" outlineLevel="0" collapsed="false">
      <c r="A754" s="2" t="n">
        <v>46124</v>
      </c>
      <c r="B754" s="3" t="s">
        <v>16</v>
      </c>
      <c r="C754" s="3" t="s">
        <v>17</v>
      </c>
      <c r="D754" s="3" t="s">
        <v>82</v>
      </c>
      <c r="E754" s="3" t="s">
        <v>83</v>
      </c>
      <c r="F754" s="3" t="s">
        <v>26</v>
      </c>
      <c r="G754" s="3" t="n">
        <v>9</v>
      </c>
      <c r="H754" s="4" t="n">
        <v>44.99</v>
      </c>
      <c r="I754" s="4" t="n">
        <v>18</v>
      </c>
      <c r="J754" s="5" t="n">
        <v>0.3</v>
      </c>
      <c r="K754" s="4" t="n">
        <f aca="false">G754*H754*(1-J754)</f>
        <v>283.437</v>
      </c>
      <c r="L754" s="4" t="n">
        <f aca="false">G754*I754</f>
        <v>162</v>
      </c>
      <c r="M754" s="4" t="n">
        <f aca="false">K754-L754</f>
        <v>121.437</v>
      </c>
      <c r="N754" s="6" t="n">
        <f aca="false">IF(K754=0,0,M754/K754)</f>
        <v>0.428444416219477</v>
      </c>
      <c r="O754" s="4" t="n">
        <f aca="false">(G754*H754)-K754</f>
        <v>121.473</v>
      </c>
      <c r="P754" s="3" t="s">
        <v>21</v>
      </c>
    </row>
    <row r="755" customFormat="false" ht="15" hidden="false" customHeight="false" outlineLevel="0" collapsed="false">
      <c r="A755" s="7" t="n">
        <v>46062</v>
      </c>
      <c r="B755" s="8" t="s">
        <v>64</v>
      </c>
      <c r="C755" s="8" t="s">
        <v>65</v>
      </c>
      <c r="D755" s="8" t="s">
        <v>44</v>
      </c>
      <c r="E755" s="8" t="s">
        <v>45</v>
      </c>
      <c r="F755" s="8" t="s">
        <v>40</v>
      </c>
      <c r="G755" s="8" t="n">
        <v>18</v>
      </c>
      <c r="H755" s="9" t="n">
        <v>29.99</v>
      </c>
      <c r="I755" s="9" t="n">
        <v>11</v>
      </c>
      <c r="J755" s="10" t="n">
        <v>0.15</v>
      </c>
      <c r="K755" s="9" t="n">
        <f aca="false">G755*H755*(1-J755)</f>
        <v>458.847</v>
      </c>
      <c r="L755" s="9" t="n">
        <f aca="false">G755*I755</f>
        <v>198</v>
      </c>
      <c r="M755" s="9" t="n">
        <f aca="false">K755-L755</f>
        <v>260.847</v>
      </c>
      <c r="N755" s="11" t="n">
        <f aca="false">IF(K755=0,0,M755/K755)</f>
        <v>0.568483612184454</v>
      </c>
      <c r="O755" s="9" t="n">
        <f aca="false">(G755*H755)-K755</f>
        <v>80.973</v>
      </c>
      <c r="P755" s="8" t="s">
        <v>21</v>
      </c>
    </row>
    <row r="756" customFormat="false" ht="15" hidden="false" customHeight="false" outlineLevel="0" collapsed="false">
      <c r="A756" s="2" t="n">
        <v>46064</v>
      </c>
      <c r="B756" s="3" t="s">
        <v>41</v>
      </c>
      <c r="C756" s="3" t="s">
        <v>28</v>
      </c>
      <c r="D756" s="3" t="s">
        <v>86</v>
      </c>
      <c r="E756" s="3" t="s">
        <v>87</v>
      </c>
      <c r="F756" s="3" t="s">
        <v>40</v>
      </c>
      <c r="G756" s="3" t="n">
        <v>13</v>
      </c>
      <c r="H756" s="4" t="n">
        <v>16.99</v>
      </c>
      <c r="I756" s="4" t="n">
        <v>5.5</v>
      </c>
      <c r="J756" s="5" t="n">
        <v>0</v>
      </c>
      <c r="K756" s="4" t="n">
        <f aca="false">G756*H756*(1-J756)</f>
        <v>220.87</v>
      </c>
      <c r="L756" s="4" t="n">
        <f aca="false">G756*I756</f>
        <v>71.5</v>
      </c>
      <c r="M756" s="4" t="n">
        <f aca="false">K756-L756</f>
        <v>149.37</v>
      </c>
      <c r="N756" s="6" t="n">
        <f aca="false">IF(K756=0,0,M756/K756)</f>
        <v>0.676280164802825</v>
      </c>
      <c r="O756" s="4" t="n">
        <f aca="false">(G756*H756)-K756</f>
        <v>0</v>
      </c>
      <c r="P756" s="3" t="s">
        <v>21</v>
      </c>
    </row>
    <row r="757" customFormat="false" ht="15" hidden="false" customHeight="false" outlineLevel="0" collapsed="false">
      <c r="A757" s="7" t="n">
        <v>46125</v>
      </c>
      <c r="B757" s="8" t="s">
        <v>27</v>
      </c>
      <c r="C757" s="8" t="s">
        <v>28</v>
      </c>
      <c r="D757" s="8" t="s">
        <v>35</v>
      </c>
      <c r="E757" s="8" t="s">
        <v>36</v>
      </c>
      <c r="F757" s="8" t="s">
        <v>26</v>
      </c>
      <c r="G757" s="8" t="n">
        <v>22</v>
      </c>
      <c r="H757" s="9" t="n">
        <v>69.99</v>
      </c>
      <c r="I757" s="9" t="n">
        <v>30</v>
      </c>
      <c r="J757" s="10" t="n">
        <v>0.1</v>
      </c>
      <c r="K757" s="9" t="n">
        <f aca="false">G757*H757*(1-J757)</f>
        <v>1385.802</v>
      </c>
      <c r="L757" s="9" t="n">
        <f aca="false">G757*I757</f>
        <v>660</v>
      </c>
      <c r="M757" s="9" t="n">
        <f aca="false">K757-L757</f>
        <v>725.802</v>
      </c>
      <c r="N757" s="11" t="n">
        <f aca="false">IF(K757=0,0,M757/K757)</f>
        <v>0.523741486879078</v>
      </c>
      <c r="O757" s="9" t="n">
        <f aca="false">(G757*H757)-K757</f>
        <v>153.978</v>
      </c>
      <c r="P757" s="8" t="s">
        <v>21</v>
      </c>
    </row>
    <row r="758" customFormat="false" ht="15" hidden="false" customHeight="false" outlineLevel="0" collapsed="false">
      <c r="A758" s="2" t="n">
        <v>46061</v>
      </c>
      <c r="B758" s="3" t="s">
        <v>22</v>
      </c>
      <c r="C758" s="3" t="s">
        <v>23</v>
      </c>
      <c r="D758" s="3" t="s">
        <v>82</v>
      </c>
      <c r="E758" s="3" t="s">
        <v>83</v>
      </c>
      <c r="F758" s="3" t="s">
        <v>26</v>
      </c>
      <c r="G758" s="3" t="n">
        <v>4</v>
      </c>
      <c r="H758" s="4" t="n">
        <v>44.99</v>
      </c>
      <c r="I758" s="4" t="n">
        <v>18</v>
      </c>
      <c r="J758" s="5" t="n">
        <v>0.2</v>
      </c>
      <c r="K758" s="4" t="n">
        <f aca="false">G758*H758*(1-J758)</f>
        <v>143.968</v>
      </c>
      <c r="L758" s="4" t="n">
        <f aca="false">G758*I758</f>
        <v>72</v>
      </c>
      <c r="M758" s="4" t="n">
        <f aca="false">K758-L758</f>
        <v>71.968</v>
      </c>
      <c r="N758" s="6" t="n">
        <f aca="false">IF(K758=0,0,M758/K758)</f>
        <v>0.499888864192043</v>
      </c>
      <c r="O758" s="4" t="n">
        <f aca="false">(G758*H758)-K758</f>
        <v>35.992</v>
      </c>
      <c r="P758" s="3" t="s">
        <v>21</v>
      </c>
    </row>
    <row r="759" customFormat="false" ht="15" hidden="false" customHeight="false" outlineLevel="0" collapsed="false">
      <c r="A759" s="7" t="n">
        <v>46038</v>
      </c>
      <c r="B759" s="8" t="s">
        <v>64</v>
      </c>
      <c r="C759" s="8" t="s">
        <v>65</v>
      </c>
      <c r="D759" s="8" t="s">
        <v>53</v>
      </c>
      <c r="E759" s="8" t="s">
        <v>54</v>
      </c>
      <c r="F759" s="8" t="s">
        <v>50</v>
      </c>
      <c r="G759" s="8" t="n">
        <v>11</v>
      </c>
      <c r="H759" s="9" t="n">
        <v>22.99</v>
      </c>
      <c r="I759" s="9" t="n">
        <v>8</v>
      </c>
      <c r="J759" s="10" t="n">
        <v>0.1</v>
      </c>
      <c r="K759" s="9" t="n">
        <f aca="false">G759*H759*(1-J759)</f>
        <v>227.601</v>
      </c>
      <c r="L759" s="9" t="n">
        <f aca="false">G759*I759</f>
        <v>88</v>
      </c>
      <c r="M759" s="9" t="n">
        <f aca="false">K759-L759</f>
        <v>139.601</v>
      </c>
      <c r="N759" s="11" t="n">
        <f aca="false">IF(K759=0,0,M759/K759)</f>
        <v>0.613358465033106</v>
      </c>
      <c r="O759" s="9" t="n">
        <f aca="false">(G759*H759)-K759</f>
        <v>25.289</v>
      </c>
      <c r="P759" s="8" t="s">
        <v>21</v>
      </c>
    </row>
    <row r="760" customFormat="false" ht="15" hidden="false" customHeight="false" outlineLevel="0" collapsed="false">
      <c r="A760" s="2" t="n">
        <v>46117</v>
      </c>
      <c r="B760" s="3" t="s">
        <v>58</v>
      </c>
      <c r="C760" s="3" t="s">
        <v>58</v>
      </c>
      <c r="D760" s="3" t="s">
        <v>72</v>
      </c>
      <c r="E760" s="3" t="s">
        <v>73</v>
      </c>
      <c r="F760" s="3" t="s">
        <v>57</v>
      </c>
      <c r="G760" s="3" t="n">
        <v>23</v>
      </c>
      <c r="H760" s="4" t="n">
        <v>19.99</v>
      </c>
      <c r="I760" s="4" t="n">
        <v>7</v>
      </c>
      <c r="J760" s="5" t="n">
        <v>0.1</v>
      </c>
      <c r="K760" s="4" t="n">
        <f aca="false">G760*H760*(1-J760)</f>
        <v>413.793</v>
      </c>
      <c r="L760" s="4" t="n">
        <f aca="false">G760*I760</f>
        <v>161</v>
      </c>
      <c r="M760" s="4" t="n">
        <f aca="false">K760-L760</f>
        <v>252.793</v>
      </c>
      <c r="N760" s="6" t="n">
        <f aca="false">IF(K760=0,0,M760/K760)</f>
        <v>0.610916569395809</v>
      </c>
      <c r="O760" s="4" t="n">
        <f aca="false">(G760*H760)-K760</f>
        <v>45.977</v>
      </c>
      <c r="P760" s="3" t="s">
        <v>21</v>
      </c>
    </row>
    <row r="761" customFormat="false" ht="15" hidden="false" customHeight="false" outlineLevel="0" collapsed="false">
      <c r="A761" s="7" t="n">
        <v>46078</v>
      </c>
      <c r="B761" s="8" t="s">
        <v>31</v>
      </c>
      <c r="C761" s="8" t="s">
        <v>23</v>
      </c>
      <c r="D761" s="8" t="s">
        <v>53</v>
      </c>
      <c r="E761" s="8" t="s">
        <v>54</v>
      </c>
      <c r="F761" s="8" t="s">
        <v>50</v>
      </c>
      <c r="G761" s="8" t="n">
        <v>30</v>
      </c>
      <c r="H761" s="9" t="n">
        <v>22.99</v>
      </c>
      <c r="I761" s="9" t="n">
        <v>8</v>
      </c>
      <c r="J761" s="10" t="n">
        <v>0</v>
      </c>
      <c r="K761" s="9" t="n">
        <f aca="false">G761*H761*(1-J761)</f>
        <v>689.7</v>
      </c>
      <c r="L761" s="9" t="n">
        <f aca="false">G761*I761</f>
        <v>240</v>
      </c>
      <c r="M761" s="9" t="n">
        <f aca="false">K761-L761</f>
        <v>449.7</v>
      </c>
      <c r="N761" s="11" t="n">
        <f aca="false">IF(K761=0,0,M761/K761)</f>
        <v>0.652022618529796</v>
      </c>
      <c r="O761" s="9" t="n">
        <f aca="false">(G761*H761)-K761</f>
        <v>0</v>
      </c>
      <c r="P761" s="8" t="s">
        <v>21</v>
      </c>
    </row>
    <row r="762" customFormat="false" ht="15" hidden="false" customHeight="false" outlineLevel="0" collapsed="false">
      <c r="A762" s="2" t="n">
        <v>46115</v>
      </c>
      <c r="B762" s="3" t="s">
        <v>41</v>
      </c>
      <c r="C762" s="3" t="s">
        <v>28</v>
      </c>
      <c r="D762" s="3" t="s">
        <v>44</v>
      </c>
      <c r="E762" s="3" t="s">
        <v>45</v>
      </c>
      <c r="F762" s="3" t="s">
        <v>40</v>
      </c>
      <c r="G762" s="3" t="n">
        <v>30</v>
      </c>
      <c r="H762" s="4" t="n">
        <v>29.99</v>
      </c>
      <c r="I762" s="4" t="n">
        <v>11</v>
      </c>
      <c r="J762" s="5" t="n">
        <v>0.25</v>
      </c>
      <c r="K762" s="4" t="n">
        <f aca="false">G762*H762*(1-J762)</f>
        <v>674.775</v>
      </c>
      <c r="L762" s="4" t="n">
        <f aca="false">G762*I762</f>
        <v>330</v>
      </c>
      <c r="M762" s="4" t="n">
        <f aca="false">K762-L762</f>
        <v>344.775</v>
      </c>
      <c r="N762" s="6" t="n">
        <f aca="false">IF(K762=0,0,M762/K762)</f>
        <v>0.510948093809048</v>
      </c>
      <c r="O762" s="4" t="n">
        <f aca="false">(G762*H762)-K762</f>
        <v>224.925</v>
      </c>
      <c r="P762" s="3" t="s">
        <v>21</v>
      </c>
    </row>
    <row r="763" customFormat="false" ht="15" hidden="false" customHeight="false" outlineLevel="0" collapsed="false">
      <c r="A763" s="7" t="n">
        <v>46073</v>
      </c>
      <c r="B763" s="8" t="s">
        <v>41</v>
      </c>
      <c r="C763" s="8" t="s">
        <v>28</v>
      </c>
      <c r="D763" s="8" t="s">
        <v>61</v>
      </c>
      <c r="E763" s="8" t="s">
        <v>62</v>
      </c>
      <c r="F763" s="8" t="s">
        <v>34</v>
      </c>
      <c r="G763" s="8" t="n">
        <v>13</v>
      </c>
      <c r="H763" s="9" t="n">
        <v>12.99</v>
      </c>
      <c r="I763" s="9" t="n">
        <v>4.5</v>
      </c>
      <c r="J763" s="10" t="n">
        <v>0.1</v>
      </c>
      <c r="K763" s="9" t="n">
        <f aca="false">G763*H763*(1-J763)</f>
        <v>151.983</v>
      </c>
      <c r="L763" s="9" t="n">
        <f aca="false">G763*I763</f>
        <v>58.5</v>
      </c>
      <c r="M763" s="9" t="n">
        <f aca="false">K763-L763</f>
        <v>93.483</v>
      </c>
      <c r="N763" s="11" t="n">
        <f aca="false">IF(K763=0,0,M763/K763)</f>
        <v>0.615088529638183</v>
      </c>
      <c r="O763" s="9" t="n">
        <f aca="false">(G763*H763)-K763</f>
        <v>16.887</v>
      </c>
      <c r="P763" s="8" t="s">
        <v>21</v>
      </c>
    </row>
    <row r="764" customFormat="false" ht="15" hidden="false" customHeight="false" outlineLevel="0" collapsed="false">
      <c r="A764" s="2" t="n">
        <v>46095</v>
      </c>
      <c r="B764" s="3" t="s">
        <v>58</v>
      </c>
      <c r="C764" s="3" t="s">
        <v>58</v>
      </c>
      <c r="D764" s="3" t="s">
        <v>42</v>
      </c>
      <c r="E764" s="3" t="s">
        <v>43</v>
      </c>
      <c r="F764" s="3" t="s">
        <v>34</v>
      </c>
      <c r="G764" s="3" t="n">
        <v>8</v>
      </c>
      <c r="H764" s="4" t="n">
        <v>11.99</v>
      </c>
      <c r="I764" s="4" t="n">
        <v>3.5</v>
      </c>
      <c r="J764" s="5" t="n">
        <v>0.1</v>
      </c>
      <c r="K764" s="4" t="n">
        <f aca="false">G764*H764*(1-J764)</f>
        <v>86.328</v>
      </c>
      <c r="L764" s="4" t="n">
        <f aca="false">G764*I764</f>
        <v>28</v>
      </c>
      <c r="M764" s="4" t="n">
        <f aca="false">K764-L764</f>
        <v>58.328</v>
      </c>
      <c r="N764" s="6" t="n">
        <f aca="false">IF(K764=0,0,M764/K764)</f>
        <v>0.675655638958391</v>
      </c>
      <c r="O764" s="4" t="n">
        <f aca="false">(G764*H764)-K764</f>
        <v>9.592</v>
      </c>
      <c r="P764" s="3" t="s">
        <v>21</v>
      </c>
    </row>
    <row r="765" customFormat="false" ht="15" hidden="false" customHeight="false" outlineLevel="0" collapsed="false">
      <c r="A765" s="7" t="n">
        <v>46085</v>
      </c>
      <c r="B765" s="8" t="s">
        <v>22</v>
      </c>
      <c r="C765" s="8" t="s">
        <v>23</v>
      </c>
      <c r="D765" s="8" t="s">
        <v>86</v>
      </c>
      <c r="E765" s="8" t="s">
        <v>87</v>
      </c>
      <c r="F765" s="8" t="s">
        <v>40</v>
      </c>
      <c r="G765" s="8" t="n">
        <v>17</v>
      </c>
      <c r="H765" s="9" t="n">
        <v>16.99</v>
      </c>
      <c r="I765" s="9" t="n">
        <v>5.5</v>
      </c>
      <c r="J765" s="10" t="n">
        <v>0.15</v>
      </c>
      <c r="K765" s="9" t="n">
        <f aca="false">G765*H765*(1-J765)</f>
        <v>245.5055</v>
      </c>
      <c r="L765" s="9" t="n">
        <f aca="false">G765*I765</f>
        <v>93.5</v>
      </c>
      <c r="M765" s="9" t="n">
        <f aca="false">K765-L765</f>
        <v>152.0055</v>
      </c>
      <c r="N765" s="11" t="n">
        <f aca="false">IF(K765=0,0,M765/K765)</f>
        <v>0.619153135062147</v>
      </c>
      <c r="O765" s="9" t="n">
        <f aca="false">(G765*H765)-K765</f>
        <v>43.3245</v>
      </c>
      <c r="P765" s="8" t="s">
        <v>21</v>
      </c>
    </row>
    <row r="766" customFormat="false" ht="15" hidden="false" customHeight="false" outlineLevel="0" collapsed="false">
      <c r="A766" s="2" t="n">
        <v>46049</v>
      </c>
      <c r="B766" s="3" t="s">
        <v>58</v>
      </c>
      <c r="C766" s="3" t="s">
        <v>58</v>
      </c>
      <c r="D766" s="3" t="s">
        <v>48</v>
      </c>
      <c r="E766" s="3" t="s">
        <v>49</v>
      </c>
      <c r="F766" s="3" t="s">
        <v>50</v>
      </c>
      <c r="G766" s="3" t="n">
        <v>12</v>
      </c>
      <c r="H766" s="4" t="n">
        <v>54.99</v>
      </c>
      <c r="I766" s="4" t="n">
        <v>20</v>
      </c>
      <c r="J766" s="5" t="n">
        <v>0</v>
      </c>
      <c r="K766" s="4" t="n">
        <f aca="false">G766*H766*(1-J766)</f>
        <v>659.88</v>
      </c>
      <c r="L766" s="4" t="n">
        <f aca="false">G766*I766</f>
        <v>240</v>
      </c>
      <c r="M766" s="4" t="n">
        <f aca="false">K766-L766</f>
        <v>419.88</v>
      </c>
      <c r="N766" s="6" t="n">
        <f aca="false">IF(K766=0,0,M766/K766)</f>
        <v>0.636297508637934</v>
      </c>
      <c r="O766" s="4" t="n">
        <f aca="false">(G766*H766)-K766</f>
        <v>0</v>
      </c>
      <c r="P766" s="3" t="s">
        <v>21</v>
      </c>
    </row>
    <row r="767" customFormat="false" ht="15" hidden="false" customHeight="false" outlineLevel="0" collapsed="false">
      <c r="A767" s="7" t="n">
        <v>46093</v>
      </c>
      <c r="B767" s="8" t="s">
        <v>41</v>
      </c>
      <c r="C767" s="8" t="s">
        <v>28</v>
      </c>
      <c r="D767" s="8" t="s">
        <v>68</v>
      </c>
      <c r="E767" s="8" t="s">
        <v>69</v>
      </c>
      <c r="F767" s="8" t="s">
        <v>40</v>
      </c>
      <c r="G767" s="8" t="n">
        <v>12</v>
      </c>
      <c r="H767" s="9" t="n">
        <v>24.99</v>
      </c>
      <c r="I767" s="9" t="n">
        <v>9</v>
      </c>
      <c r="J767" s="10" t="n">
        <v>0.1</v>
      </c>
      <c r="K767" s="9" t="n">
        <f aca="false">G767*H767*(1-J767)</f>
        <v>269.892</v>
      </c>
      <c r="L767" s="9" t="n">
        <f aca="false">G767*I767</f>
        <v>108</v>
      </c>
      <c r="M767" s="9" t="n">
        <f aca="false">K767-L767</f>
        <v>161.892</v>
      </c>
      <c r="N767" s="11" t="n">
        <f aca="false">IF(K767=0,0,M767/K767)</f>
        <v>0.59983993597439</v>
      </c>
      <c r="O767" s="9" t="n">
        <f aca="false">(G767*H767)-K767</f>
        <v>29.988</v>
      </c>
      <c r="P767" s="8" t="s">
        <v>21</v>
      </c>
    </row>
    <row r="768" customFormat="false" ht="15" hidden="false" customHeight="false" outlineLevel="0" collapsed="false">
      <c r="A768" s="2" t="n">
        <v>46106</v>
      </c>
      <c r="B768" s="3" t="s">
        <v>22</v>
      </c>
      <c r="C768" s="3" t="s">
        <v>23</v>
      </c>
      <c r="D768" s="3" t="s">
        <v>82</v>
      </c>
      <c r="E768" s="3" t="s">
        <v>83</v>
      </c>
      <c r="F768" s="3" t="s">
        <v>26</v>
      </c>
      <c r="G768" s="3" t="n">
        <v>12</v>
      </c>
      <c r="H768" s="4" t="n">
        <v>44.99</v>
      </c>
      <c r="I768" s="4" t="n">
        <v>18</v>
      </c>
      <c r="J768" s="5" t="n">
        <v>0</v>
      </c>
      <c r="K768" s="4" t="n">
        <f aca="false">G768*H768*(1-J768)</f>
        <v>539.88</v>
      </c>
      <c r="L768" s="4" t="n">
        <f aca="false">G768*I768</f>
        <v>216</v>
      </c>
      <c r="M768" s="4" t="n">
        <f aca="false">K768-L768</f>
        <v>323.88</v>
      </c>
      <c r="N768" s="6" t="n">
        <f aca="false">IF(K768=0,0,M768/K768)</f>
        <v>0.599911091353634</v>
      </c>
      <c r="O768" s="4" t="n">
        <f aca="false">(G768*H768)-K768</f>
        <v>0</v>
      </c>
      <c r="P768" s="3" t="s">
        <v>21</v>
      </c>
    </row>
    <row r="769" customFormat="false" ht="15" hidden="false" customHeight="false" outlineLevel="0" collapsed="false">
      <c r="A769" s="7" t="n">
        <v>46038</v>
      </c>
      <c r="B769" s="8" t="s">
        <v>58</v>
      </c>
      <c r="C769" s="8" t="s">
        <v>58</v>
      </c>
      <c r="D769" s="8" t="s">
        <v>46</v>
      </c>
      <c r="E769" s="8" t="s">
        <v>47</v>
      </c>
      <c r="F769" s="8" t="s">
        <v>20</v>
      </c>
      <c r="G769" s="8" t="n">
        <v>17</v>
      </c>
      <c r="H769" s="9" t="n">
        <v>44.99</v>
      </c>
      <c r="I769" s="9" t="n">
        <v>18</v>
      </c>
      <c r="J769" s="10" t="n">
        <v>0</v>
      </c>
      <c r="K769" s="9" t="n">
        <f aca="false">G769*H769*(1-J769)</f>
        <v>764.83</v>
      </c>
      <c r="L769" s="9" t="n">
        <f aca="false">G769*I769</f>
        <v>306</v>
      </c>
      <c r="M769" s="9" t="n">
        <f aca="false">K769-L769</f>
        <v>458.83</v>
      </c>
      <c r="N769" s="11" t="n">
        <f aca="false">IF(K769=0,0,M769/K769)</f>
        <v>0.599911091353634</v>
      </c>
      <c r="O769" s="9" t="n">
        <f aca="false">(G769*H769)-K769</f>
        <v>0</v>
      </c>
      <c r="P769" s="8" t="s">
        <v>21</v>
      </c>
    </row>
    <row r="770" customFormat="false" ht="15" hidden="false" customHeight="false" outlineLevel="0" collapsed="false">
      <c r="A770" s="2" t="n">
        <v>46056</v>
      </c>
      <c r="B770" s="3" t="s">
        <v>16</v>
      </c>
      <c r="C770" s="3" t="s">
        <v>17</v>
      </c>
      <c r="D770" s="3" t="s">
        <v>29</v>
      </c>
      <c r="E770" s="3" t="s">
        <v>30</v>
      </c>
      <c r="F770" s="3" t="s">
        <v>20</v>
      </c>
      <c r="G770" s="3" t="n">
        <v>19</v>
      </c>
      <c r="H770" s="4" t="n">
        <v>89.99</v>
      </c>
      <c r="I770" s="4" t="n">
        <v>42</v>
      </c>
      <c r="J770" s="5" t="n">
        <v>0.05</v>
      </c>
      <c r="K770" s="4" t="n">
        <f aca="false">G770*H770*(1-J770)</f>
        <v>1624.3195</v>
      </c>
      <c r="L770" s="4" t="n">
        <f aca="false">G770*I770</f>
        <v>798</v>
      </c>
      <c r="M770" s="4" t="n">
        <f aca="false">K770-L770</f>
        <v>826.3195</v>
      </c>
      <c r="N770" s="6" t="n">
        <f aca="false">IF(K770=0,0,M770/K770)</f>
        <v>0.508717342862657</v>
      </c>
      <c r="O770" s="4" t="n">
        <f aca="false">(G770*H770)-K770</f>
        <v>85.4905000000001</v>
      </c>
      <c r="P770" s="3" t="s">
        <v>21</v>
      </c>
    </row>
    <row r="771" customFormat="false" ht="15" hidden="false" customHeight="false" outlineLevel="0" collapsed="false">
      <c r="A771" s="7" t="n">
        <v>46116</v>
      </c>
      <c r="B771" s="8" t="s">
        <v>64</v>
      </c>
      <c r="C771" s="8" t="s">
        <v>65</v>
      </c>
      <c r="D771" s="8" t="s">
        <v>51</v>
      </c>
      <c r="E771" s="8" t="s">
        <v>52</v>
      </c>
      <c r="F771" s="8" t="s">
        <v>50</v>
      </c>
      <c r="G771" s="8" t="n">
        <v>14</v>
      </c>
      <c r="H771" s="9" t="n">
        <v>19.99</v>
      </c>
      <c r="I771" s="9" t="n">
        <v>7</v>
      </c>
      <c r="J771" s="10" t="n">
        <v>0.1</v>
      </c>
      <c r="K771" s="9" t="n">
        <f aca="false">G771*H771*(1-J771)</f>
        <v>251.874</v>
      </c>
      <c r="L771" s="9" t="n">
        <f aca="false">G771*I771</f>
        <v>98</v>
      </c>
      <c r="M771" s="9" t="n">
        <f aca="false">K771-L771</f>
        <v>153.874</v>
      </c>
      <c r="N771" s="11" t="n">
        <f aca="false">IF(K771=0,0,M771/K771)</f>
        <v>0.610916569395809</v>
      </c>
      <c r="O771" s="9" t="n">
        <f aca="false">(G771*H771)-K771</f>
        <v>27.986</v>
      </c>
      <c r="P771" s="8" t="s">
        <v>21</v>
      </c>
    </row>
    <row r="772" customFormat="false" ht="15" hidden="false" customHeight="false" outlineLevel="0" collapsed="false">
      <c r="A772" s="2" t="n">
        <v>46031</v>
      </c>
      <c r="B772" s="3" t="s">
        <v>16</v>
      </c>
      <c r="C772" s="3" t="s">
        <v>17</v>
      </c>
      <c r="D772" s="3" t="s">
        <v>35</v>
      </c>
      <c r="E772" s="3" t="s">
        <v>36</v>
      </c>
      <c r="F772" s="3" t="s">
        <v>26</v>
      </c>
      <c r="G772" s="3" t="n">
        <v>27</v>
      </c>
      <c r="H772" s="4" t="n">
        <v>69.99</v>
      </c>
      <c r="I772" s="4" t="n">
        <v>30</v>
      </c>
      <c r="J772" s="5" t="n">
        <v>0</v>
      </c>
      <c r="K772" s="4" t="n">
        <f aca="false">G772*H772*(1-J772)</f>
        <v>1889.73</v>
      </c>
      <c r="L772" s="4" t="n">
        <f aca="false">G772*I772</f>
        <v>810</v>
      </c>
      <c r="M772" s="4" t="n">
        <f aca="false">K772-L772</f>
        <v>1079.73</v>
      </c>
      <c r="N772" s="6" t="n">
        <f aca="false">IF(K772=0,0,M772/K772)</f>
        <v>0.57136733819117</v>
      </c>
      <c r="O772" s="4" t="n">
        <f aca="false">(G772*H772)-K772</f>
        <v>0</v>
      </c>
      <c r="P772" s="3" t="s">
        <v>21</v>
      </c>
    </row>
    <row r="773" customFormat="false" ht="15" hidden="false" customHeight="false" outlineLevel="0" collapsed="false">
      <c r="A773" s="7" t="n">
        <v>46118</v>
      </c>
      <c r="B773" s="8" t="s">
        <v>16</v>
      </c>
      <c r="C773" s="8" t="s">
        <v>17</v>
      </c>
      <c r="D773" s="8" t="s">
        <v>68</v>
      </c>
      <c r="E773" s="8" t="s">
        <v>69</v>
      </c>
      <c r="F773" s="8" t="s">
        <v>40</v>
      </c>
      <c r="G773" s="8" t="n">
        <v>3</v>
      </c>
      <c r="H773" s="9" t="n">
        <v>24.99</v>
      </c>
      <c r="I773" s="9" t="n">
        <v>9</v>
      </c>
      <c r="J773" s="10" t="n">
        <v>0.05</v>
      </c>
      <c r="K773" s="9" t="n">
        <f aca="false">G773*H773*(1-J773)</f>
        <v>71.2215</v>
      </c>
      <c r="L773" s="9" t="n">
        <f aca="false">G773*I773</f>
        <v>27</v>
      </c>
      <c r="M773" s="9" t="n">
        <f aca="false">K773-L773</f>
        <v>44.2215</v>
      </c>
      <c r="N773" s="11" t="n">
        <f aca="false">IF(K773=0,0,M773/K773)</f>
        <v>0.620900991975738</v>
      </c>
      <c r="O773" s="9" t="n">
        <f aca="false">(G773*H773)-K773</f>
        <v>3.74850000000001</v>
      </c>
      <c r="P773" s="8" t="s">
        <v>21</v>
      </c>
    </row>
    <row r="774" customFormat="false" ht="15" hidden="false" customHeight="false" outlineLevel="0" collapsed="false">
      <c r="A774" s="2" t="n">
        <v>46084</v>
      </c>
      <c r="B774" s="3" t="s">
        <v>37</v>
      </c>
      <c r="C774" s="3" t="s">
        <v>17</v>
      </c>
      <c r="D774" s="3" t="s">
        <v>88</v>
      </c>
      <c r="E774" s="3" t="s">
        <v>89</v>
      </c>
      <c r="F774" s="3" t="s">
        <v>57</v>
      </c>
      <c r="G774" s="3" t="n">
        <v>6</v>
      </c>
      <c r="H774" s="4" t="n">
        <v>12.99</v>
      </c>
      <c r="I774" s="4" t="n">
        <v>4.5</v>
      </c>
      <c r="J774" s="5" t="n">
        <v>0.3</v>
      </c>
      <c r="K774" s="4" t="n">
        <f aca="false">G774*H774*(1-J774)</f>
        <v>54.558</v>
      </c>
      <c r="L774" s="4" t="n">
        <f aca="false">G774*I774</f>
        <v>27</v>
      </c>
      <c r="M774" s="4" t="n">
        <f aca="false">K774-L774</f>
        <v>27.558</v>
      </c>
      <c r="N774" s="6" t="n">
        <f aca="false">IF(K774=0,0,M774/K774)</f>
        <v>0.505113823820521</v>
      </c>
      <c r="O774" s="4" t="n">
        <f aca="false">(G774*H774)-K774</f>
        <v>23.382</v>
      </c>
      <c r="P774" s="3" t="s">
        <v>21</v>
      </c>
    </row>
    <row r="775" customFormat="false" ht="15" hidden="false" customHeight="false" outlineLevel="0" collapsed="false">
      <c r="A775" s="7" t="n">
        <v>46065</v>
      </c>
      <c r="B775" s="8" t="s">
        <v>16</v>
      </c>
      <c r="C775" s="8" t="s">
        <v>17</v>
      </c>
      <c r="D775" s="8" t="s">
        <v>70</v>
      </c>
      <c r="E775" s="8" t="s">
        <v>71</v>
      </c>
      <c r="F775" s="8" t="s">
        <v>20</v>
      </c>
      <c r="G775" s="8" t="n">
        <v>2</v>
      </c>
      <c r="H775" s="9" t="n">
        <v>49.99</v>
      </c>
      <c r="I775" s="9" t="n">
        <v>19</v>
      </c>
      <c r="J775" s="10" t="n">
        <v>0.05</v>
      </c>
      <c r="K775" s="9" t="n">
        <f aca="false">G775*H775*(1-J775)</f>
        <v>94.981</v>
      </c>
      <c r="L775" s="9" t="n">
        <f aca="false">G775*I775</f>
        <v>38</v>
      </c>
      <c r="M775" s="9" t="n">
        <f aca="false">K775-L775</f>
        <v>56.981</v>
      </c>
      <c r="N775" s="11" t="n">
        <f aca="false">IF(K775=0,0,M775/K775)</f>
        <v>0.599919983996799</v>
      </c>
      <c r="O775" s="9" t="n">
        <f aca="false">(G775*H775)-K775</f>
        <v>4.99900000000001</v>
      </c>
      <c r="P775" s="8" t="s">
        <v>21</v>
      </c>
    </row>
    <row r="776" customFormat="false" ht="15" hidden="false" customHeight="false" outlineLevel="0" collapsed="false">
      <c r="A776" s="2" t="n">
        <v>46035</v>
      </c>
      <c r="B776" s="3" t="s">
        <v>37</v>
      </c>
      <c r="C776" s="3" t="s">
        <v>17</v>
      </c>
      <c r="D776" s="3" t="s">
        <v>70</v>
      </c>
      <c r="E776" s="3" t="s">
        <v>71</v>
      </c>
      <c r="F776" s="3" t="s">
        <v>20</v>
      </c>
      <c r="G776" s="3" t="n">
        <v>10</v>
      </c>
      <c r="H776" s="4" t="n">
        <v>49.99</v>
      </c>
      <c r="I776" s="4" t="n">
        <v>19</v>
      </c>
      <c r="J776" s="5" t="n">
        <v>0.15</v>
      </c>
      <c r="K776" s="4" t="n">
        <f aca="false">G776*H776*(1-J776)</f>
        <v>424.915</v>
      </c>
      <c r="L776" s="4" t="n">
        <f aca="false">G776*I776</f>
        <v>190</v>
      </c>
      <c r="M776" s="4" t="n">
        <f aca="false">K776-L776</f>
        <v>234.915</v>
      </c>
      <c r="N776" s="6" t="n">
        <f aca="false">IF(K776=0,0,M776/K776)</f>
        <v>0.552851746819952</v>
      </c>
      <c r="O776" s="4" t="n">
        <f aca="false">(G776*H776)-K776</f>
        <v>74.985</v>
      </c>
      <c r="P776" s="3" t="s">
        <v>21</v>
      </c>
    </row>
    <row r="777" customFormat="false" ht="15" hidden="false" customHeight="false" outlineLevel="0" collapsed="false">
      <c r="A777" s="7" t="n">
        <v>46046</v>
      </c>
      <c r="B777" s="8" t="s">
        <v>41</v>
      </c>
      <c r="C777" s="8" t="s">
        <v>28</v>
      </c>
      <c r="D777" s="8" t="s">
        <v>74</v>
      </c>
      <c r="E777" s="8" t="s">
        <v>75</v>
      </c>
      <c r="F777" s="8" t="s">
        <v>40</v>
      </c>
      <c r="G777" s="8" t="n">
        <v>28</v>
      </c>
      <c r="H777" s="9" t="n">
        <v>29.99</v>
      </c>
      <c r="I777" s="9" t="n">
        <v>13</v>
      </c>
      <c r="J777" s="10" t="n">
        <v>0.1</v>
      </c>
      <c r="K777" s="9" t="n">
        <f aca="false">G777*H777*(1-J777)</f>
        <v>755.748</v>
      </c>
      <c r="L777" s="9" t="n">
        <f aca="false">G777*I777</f>
        <v>364</v>
      </c>
      <c r="M777" s="9" t="n">
        <f aca="false">K777-L777</f>
        <v>391.748</v>
      </c>
      <c r="N777" s="11" t="n">
        <f aca="false">IF(K777=0,0,M777/K777)</f>
        <v>0.518357971175577</v>
      </c>
      <c r="O777" s="9" t="n">
        <f aca="false">(G777*H777)-K777</f>
        <v>83.972</v>
      </c>
      <c r="P777" s="8" t="s">
        <v>21</v>
      </c>
    </row>
    <row r="778" customFormat="false" ht="15" hidden="false" customHeight="false" outlineLevel="0" collapsed="false">
      <c r="A778" s="2" t="n">
        <v>46073</v>
      </c>
      <c r="B778" s="3" t="s">
        <v>41</v>
      </c>
      <c r="C778" s="3" t="s">
        <v>28</v>
      </c>
      <c r="D778" s="3" t="s">
        <v>90</v>
      </c>
      <c r="E778" s="3" t="s">
        <v>91</v>
      </c>
      <c r="F778" s="3" t="s">
        <v>26</v>
      </c>
      <c r="G778" s="3" t="n">
        <v>24</v>
      </c>
      <c r="H778" s="4" t="n">
        <v>29.99</v>
      </c>
      <c r="I778" s="4" t="n">
        <v>11</v>
      </c>
      <c r="J778" s="5" t="n">
        <v>0.3</v>
      </c>
      <c r="K778" s="4" t="n">
        <f aca="false">G778*H778*(1-J778)</f>
        <v>503.832</v>
      </c>
      <c r="L778" s="4" t="n">
        <f aca="false">G778*I778</f>
        <v>264</v>
      </c>
      <c r="M778" s="4" t="n">
        <f aca="false">K778-L778</f>
        <v>239.832</v>
      </c>
      <c r="N778" s="6" t="n">
        <f aca="false">IF(K778=0,0,M778/K778)</f>
        <v>0.476015814795408</v>
      </c>
      <c r="O778" s="4" t="n">
        <f aca="false">(G778*H778)-K778</f>
        <v>215.928</v>
      </c>
      <c r="P778" s="3" t="s">
        <v>21</v>
      </c>
    </row>
    <row r="779" customFormat="false" ht="15" hidden="false" customHeight="false" outlineLevel="0" collapsed="false">
      <c r="A779" s="7" t="n">
        <v>46132</v>
      </c>
      <c r="B779" s="8" t="s">
        <v>27</v>
      </c>
      <c r="C779" s="8" t="s">
        <v>28</v>
      </c>
      <c r="D779" s="8" t="s">
        <v>18</v>
      </c>
      <c r="E779" s="8" t="s">
        <v>19</v>
      </c>
      <c r="F779" s="8" t="s">
        <v>20</v>
      </c>
      <c r="G779" s="8" t="n">
        <v>24</v>
      </c>
      <c r="H779" s="9" t="n">
        <v>26.99</v>
      </c>
      <c r="I779" s="9" t="n">
        <v>10.5</v>
      </c>
      <c r="J779" s="10" t="n">
        <v>0</v>
      </c>
      <c r="K779" s="9" t="n">
        <f aca="false">G779*H779*(1-J779)</f>
        <v>647.76</v>
      </c>
      <c r="L779" s="9" t="n">
        <f aca="false">G779*I779</f>
        <v>252</v>
      </c>
      <c r="M779" s="9" t="n">
        <f aca="false">K779-L779</f>
        <v>395.76</v>
      </c>
      <c r="N779" s="11" t="n">
        <f aca="false">IF(K779=0,0,M779/K779)</f>
        <v>0.610967024824009</v>
      </c>
      <c r="O779" s="9" t="n">
        <f aca="false">(G779*H779)-K779</f>
        <v>0</v>
      </c>
      <c r="P779" s="8" t="s">
        <v>21</v>
      </c>
    </row>
    <row r="780" customFormat="false" ht="15" hidden="false" customHeight="false" outlineLevel="0" collapsed="false">
      <c r="A780" s="2" t="n">
        <v>46129</v>
      </c>
      <c r="B780" s="3" t="s">
        <v>41</v>
      </c>
      <c r="C780" s="3" t="s">
        <v>28</v>
      </c>
      <c r="D780" s="3" t="s">
        <v>88</v>
      </c>
      <c r="E780" s="3" t="s">
        <v>89</v>
      </c>
      <c r="F780" s="3" t="s">
        <v>57</v>
      </c>
      <c r="G780" s="3" t="n">
        <v>7</v>
      </c>
      <c r="H780" s="4" t="n">
        <v>14.99</v>
      </c>
      <c r="I780" s="4" t="n">
        <v>4.5</v>
      </c>
      <c r="J780" s="5" t="n">
        <v>0</v>
      </c>
      <c r="K780" s="4" t="n">
        <f aca="false">G780*H780*(1-J780)</f>
        <v>104.93</v>
      </c>
      <c r="L780" s="4" t="n">
        <f aca="false">G780*I780</f>
        <v>31.5</v>
      </c>
      <c r="M780" s="4" t="n">
        <f aca="false">K780-L780</f>
        <v>73.43</v>
      </c>
      <c r="N780" s="6" t="n">
        <f aca="false">IF(K780=0,0,M780/K780)</f>
        <v>0.699799866577719</v>
      </c>
      <c r="O780" s="4" t="n">
        <f aca="false">(G780*H780)-K780</f>
        <v>0</v>
      </c>
      <c r="P780" s="3" t="s">
        <v>21</v>
      </c>
    </row>
    <row r="781" customFormat="false" ht="15" hidden="false" customHeight="false" outlineLevel="0" collapsed="false">
      <c r="A781" s="7" t="n">
        <v>46034</v>
      </c>
      <c r="B781" s="8" t="s">
        <v>37</v>
      </c>
      <c r="C781" s="8" t="s">
        <v>17</v>
      </c>
      <c r="D781" s="8" t="s">
        <v>93</v>
      </c>
      <c r="E781" s="8" t="s">
        <v>94</v>
      </c>
      <c r="F781" s="8" t="s">
        <v>34</v>
      </c>
      <c r="G781" s="8" t="n">
        <v>29</v>
      </c>
      <c r="H781" s="9" t="n">
        <v>29.99</v>
      </c>
      <c r="I781" s="9" t="n">
        <v>9</v>
      </c>
      <c r="J781" s="10" t="n">
        <v>0.15</v>
      </c>
      <c r="K781" s="9" t="n">
        <f aca="false">G781*H781*(1-J781)</f>
        <v>739.2535</v>
      </c>
      <c r="L781" s="9" t="n">
        <f aca="false">G781*I781</f>
        <v>261</v>
      </c>
      <c r="M781" s="9" t="n">
        <f aca="false">K781-L781</f>
        <v>478.2535</v>
      </c>
      <c r="N781" s="11" t="n">
        <f aca="false">IF(K781=0,0,M781/K781)</f>
        <v>0.646941137241826</v>
      </c>
      <c r="O781" s="9" t="n">
        <f aca="false">(G781*H781)-K781</f>
        <v>130.4565</v>
      </c>
      <c r="P781" s="8" t="s">
        <v>21</v>
      </c>
    </row>
    <row r="782" customFormat="false" ht="15" hidden="false" customHeight="false" outlineLevel="0" collapsed="false">
      <c r="A782" s="2" t="n">
        <v>46104</v>
      </c>
      <c r="B782" s="3" t="s">
        <v>22</v>
      </c>
      <c r="C782" s="3" t="s">
        <v>23</v>
      </c>
      <c r="D782" s="3" t="s">
        <v>55</v>
      </c>
      <c r="E782" s="3" t="s">
        <v>56</v>
      </c>
      <c r="F782" s="3" t="s">
        <v>57</v>
      </c>
      <c r="G782" s="3" t="n">
        <v>29</v>
      </c>
      <c r="H782" s="4" t="n">
        <v>29.99</v>
      </c>
      <c r="I782" s="4" t="n">
        <v>11</v>
      </c>
      <c r="J782" s="5" t="n">
        <v>0</v>
      </c>
      <c r="K782" s="4" t="n">
        <f aca="false">G782*H782*(1-J782)</f>
        <v>869.71</v>
      </c>
      <c r="L782" s="4" t="n">
        <f aca="false">G782*I782</f>
        <v>319</v>
      </c>
      <c r="M782" s="4" t="n">
        <f aca="false">K782-L782</f>
        <v>550.71</v>
      </c>
      <c r="N782" s="6" t="n">
        <f aca="false">IF(K782=0,0,M782/K782)</f>
        <v>0.633211070356786</v>
      </c>
      <c r="O782" s="4" t="n">
        <f aca="false">(G782*H782)-K782</f>
        <v>0</v>
      </c>
      <c r="P782" s="3" t="s">
        <v>21</v>
      </c>
    </row>
    <row r="783" customFormat="false" ht="15" hidden="false" customHeight="false" outlineLevel="0" collapsed="false">
      <c r="A783" s="7" t="n">
        <v>46049</v>
      </c>
      <c r="B783" s="8" t="s">
        <v>41</v>
      </c>
      <c r="C783" s="8" t="s">
        <v>28</v>
      </c>
      <c r="D783" s="8" t="s">
        <v>74</v>
      </c>
      <c r="E783" s="8" t="s">
        <v>75</v>
      </c>
      <c r="F783" s="8" t="s">
        <v>40</v>
      </c>
      <c r="G783" s="8" t="n">
        <v>30</v>
      </c>
      <c r="H783" s="9" t="n">
        <v>29.99</v>
      </c>
      <c r="I783" s="9" t="n">
        <v>13</v>
      </c>
      <c r="J783" s="10" t="n">
        <v>0.1</v>
      </c>
      <c r="K783" s="9" t="n">
        <f aca="false">G783*H783*(1-J783)</f>
        <v>809.73</v>
      </c>
      <c r="L783" s="9" t="n">
        <f aca="false">G783*I783</f>
        <v>390</v>
      </c>
      <c r="M783" s="9" t="n">
        <f aca="false">K783-L783</f>
        <v>419.73</v>
      </c>
      <c r="N783" s="11" t="n">
        <f aca="false">IF(K783=0,0,M783/K783)</f>
        <v>0.518357971175577</v>
      </c>
      <c r="O783" s="9" t="n">
        <f aca="false">(G783*H783)-K783</f>
        <v>89.97</v>
      </c>
      <c r="P783" s="8" t="s">
        <v>21</v>
      </c>
    </row>
    <row r="784" customFormat="false" ht="15" hidden="false" customHeight="false" outlineLevel="0" collapsed="false">
      <c r="A784" s="2" t="n">
        <v>46053</v>
      </c>
      <c r="B784" s="3" t="s">
        <v>16</v>
      </c>
      <c r="C784" s="3" t="s">
        <v>17</v>
      </c>
      <c r="D784" s="3" t="s">
        <v>90</v>
      </c>
      <c r="E784" s="3" t="s">
        <v>91</v>
      </c>
      <c r="F784" s="3" t="s">
        <v>26</v>
      </c>
      <c r="G784" s="3" t="n">
        <v>14</v>
      </c>
      <c r="H784" s="4" t="n">
        <v>29.99</v>
      </c>
      <c r="I784" s="4" t="n">
        <v>11</v>
      </c>
      <c r="J784" s="5" t="n">
        <v>0</v>
      </c>
      <c r="K784" s="4" t="n">
        <f aca="false">G784*H784*(1-J784)</f>
        <v>419.86</v>
      </c>
      <c r="L784" s="4" t="n">
        <f aca="false">G784*I784</f>
        <v>154</v>
      </c>
      <c r="M784" s="4" t="n">
        <f aca="false">K784-L784</f>
        <v>265.86</v>
      </c>
      <c r="N784" s="6" t="n">
        <f aca="false">IF(K784=0,0,M784/K784)</f>
        <v>0.633211070356786</v>
      </c>
      <c r="O784" s="4" t="n">
        <f aca="false">(G784*H784)-K784</f>
        <v>0</v>
      </c>
      <c r="P784" s="3" t="s">
        <v>21</v>
      </c>
    </row>
    <row r="785" customFormat="false" ht="15" hidden="false" customHeight="false" outlineLevel="0" collapsed="false">
      <c r="A785" s="7" t="n">
        <v>46083</v>
      </c>
      <c r="B785" s="8" t="s">
        <v>27</v>
      </c>
      <c r="C785" s="8" t="s">
        <v>28</v>
      </c>
      <c r="D785" s="8" t="s">
        <v>42</v>
      </c>
      <c r="E785" s="8" t="s">
        <v>43</v>
      </c>
      <c r="F785" s="8" t="s">
        <v>34</v>
      </c>
      <c r="G785" s="8" t="n">
        <v>19</v>
      </c>
      <c r="H785" s="9" t="n">
        <v>11.99</v>
      </c>
      <c r="I785" s="9" t="n">
        <v>3.5</v>
      </c>
      <c r="J785" s="10" t="n">
        <v>0.3</v>
      </c>
      <c r="K785" s="9" t="n">
        <f aca="false">G785*H785*(1-J785)</f>
        <v>159.467</v>
      </c>
      <c r="L785" s="9" t="n">
        <f aca="false">G785*I785</f>
        <v>66.5</v>
      </c>
      <c r="M785" s="9" t="n">
        <f aca="false">K785-L785</f>
        <v>92.967</v>
      </c>
      <c r="N785" s="11" t="n">
        <f aca="false">IF(K785=0,0,M785/K785)</f>
        <v>0.582985821517932</v>
      </c>
      <c r="O785" s="9" t="n">
        <f aca="false">(G785*H785)-K785</f>
        <v>68.343</v>
      </c>
      <c r="P785" s="8" t="s">
        <v>21</v>
      </c>
    </row>
    <row r="786" customFormat="false" ht="15" hidden="false" customHeight="false" outlineLevel="0" collapsed="false">
      <c r="A786" s="2" t="n">
        <v>46094</v>
      </c>
      <c r="B786" s="3" t="s">
        <v>27</v>
      </c>
      <c r="C786" s="3" t="s">
        <v>28</v>
      </c>
      <c r="D786" s="3" t="s">
        <v>86</v>
      </c>
      <c r="E786" s="3" t="s">
        <v>87</v>
      </c>
      <c r="F786" s="3" t="s">
        <v>40</v>
      </c>
      <c r="G786" s="3" t="n">
        <v>23</v>
      </c>
      <c r="H786" s="4" t="n">
        <v>16.99</v>
      </c>
      <c r="I786" s="4" t="n">
        <v>5.5</v>
      </c>
      <c r="J786" s="5" t="n">
        <v>0</v>
      </c>
      <c r="K786" s="4" t="n">
        <f aca="false">G786*H786*(1-J786)</f>
        <v>390.77</v>
      </c>
      <c r="L786" s="4" t="n">
        <f aca="false">G786*I786</f>
        <v>126.5</v>
      </c>
      <c r="M786" s="4" t="n">
        <f aca="false">K786-L786</f>
        <v>264.27</v>
      </c>
      <c r="N786" s="6" t="n">
        <f aca="false">IF(K786=0,0,M786/K786)</f>
        <v>0.676280164802825</v>
      </c>
      <c r="O786" s="4" t="n">
        <f aca="false">(G786*H786)-K786</f>
        <v>0</v>
      </c>
      <c r="P786" s="3" t="s">
        <v>21</v>
      </c>
    </row>
    <row r="787" customFormat="false" ht="15" hidden="false" customHeight="false" outlineLevel="0" collapsed="false">
      <c r="A787" s="7" t="n">
        <v>46076</v>
      </c>
      <c r="B787" s="8" t="s">
        <v>22</v>
      </c>
      <c r="C787" s="8" t="s">
        <v>23</v>
      </c>
      <c r="D787" s="8" t="s">
        <v>44</v>
      </c>
      <c r="E787" s="8" t="s">
        <v>45</v>
      </c>
      <c r="F787" s="8" t="s">
        <v>40</v>
      </c>
      <c r="G787" s="8" t="n">
        <v>16</v>
      </c>
      <c r="H787" s="9" t="n">
        <v>29.99</v>
      </c>
      <c r="I787" s="9" t="n">
        <v>11</v>
      </c>
      <c r="J787" s="10" t="n">
        <v>0.25</v>
      </c>
      <c r="K787" s="9" t="n">
        <f aca="false">G787*H787*(1-J787)</f>
        <v>359.88</v>
      </c>
      <c r="L787" s="9" t="n">
        <f aca="false">G787*I787</f>
        <v>176</v>
      </c>
      <c r="M787" s="9" t="n">
        <f aca="false">K787-L787</f>
        <v>183.88</v>
      </c>
      <c r="N787" s="11" t="n">
        <f aca="false">IF(K787=0,0,M787/K787)</f>
        <v>0.510948093809048</v>
      </c>
      <c r="O787" s="9" t="n">
        <f aca="false">(G787*H787)-K787</f>
        <v>119.96</v>
      </c>
      <c r="P787" s="8" t="s">
        <v>21</v>
      </c>
    </row>
    <row r="788" customFormat="false" ht="15" hidden="false" customHeight="false" outlineLevel="0" collapsed="false">
      <c r="A788" s="2" t="n">
        <v>46089</v>
      </c>
      <c r="B788" s="3" t="s">
        <v>27</v>
      </c>
      <c r="C788" s="3" t="s">
        <v>28</v>
      </c>
      <c r="D788" s="3" t="s">
        <v>53</v>
      </c>
      <c r="E788" s="3" t="s">
        <v>54</v>
      </c>
      <c r="F788" s="3" t="s">
        <v>50</v>
      </c>
      <c r="G788" s="3" t="n">
        <v>21</v>
      </c>
      <c r="H788" s="4" t="n">
        <v>22.99</v>
      </c>
      <c r="I788" s="4" t="n">
        <v>8</v>
      </c>
      <c r="J788" s="5" t="n">
        <v>0</v>
      </c>
      <c r="K788" s="4" t="n">
        <f aca="false">G788*H788*(1-J788)</f>
        <v>482.79</v>
      </c>
      <c r="L788" s="4" t="n">
        <f aca="false">G788*I788</f>
        <v>168</v>
      </c>
      <c r="M788" s="4" t="n">
        <f aca="false">K788-L788</f>
        <v>314.79</v>
      </c>
      <c r="N788" s="6" t="n">
        <f aca="false">IF(K788=0,0,M788/K788)</f>
        <v>0.652022618529796</v>
      </c>
      <c r="O788" s="4" t="n">
        <f aca="false">(G788*H788)-K788</f>
        <v>0</v>
      </c>
      <c r="P788" s="3" t="s">
        <v>21</v>
      </c>
    </row>
    <row r="789" customFormat="false" ht="15" hidden="false" customHeight="false" outlineLevel="0" collapsed="false">
      <c r="A789" s="7" t="n">
        <v>46046</v>
      </c>
      <c r="B789" s="8" t="s">
        <v>64</v>
      </c>
      <c r="C789" s="8" t="s">
        <v>65</v>
      </c>
      <c r="D789" s="8" t="s">
        <v>86</v>
      </c>
      <c r="E789" s="8" t="s">
        <v>87</v>
      </c>
      <c r="F789" s="8" t="s">
        <v>40</v>
      </c>
      <c r="G789" s="8" t="n">
        <v>10</v>
      </c>
      <c r="H789" s="9" t="n">
        <v>4.03</v>
      </c>
      <c r="I789" s="9" t="n">
        <v>5.5</v>
      </c>
      <c r="J789" s="10" t="n">
        <v>0</v>
      </c>
      <c r="K789" s="9" t="n">
        <f aca="false">G789*H789*(1-J789)</f>
        <v>40.3</v>
      </c>
      <c r="L789" s="9" t="n">
        <f aca="false">G789*I789</f>
        <v>55</v>
      </c>
      <c r="M789" s="9" t="n">
        <f aca="false">K789-L789</f>
        <v>-14.7</v>
      </c>
      <c r="N789" s="11" t="n">
        <f aca="false">IF(K789=0,0,M789/K789)</f>
        <v>-0.364764267990074</v>
      </c>
      <c r="O789" s="9" t="n">
        <f aca="false">(G789*H789)-K789</f>
        <v>0</v>
      </c>
      <c r="P789" s="15" t="s">
        <v>98</v>
      </c>
    </row>
    <row r="790" customFormat="false" ht="15" hidden="false" customHeight="false" outlineLevel="0" collapsed="false">
      <c r="A790" s="2" t="n">
        <v>46102</v>
      </c>
      <c r="B790" s="3" t="s">
        <v>27</v>
      </c>
      <c r="C790" s="3" t="s">
        <v>28</v>
      </c>
      <c r="D790" s="3" t="s">
        <v>76</v>
      </c>
      <c r="E790" s="3" t="s">
        <v>77</v>
      </c>
      <c r="F790" s="3" t="s">
        <v>34</v>
      </c>
      <c r="G790" s="3" t="n">
        <v>25</v>
      </c>
      <c r="H790" s="4" t="n">
        <v>49.99</v>
      </c>
      <c r="I790" s="4" t="n">
        <v>14</v>
      </c>
      <c r="J790" s="5" t="n">
        <v>0.3</v>
      </c>
      <c r="K790" s="4" t="n">
        <f aca="false">G790*H790*(1-J790)</f>
        <v>874.825</v>
      </c>
      <c r="L790" s="4" t="n">
        <f aca="false">G790*I790</f>
        <v>350</v>
      </c>
      <c r="M790" s="4" t="n">
        <f aca="false">K790-L790</f>
        <v>524.825</v>
      </c>
      <c r="N790" s="6" t="n">
        <f aca="false">IF(K790=0,0,M790/K790)</f>
        <v>0.599919983996799</v>
      </c>
      <c r="O790" s="4" t="n">
        <f aca="false">(G790*H790)-K790</f>
        <v>374.925</v>
      </c>
      <c r="P790" s="3" t="s">
        <v>21</v>
      </c>
    </row>
    <row r="791" customFormat="false" ht="15" hidden="false" customHeight="false" outlineLevel="0" collapsed="false">
      <c r="A791" s="7" t="n">
        <v>46060</v>
      </c>
      <c r="B791" s="8" t="s">
        <v>41</v>
      </c>
      <c r="C791" s="8" t="s">
        <v>28</v>
      </c>
      <c r="D791" s="8" t="s">
        <v>80</v>
      </c>
      <c r="E791" s="8" t="s">
        <v>81</v>
      </c>
      <c r="F791" s="8" t="s">
        <v>57</v>
      </c>
      <c r="G791" s="8" t="n">
        <v>8</v>
      </c>
      <c r="H791" s="9" t="n">
        <v>17.99</v>
      </c>
      <c r="I791" s="9" t="n">
        <v>6.5</v>
      </c>
      <c r="J791" s="10" t="n">
        <v>0</v>
      </c>
      <c r="K791" s="9" t="n">
        <f aca="false">G791*H791*(1-J791)</f>
        <v>143.92</v>
      </c>
      <c r="L791" s="9" t="n">
        <f aca="false">G791*I791</f>
        <v>52</v>
      </c>
      <c r="M791" s="9" t="n">
        <f aca="false">K791-L791</f>
        <v>91.92</v>
      </c>
      <c r="N791" s="11" t="n">
        <f aca="false">IF(K791=0,0,M791/K791)</f>
        <v>0.638688160088938</v>
      </c>
      <c r="O791" s="9" t="n">
        <f aca="false">(G791*H791)-K791</f>
        <v>0</v>
      </c>
      <c r="P791" s="8" t="s">
        <v>21</v>
      </c>
    </row>
    <row r="792" customFormat="false" ht="15" hidden="false" customHeight="false" outlineLevel="0" collapsed="false">
      <c r="A792" s="2" t="n">
        <v>46110</v>
      </c>
      <c r="B792" s="3" t="s">
        <v>58</v>
      </c>
      <c r="C792" s="3" t="s">
        <v>58</v>
      </c>
      <c r="D792" s="3" t="s">
        <v>18</v>
      </c>
      <c r="E792" s="3" t="s">
        <v>19</v>
      </c>
      <c r="F792" s="3" t="s">
        <v>20</v>
      </c>
      <c r="G792" s="3" t="n">
        <v>1</v>
      </c>
      <c r="H792" s="4" t="n">
        <v>26.99</v>
      </c>
      <c r="I792" s="4" t="n">
        <v>10.5</v>
      </c>
      <c r="J792" s="5" t="n">
        <v>0.1</v>
      </c>
      <c r="K792" s="4" t="n">
        <f aca="false">G792*H792*(1-J792)</f>
        <v>24.291</v>
      </c>
      <c r="L792" s="4" t="n">
        <f aca="false">G792*I792</f>
        <v>10.5</v>
      </c>
      <c r="M792" s="4" t="n">
        <f aca="false">K792-L792</f>
        <v>13.791</v>
      </c>
      <c r="N792" s="6" t="n">
        <f aca="false">IF(K792=0,0,M792/K792)</f>
        <v>0.567741138693343</v>
      </c>
      <c r="O792" s="4" t="n">
        <f aca="false">(G792*H792)-K792</f>
        <v>2.699</v>
      </c>
      <c r="P792" s="3" t="s">
        <v>21</v>
      </c>
    </row>
    <row r="793" customFormat="false" ht="15" hidden="false" customHeight="false" outlineLevel="0" collapsed="false">
      <c r="A793" s="7" t="n">
        <v>46039</v>
      </c>
      <c r="B793" s="8" t="s">
        <v>31</v>
      </c>
      <c r="C793" s="8" t="s">
        <v>23</v>
      </c>
      <c r="D793" s="8" t="s">
        <v>55</v>
      </c>
      <c r="E793" s="8" t="s">
        <v>56</v>
      </c>
      <c r="F793" s="8" t="s">
        <v>57</v>
      </c>
      <c r="G793" s="8" t="n">
        <v>26</v>
      </c>
      <c r="H793" s="9" t="n">
        <v>29.99</v>
      </c>
      <c r="I793" s="9" t="n">
        <v>11</v>
      </c>
      <c r="J793" s="10" t="n">
        <v>0.1</v>
      </c>
      <c r="K793" s="9" t="n">
        <f aca="false">G793*H793*(1-J793)</f>
        <v>701.766</v>
      </c>
      <c r="L793" s="9" t="n">
        <f aca="false">G793*I793</f>
        <v>286</v>
      </c>
      <c r="M793" s="9" t="n">
        <f aca="false">K793-L793</f>
        <v>415.766</v>
      </c>
      <c r="N793" s="11" t="n">
        <f aca="false">IF(K793=0,0,M793/K793)</f>
        <v>0.592456744840873</v>
      </c>
      <c r="O793" s="9" t="n">
        <f aca="false">(G793*H793)-K793</f>
        <v>77.9739999999999</v>
      </c>
      <c r="P793" s="8" t="s">
        <v>21</v>
      </c>
    </row>
    <row r="794" customFormat="false" ht="15" hidden="false" customHeight="false" outlineLevel="0" collapsed="false">
      <c r="A794" s="2" t="n">
        <v>46127</v>
      </c>
      <c r="B794" s="3" t="s">
        <v>58</v>
      </c>
      <c r="C794" s="3" t="s">
        <v>58</v>
      </c>
      <c r="D794" s="3" t="s">
        <v>86</v>
      </c>
      <c r="E794" s="3" t="s">
        <v>87</v>
      </c>
      <c r="F794" s="3" t="s">
        <v>40</v>
      </c>
      <c r="G794" s="3" t="n">
        <v>20</v>
      </c>
      <c r="H794" s="4" t="n">
        <v>16.99</v>
      </c>
      <c r="I794" s="4" t="n">
        <v>5.5</v>
      </c>
      <c r="J794" s="5" t="n">
        <v>0.2</v>
      </c>
      <c r="K794" s="4" t="n">
        <f aca="false">G794*H794*(1-J794)</f>
        <v>271.84</v>
      </c>
      <c r="L794" s="4" t="n">
        <f aca="false">G794*I794</f>
        <v>110</v>
      </c>
      <c r="M794" s="4" t="n">
        <f aca="false">K794-L794</f>
        <v>161.84</v>
      </c>
      <c r="N794" s="6" t="n">
        <f aca="false">IF(K794=0,0,M794/K794)</f>
        <v>0.595350206003532</v>
      </c>
      <c r="O794" s="4" t="n">
        <f aca="false">(G794*H794)-K794</f>
        <v>67.96</v>
      </c>
      <c r="P794" s="3" t="s">
        <v>21</v>
      </c>
    </row>
    <row r="795" customFormat="false" ht="15" hidden="false" customHeight="false" outlineLevel="0" collapsed="false">
      <c r="A795" s="7" t="n">
        <v>46071</v>
      </c>
      <c r="B795" s="8" t="s">
        <v>58</v>
      </c>
      <c r="C795" s="8" t="s">
        <v>58</v>
      </c>
      <c r="D795" s="8" t="s">
        <v>18</v>
      </c>
      <c r="E795" s="8" t="s">
        <v>19</v>
      </c>
      <c r="F795" s="8" t="s">
        <v>20</v>
      </c>
      <c r="G795" s="8" t="n">
        <v>12</v>
      </c>
      <c r="H795" s="9" t="n">
        <v>26.99</v>
      </c>
      <c r="I795" s="9" t="n">
        <v>10.5</v>
      </c>
      <c r="J795" s="10" t="n">
        <v>0.05</v>
      </c>
      <c r="K795" s="9" t="n">
        <f aca="false">G795*H795*(1-J795)</f>
        <v>307.686</v>
      </c>
      <c r="L795" s="9" t="n">
        <f aca="false">G795*I795</f>
        <v>126</v>
      </c>
      <c r="M795" s="9" t="n">
        <f aca="false">K795-L795</f>
        <v>181.686</v>
      </c>
      <c r="N795" s="11" t="n">
        <f aca="false">IF(K795=0,0,M795/K795)</f>
        <v>0.590491605077904</v>
      </c>
      <c r="O795" s="9" t="n">
        <f aca="false">(G795*H795)-K795</f>
        <v>16.194</v>
      </c>
      <c r="P795" s="8" t="s">
        <v>21</v>
      </c>
    </row>
    <row r="796" customFormat="false" ht="15" hidden="false" customHeight="false" outlineLevel="0" collapsed="false">
      <c r="A796" s="2" t="n">
        <v>46046</v>
      </c>
      <c r="B796" s="3" t="s">
        <v>31</v>
      </c>
      <c r="C796" s="3" t="s">
        <v>23</v>
      </c>
      <c r="D796" s="3" t="s">
        <v>55</v>
      </c>
      <c r="E796" s="3" t="s">
        <v>56</v>
      </c>
      <c r="F796" s="3" t="s">
        <v>57</v>
      </c>
      <c r="G796" s="3" t="n">
        <v>2</v>
      </c>
      <c r="H796" s="4" t="n">
        <v>29.99</v>
      </c>
      <c r="I796" s="4" t="n">
        <v>11</v>
      </c>
      <c r="J796" s="5" t="n">
        <v>0</v>
      </c>
      <c r="K796" s="4" t="n">
        <f aca="false">G796*H796*(1-J796)</f>
        <v>59.98</v>
      </c>
      <c r="L796" s="4" t="n">
        <f aca="false">G796*I796</f>
        <v>22</v>
      </c>
      <c r="M796" s="4" t="n">
        <f aca="false">K796-L796</f>
        <v>37.98</v>
      </c>
      <c r="N796" s="6" t="n">
        <f aca="false">IF(K796=0,0,M796/K796)</f>
        <v>0.633211070356786</v>
      </c>
      <c r="O796" s="4" t="n">
        <f aca="false">(G796*H796)-K796</f>
        <v>0</v>
      </c>
      <c r="P796" s="3" t="s">
        <v>21</v>
      </c>
    </row>
    <row r="797" customFormat="false" ht="15" hidden="false" customHeight="false" outlineLevel="0" collapsed="false">
      <c r="A797" s="7" t="n">
        <v>46081</v>
      </c>
      <c r="B797" s="8" t="s">
        <v>41</v>
      </c>
      <c r="C797" s="8" t="s">
        <v>28</v>
      </c>
      <c r="D797" s="8" t="s">
        <v>61</v>
      </c>
      <c r="E797" s="8" t="s">
        <v>62</v>
      </c>
      <c r="F797" s="8" t="s">
        <v>34</v>
      </c>
      <c r="G797" s="8" t="n">
        <v>1</v>
      </c>
      <c r="H797" s="9" t="n">
        <v>12.99</v>
      </c>
      <c r="I797" s="9" t="n">
        <v>4.5</v>
      </c>
      <c r="J797" s="10" t="n">
        <v>0</v>
      </c>
      <c r="K797" s="9" t="n">
        <f aca="false">G797*H797*(1-J797)</f>
        <v>12.99</v>
      </c>
      <c r="L797" s="9" t="n">
        <f aca="false">G797*I797</f>
        <v>4.5</v>
      </c>
      <c r="M797" s="9" t="n">
        <f aca="false">K797-L797</f>
        <v>8.49</v>
      </c>
      <c r="N797" s="11" t="n">
        <f aca="false">IF(K797=0,0,M797/K797)</f>
        <v>0.653579676674365</v>
      </c>
      <c r="O797" s="9" t="n">
        <f aca="false">(G797*H797)-K797</f>
        <v>0</v>
      </c>
      <c r="P797" s="8" t="s">
        <v>21</v>
      </c>
    </row>
    <row r="798" customFormat="false" ht="15" hidden="false" customHeight="false" outlineLevel="0" collapsed="false">
      <c r="A798" s="2" t="n">
        <v>46065</v>
      </c>
      <c r="B798" s="3" t="s">
        <v>27</v>
      </c>
      <c r="C798" s="3" t="s">
        <v>28</v>
      </c>
      <c r="D798" s="3" t="s">
        <v>61</v>
      </c>
      <c r="E798" s="3" t="s">
        <v>62</v>
      </c>
      <c r="F798" s="3" t="s">
        <v>34</v>
      </c>
      <c r="G798" s="3" t="n">
        <v>19</v>
      </c>
      <c r="H798" s="4" t="n">
        <v>14.99</v>
      </c>
      <c r="I798" s="4" t="n">
        <v>4.5</v>
      </c>
      <c r="J798" s="5" t="n">
        <v>0</v>
      </c>
      <c r="K798" s="4" t="n">
        <f aca="false">G798*H798*(1-J798)</f>
        <v>284.81</v>
      </c>
      <c r="L798" s="4" t="n">
        <f aca="false">G798*I798</f>
        <v>85.5</v>
      </c>
      <c r="M798" s="4" t="n">
        <f aca="false">K798-L798</f>
        <v>199.31</v>
      </c>
      <c r="N798" s="6" t="n">
        <f aca="false">IF(K798=0,0,M798/K798)</f>
        <v>0.699799866577719</v>
      </c>
      <c r="O798" s="4" t="n">
        <f aca="false">(G798*H798)-K798</f>
        <v>0</v>
      </c>
      <c r="P798" s="3" t="s">
        <v>21</v>
      </c>
    </row>
    <row r="799" customFormat="false" ht="15" hidden="false" customHeight="false" outlineLevel="0" collapsed="false">
      <c r="A799" s="7" t="n">
        <v>46060</v>
      </c>
      <c r="B799" s="8" t="s">
        <v>58</v>
      </c>
      <c r="C799" s="8" t="s">
        <v>58</v>
      </c>
      <c r="D799" s="8" t="s">
        <v>29</v>
      </c>
      <c r="E799" s="8" t="s">
        <v>30</v>
      </c>
      <c r="F799" s="8" t="s">
        <v>20</v>
      </c>
      <c r="G799" s="8" t="n">
        <v>22</v>
      </c>
      <c r="H799" s="9" t="n">
        <v>89.99</v>
      </c>
      <c r="I799" s="9" t="n">
        <v>42</v>
      </c>
      <c r="J799" s="10" t="n">
        <v>0</v>
      </c>
      <c r="K799" s="9" t="n">
        <f aca="false">G799*H799*(1-J799)</f>
        <v>1979.78</v>
      </c>
      <c r="L799" s="9" t="n">
        <f aca="false">G799*I799</f>
        <v>924</v>
      </c>
      <c r="M799" s="9" t="n">
        <f aca="false">K799-L799</f>
        <v>1055.78</v>
      </c>
      <c r="N799" s="11" t="n">
        <f aca="false">IF(K799=0,0,M799/K799)</f>
        <v>0.533281475719524</v>
      </c>
      <c r="O799" s="9" t="n">
        <f aca="false">(G799*H799)-K799</f>
        <v>0</v>
      </c>
      <c r="P799" s="8" t="s">
        <v>21</v>
      </c>
    </row>
    <row r="800" customFormat="false" ht="15" hidden="false" customHeight="false" outlineLevel="0" collapsed="false">
      <c r="A800" s="2" t="n">
        <v>46028</v>
      </c>
      <c r="B800" s="3" t="s">
        <v>22</v>
      </c>
      <c r="C800" s="3" t="s">
        <v>23</v>
      </c>
      <c r="D800" s="3" t="s">
        <v>42</v>
      </c>
      <c r="E800" s="3" t="s">
        <v>43</v>
      </c>
      <c r="F800" s="3" t="s">
        <v>34</v>
      </c>
      <c r="G800" s="3" t="n">
        <v>29</v>
      </c>
      <c r="H800" s="4" t="n">
        <v>11.99</v>
      </c>
      <c r="I800" s="4" t="n">
        <v>3.5</v>
      </c>
      <c r="J800" s="5" t="n">
        <v>0.15</v>
      </c>
      <c r="K800" s="4" t="n">
        <f aca="false">G800*H800*(1-J800)</f>
        <v>295.5535</v>
      </c>
      <c r="L800" s="4" t="n">
        <f aca="false">G800*I800</f>
        <v>101.5</v>
      </c>
      <c r="M800" s="4" t="n">
        <f aca="false">K800-L800</f>
        <v>194.0535</v>
      </c>
      <c r="N800" s="6" t="n">
        <f aca="false">IF(K800=0,0,M800/K800)</f>
        <v>0.65657655889712</v>
      </c>
      <c r="O800" s="4" t="n">
        <f aca="false">(G800*H800)-K800</f>
        <v>52.1565</v>
      </c>
      <c r="P800" s="3" t="s">
        <v>21</v>
      </c>
    </row>
    <row r="801" customFormat="false" ht="15" hidden="false" customHeight="false" outlineLevel="0" collapsed="false">
      <c r="A801" s="7" t="n">
        <v>46089</v>
      </c>
      <c r="B801" s="8" t="s">
        <v>37</v>
      </c>
      <c r="C801" s="8" t="s">
        <v>17</v>
      </c>
      <c r="D801" s="8" t="s">
        <v>66</v>
      </c>
      <c r="E801" s="8" t="s">
        <v>67</v>
      </c>
      <c r="F801" s="8" t="s">
        <v>57</v>
      </c>
      <c r="G801" s="8" t="n">
        <v>13</v>
      </c>
      <c r="H801" s="9" t="n">
        <v>14.99</v>
      </c>
      <c r="I801" s="9" t="n">
        <v>5.5</v>
      </c>
      <c r="J801" s="10" t="n">
        <v>0.3</v>
      </c>
      <c r="K801" s="9" t="n">
        <f aca="false">G801*H801*(1-J801)</f>
        <v>136.409</v>
      </c>
      <c r="L801" s="9" t="n">
        <f aca="false">G801*I801</f>
        <v>71.5</v>
      </c>
      <c r="M801" s="9" t="n">
        <f aca="false">K801-L801</f>
        <v>64.909</v>
      </c>
      <c r="N801" s="11" t="n">
        <f aca="false">IF(K801=0,0,M801/K801)</f>
        <v>0.475841036881731</v>
      </c>
      <c r="O801" s="9" t="n">
        <f aca="false">(G801*H801)-K801</f>
        <v>58.461</v>
      </c>
      <c r="P801" s="8" t="s">
        <v>21</v>
      </c>
    </row>
    <row r="802" customFormat="false" ht="15" hidden="false" customHeight="false" outlineLevel="0" collapsed="false">
      <c r="A802" s="2" t="n">
        <v>46070</v>
      </c>
      <c r="B802" s="3" t="s">
        <v>31</v>
      </c>
      <c r="C802" s="3" t="s">
        <v>23</v>
      </c>
      <c r="D802" s="3" t="s">
        <v>68</v>
      </c>
      <c r="E802" s="3" t="s">
        <v>69</v>
      </c>
      <c r="F802" s="3" t="s">
        <v>40</v>
      </c>
      <c r="G802" s="3" t="n">
        <v>9</v>
      </c>
      <c r="H802" s="4" t="n">
        <v>24.99</v>
      </c>
      <c r="I802" s="4" t="n">
        <v>9</v>
      </c>
      <c r="J802" s="5" t="n">
        <v>0</v>
      </c>
      <c r="K802" s="4" t="n">
        <f aca="false">G802*H802*(1-J802)</f>
        <v>224.91</v>
      </c>
      <c r="L802" s="4" t="n">
        <f aca="false">G802*I802</f>
        <v>81</v>
      </c>
      <c r="M802" s="4" t="n">
        <f aca="false">K802-L802</f>
        <v>143.91</v>
      </c>
      <c r="N802" s="6" t="n">
        <f aca="false">IF(K802=0,0,M802/K802)</f>
        <v>0.639855942376951</v>
      </c>
      <c r="O802" s="4" t="n">
        <f aca="false">(G802*H802)-K802</f>
        <v>0</v>
      </c>
      <c r="P802" s="3" t="s">
        <v>21</v>
      </c>
    </row>
    <row r="803" customFormat="false" ht="15" hidden="false" customHeight="false" outlineLevel="0" collapsed="false">
      <c r="A803" s="7" t="n">
        <v>46081</v>
      </c>
      <c r="B803" s="8" t="s">
        <v>16</v>
      </c>
      <c r="C803" s="8" t="s">
        <v>17</v>
      </c>
      <c r="D803" s="8" t="s">
        <v>59</v>
      </c>
      <c r="E803" s="8" t="s">
        <v>60</v>
      </c>
      <c r="F803" s="8" t="s">
        <v>50</v>
      </c>
      <c r="G803" s="8" t="n">
        <v>12</v>
      </c>
      <c r="H803" s="9" t="n">
        <v>24.99</v>
      </c>
      <c r="I803" s="9" t="n">
        <v>8.5</v>
      </c>
      <c r="J803" s="10" t="n">
        <v>0</v>
      </c>
      <c r="K803" s="9" t="n">
        <f aca="false">G803*H803*(1-J803)</f>
        <v>299.88</v>
      </c>
      <c r="L803" s="9" t="n">
        <f aca="false">G803*I803</f>
        <v>102</v>
      </c>
      <c r="M803" s="9" t="n">
        <f aca="false">K803-L803</f>
        <v>197.88</v>
      </c>
      <c r="N803" s="11" t="n">
        <f aca="false">IF(K803=0,0,M803/K803)</f>
        <v>0.659863945578231</v>
      </c>
      <c r="O803" s="9" t="n">
        <f aca="false">(G803*H803)-K803</f>
        <v>0</v>
      </c>
      <c r="P803" s="8" t="s">
        <v>21</v>
      </c>
    </row>
    <row r="804" customFormat="false" ht="15" hidden="false" customHeight="false" outlineLevel="0" collapsed="false">
      <c r="A804" s="2" t="n">
        <v>46081</v>
      </c>
      <c r="B804" s="3" t="s">
        <v>58</v>
      </c>
      <c r="C804" s="3" t="s">
        <v>58</v>
      </c>
      <c r="D804" s="3" t="s">
        <v>61</v>
      </c>
      <c r="E804" s="3" t="s">
        <v>62</v>
      </c>
      <c r="F804" s="3" t="s">
        <v>34</v>
      </c>
      <c r="G804" s="3" t="n">
        <v>407</v>
      </c>
      <c r="H804" s="4" t="n">
        <v>12.99</v>
      </c>
      <c r="I804" s="4" t="n">
        <v>4.5</v>
      </c>
      <c r="J804" s="5" t="n">
        <v>0</v>
      </c>
      <c r="K804" s="4" t="n">
        <f aca="false">G804*H804*(1-J804)</f>
        <v>5286.93</v>
      </c>
      <c r="L804" s="4" t="n">
        <f aca="false">G804*I804</f>
        <v>1831.5</v>
      </c>
      <c r="M804" s="4" t="n">
        <f aca="false">K804-L804</f>
        <v>3455.43</v>
      </c>
      <c r="N804" s="6" t="n">
        <f aca="false">IF(K804=0,0,M804/K804)</f>
        <v>0.653579676674365</v>
      </c>
      <c r="O804" s="4" t="n">
        <f aca="false">(G804*H804)-K804</f>
        <v>0</v>
      </c>
      <c r="P804" s="13" t="s">
        <v>92</v>
      </c>
    </row>
    <row r="805" customFormat="false" ht="15" hidden="false" customHeight="false" outlineLevel="0" collapsed="false">
      <c r="A805" s="7" t="n">
        <v>46043</v>
      </c>
      <c r="B805" s="8" t="s">
        <v>31</v>
      </c>
      <c r="C805" s="8" t="s">
        <v>23</v>
      </c>
      <c r="D805" s="8" t="s">
        <v>76</v>
      </c>
      <c r="E805" s="8" t="s">
        <v>77</v>
      </c>
      <c r="F805" s="8" t="s">
        <v>34</v>
      </c>
      <c r="G805" s="8" t="n">
        <v>3</v>
      </c>
      <c r="H805" s="9" t="n">
        <v>44.99</v>
      </c>
      <c r="I805" s="9" t="n">
        <v>14</v>
      </c>
      <c r="J805" s="10" t="n">
        <v>0.05</v>
      </c>
      <c r="K805" s="9" t="n">
        <f aca="false">G805*H805*(1-J805)</f>
        <v>128.2215</v>
      </c>
      <c r="L805" s="9" t="n">
        <f aca="false">G805*I805</f>
        <v>42</v>
      </c>
      <c r="M805" s="9" t="n">
        <f aca="false">K805-L805</f>
        <v>86.2215</v>
      </c>
      <c r="N805" s="11" t="n">
        <f aca="false">IF(K805=0,0,M805/K805)</f>
        <v>0.672441829178414</v>
      </c>
      <c r="O805" s="9" t="n">
        <f aca="false">(G805*H805)-K805</f>
        <v>6.74850000000001</v>
      </c>
      <c r="P805" s="8" t="s">
        <v>21</v>
      </c>
    </row>
    <row r="806" customFormat="false" ht="15" hidden="false" customHeight="false" outlineLevel="0" collapsed="false">
      <c r="A806" s="2" t="n">
        <v>46107</v>
      </c>
      <c r="B806" s="3" t="s">
        <v>58</v>
      </c>
      <c r="C806" s="3" t="s">
        <v>58</v>
      </c>
      <c r="D806" s="3" t="s">
        <v>53</v>
      </c>
      <c r="E806" s="3" t="s">
        <v>54</v>
      </c>
      <c r="F806" s="3" t="s">
        <v>50</v>
      </c>
      <c r="G806" s="3" t="n">
        <v>14</v>
      </c>
      <c r="H806" s="4" t="n">
        <v>22.99</v>
      </c>
      <c r="I806" s="4" t="n">
        <v>8</v>
      </c>
      <c r="J806" s="5" t="n">
        <v>0.15</v>
      </c>
      <c r="K806" s="4" t="n">
        <f aca="false">G806*H806*(1-J806)</f>
        <v>273.581</v>
      </c>
      <c r="L806" s="4" t="n">
        <f aca="false">G806*I806</f>
        <v>112</v>
      </c>
      <c r="M806" s="4" t="n">
        <f aca="false">K806-L806</f>
        <v>161.581</v>
      </c>
      <c r="N806" s="6" t="n">
        <f aca="false">IF(K806=0,0,M806/K806)</f>
        <v>0.590614845329171</v>
      </c>
      <c r="O806" s="4" t="n">
        <f aca="false">(G806*H806)-K806</f>
        <v>48.279</v>
      </c>
      <c r="P806" s="3" t="s">
        <v>21</v>
      </c>
    </row>
    <row r="807" customFormat="false" ht="15" hidden="false" customHeight="false" outlineLevel="0" collapsed="false">
      <c r="A807" s="7" t="n">
        <v>46113</v>
      </c>
      <c r="B807" s="8" t="s">
        <v>27</v>
      </c>
      <c r="C807" s="8" t="s">
        <v>28</v>
      </c>
      <c r="D807" s="8" t="s">
        <v>61</v>
      </c>
      <c r="E807" s="8" t="s">
        <v>62</v>
      </c>
      <c r="F807" s="8" t="s">
        <v>34</v>
      </c>
      <c r="G807" s="8" t="n">
        <v>28</v>
      </c>
      <c r="H807" s="9" t="n">
        <v>12.99</v>
      </c>
      <c r="I807" s="9" t="n">
        <v>4.5</v>
      </c>
      <c r="J807" s="10" t="n">
        <v>0.15</v>
      </c>
      <c r="K807" s="9" t="n">
        <f aca="false">G807*H807*(1-J807)</f>
        <v>309.162</v>
      </c>
      <c r="L807" s="9" t="n">
        <f aca="false">G807*I807</f>
        <v>126</v>
      </c>
      <c r="M807" s="9" t="n">
        <f aca="false">K807-L807</f>
        <v>183.162</v>
      </c>
      <c r="N807" s="11" t="n">
        <f aca="false">IF(K807=0,0,M807/K807)</f>
        <v>0.592446678440429</v>
      </c>
      <c r="O807" s="9" t="n">
        <f aca="false">(G807*H807)-K807</f>
        <v>54.558</v>
      </c>
      <c r="P807" s="8" t="s">
        <v>21</v>
      </c>
    </row>
    <row r="808" customFormat="false" ht="15" hidden="false" customHeight="false" outlineLevel="0" collapsed="false">
      <c r="A808" s="2" t="n">
        <v>46109</v>
      </c>
      <c r="B808" s="3" t="s">
        <v>58</v>
      </c>
      <c r="C808" s="3" t="s">
        <v>58</v>
      </c>
      <c r="D808" s="3" t="s">
        <v>55</v>
      </c>
      <c r="E808" s="3" t="s">
        <v>56</v>
      </c>
      <c r="F808" s="3" t="s">
        <v>57</v>
      </c>
      <c r="G808" s="3" t="n">
        <v>22</v>
      </c>
      <c r="H808" s="4" t="n">
        <v>29.99</v>
      </c>
      <c r="I808" s="4" t="n">
        <v>11</v>
      </c>
      <c r="J808" s="5" t="n">
        <v>0.05</v>
      </c>
      <c r="K808" s="4" t="n">
        <f aca="false">G808*H808*(1-J808)</f>
        <v>626.791</v>
      </c>
      <c r="L808" s="4" t="n">
        <f aca="false">G808*I808</f>
        <v>242</v>
      </c>
      <c r="M808" s="4" t="n">
        <f aca="false">K808-L808</f>
        <v>384.791</v>
      </c>
      <c r="N808" s="6" t="n">
        <f aca="false">IF(K808=0,0,M808/K808)</f>
        <v>0.613906389849248</v>
      </c>
      <c r="O808" s="4" t="n">
        <f aca="false">(G808*H808)-K808</f>
        <v>32.989</v>
      </c>
      <c r="P808" s="3" t="s">
        <v>21</v>
      </c>
    </row>
    <row r="809" customFormat="false" ht="15" hidden="false" customHeight="false" outlineLevel="0" collapsed="false">
      <c r="A809" s="7" t="n">
        <v>46032</v>
      </c>
      <c r="B809" s="8" t="s">
        <v>31</v>
      </c>
      <c r="C809" s="8" t="s">
        <v>23</v>
      </c>
      <c r="D809" s="8" t="s">
        <v>29</v>
      </c>
      <c r="E809" s="8" t="s">
        <v>30</v>
      </c>
      <c r="F809" s="8" t="s">
        <v>20</v>
      </c>
      <c r="G809" s="8" t="n">
        <v>26</v>
      </c>
      <c r="H809" s="9" t="n">
        <v>89.99</v>
      </c>
      <c r="I809" s="9" t="n">
        <v>42</v>
      </c>
      <c r="J809" s="10" t="n">
        <v>0.05</v>
      </c>
      <c r="K809" s="9" t="n">
        <f aca="false">G809*H809*(1-J809)</f>
        <v>2222.753</v>
      </c>
      <c r="L809" s="9" t="n">
        <f aca="false">G809*I809</f>
        <v>1092</v>
      </c>
      <c r="M809" s="9" t="n">
        <f aca="false">K809-L809</f>
        <v>1130.753</v>
      </c>
      <c r="N809" s="11" t="n">
        <f aca="false">IF(K809=0,0,M809/K809)</f>
        <v>0.508717342862657</v>
      </c>
      <c r="O809" s="9" t="n">
        <f aca="false">(G809*H809)-K809</f>
        <v>116.987</v>
      </c>
      <c r="P809" s="8" t="s">
        <v>21</v>
      </c>
    </row>
    <row r="810" customFormat="false" ht="15" hidden="false" customHeight="false" outlineLevel="0" collapsed="false">
      <c r="A810" s="2" t="n">
        <v>46089</v>
      </c>
      <c r="B810" s="3" t="s">
        <v>22</v>
      </c>
      <c r="C810" s="3" t="s">
        <v>23</v>
      </c>
      <c r="D810" s="3" t="s">
        <v>95</v>
      </c>
      <c r="E810" s="3" t="s">
        <v>96</v>
      </c>
      <c r="F810" s="3" t="s">
        <v>50</v>
      </c>
      <c r="G810" s="3" t="n">
        <v>22</v>
      </c>
      <c r="H810" s="4" t="n">
        <v>34.99</v>
      </c>
      <c r="I810" s="4" t="n">
        <v>12</v>
      </c>
      <c r="J810" s="5" t="n">
        <v>0</v>
      </c>
      <c r="K810" s="4" t="n">
        <f aca="false">G810*H810*(1-J810)</f>
        <v>769.78</v>
      </c>
      <c r="L810" s="4" t="n">
        <f aca="false">G810*I810</f>
        <v>264</v>
      </c>
      <c r="M810" s="4" t="n">
        <f aca="false">K810-L810</f>
        <v>505.78</v>
      </c>
      <c r="N810" s="6" t="n">
        <f aca="false">IF(K810=0,0,M810/K810)</f>
        <v>0.657044869962847</v>
      </c>
      <c r="O810" s="4" t="n">
        <f aca="false">(G810*H810)-K810</f>
        <v>0</v>
      </c>
      <c r="P810" s="3" t="s">
        <v>21</v>
      </c>
    </row>
    <row r="811" customFormat="false" ht="15" hidden="false" customHeight="false" outlineLevel="0" collapsed="false">
      <c r="A811" s="7" t="n">
        <v>46033</v>
      </c>
      <c r="B811" s="8" t="s">
        <v>22</v>
      </c>
      <c r="C811" s="8" t="s">
        <v>23</v>
      </c>
      <c r="D811" s="8" t="s">
        <v>93</v>
      </c>
      <c r="E811" s="8" t="s">
        <v>94</v>
      </c>
      <c r="F811" s="8" t="s">
        <v>34</v>
      </c>
      <c r="G811" s="8" t="n">
        <v>16</v>
      </c>
      <c r="H811" s="9" t="n">
        <v>29.99</v>
      </c>
      <c r="I811" s="9" t="n">
        <v>9</v>
      </c>
      <c r="J811" s="10" t="n">
        <v>0</v>
      </c>
      <c r="K811" s="9" t="n">
        <f aca="false">G811*H811*(1-J811)</f>
        <v>479.84</v>
      </c>
      <c r="L811" s="9" t="n">
        <f aca="false">G811*I811</f>
        <v>144</v>
      </c>
      <c r="M811" s="9" t="n">
        <f aca="false">K811-L811</f>
        <v>335.84</v>
      </c>
      <c r="N811" s="11" t="n">
        <f aca="false">IF(K811=0,0,M811/K811)</f>
        <v>0.699899966655552</v>
      </c>
      <c r="O811" s="9" t="n">
        <f aca="false">(G811*H811)-K811</f>
        <v>0</v>
      </c>
      <c r="P811" s="8" t="s">
        <v>21</v>
      </c>
    </row>
    <row r="812" customFormat="false" ht="15" hidden="false" customHeight="false" outlineLevel="0" collapsed="false">
      <c r="A812" s="2" t="n">
        <v>46108</v>
      </c>
      <c r="B812" s="3" t="s">
        <v>58</v>
      </c>
      <c r="C812" s="3" t="s">
        <v>58</v>
      </c>
      <c r="D812" s="3" t="s">
        <v>70</v>
      </c>
      <c r="E812" s="3" t="s">
        <v>71</v>
      </c>
      <c r="F812" s="3" t="s">
        <v>20</v>
      </c>
      <c r="G812" s="3" t="n">
        <v>3</v>
      </c>
      <c r="H812" s="4" t="n">
        <v>49.99</v>
      </c>
      <c r="I812" s="4" t="n">
        <v>19</v>
      </c>
      <c r="J812" s="5" t="n">
        <v>0.2</v>
      </c>
      <c r="K812" s="4" t="n">
        <f aca="false">G812*H812*(1-J812)</f>
        <v>119.976</v>
      </c>
      <c r="L812" s="4" t="n">
        <f aca="false">G812*I812</f>
        <v>57</v>
      </c>
      <c r="M812" s="4" t="n">
        <f aca="false">K812-L812</f>
        <v>62.976</v>
      </c>
      <c r="N812" s="6" t="n">
        <f aca="false">IF(K812=0,0,M812/K812)</f>
        <v>0.524904980996199</v>
      </c>
      <c r="O812" s="4" t="n">
        <f aca="false">(G812*H812)-K812</f>
        <v>29.994</v>
      </c>
      <c r="P812" s="3" t="s">
        <v>21</v>
      </c>
    </row>
    <row r="813" customFormat="false" ht="15" hidden="false" customHeight="false" outlineLevel="0" collapsed="false">
      <c r="A813" s="7" t="n">
        <v>46039</v>
      </c>
      <c r="B813" s="8" t="s">
        <v>27</v>
      </c>
      <c r="C813" s="8" t="s">
        <v>28</v>
      </c>
      <c r="D813" s="8" t="s">
        <v>53</v>
      </c>
      <c r="E813" s="8" t="s">
        <v>54</v>
      </c>
      <c r="F813" s="8" t="s">
        <v>50</v>
      </c>
      <c r="G813" s="8" t="n">
        <v>11</v>
      </c>
      <c r="H813" s="9" t="n">
        <v>22.99</v>
      </c>
      <c r="I813" s="9" t="n">
        <v>8</v>
      </c>
      <c r="J813" s="10" t="n">
        <v>0</v>
      </c>
      <c r="K813" s="9" t="n">
        <f aca="false">G813*H813*(1-J813)</f>
        <v>252.89</v>
      </c>
      <c r="L813" s="9" t="n">
        <f aca="false">G813*I813</f>
        <v>88</v>
      </c>
      <c r="M813" s="9" t="n">
        <f aca="false">K813-L813</f>
        <v>164.89</v>
      </c>
      <c r="N813" s="11" t="n">
        <f aca="false">IF(K813=0,0,M813/K813)</f>
        <v>0.652022618529796</v>
      </c>
      <c r="O813" s="9" t="n">
        <f aca="false">(G813*H813)-K813</f>
        <v>0</v>
      </c>
      <c r="P813" s="8" t="s">
        <v>21</v>
      </c>
    </row>
    <row r="814" customFormat="false" ht="15" hidden="false" customHeight="false" outlineLevel="0" collapsed="false">
      <c r="A814" s="2" t="n">
        <v>46105</v>
      </c>
      <c r="B814" s="3" t="s">
        <v>22</v>
      </c>
      <c r="C814" s="3" t="s">
        <v>23</v>
      </c>
      <c r="D814" s="3" t="s">
        <v>93</v>
      </c>
      <c r="E814" s="3" t="s">
        <v>94</v>
      </c>
      <c r="F814" s="3" t="s">
        <v>34</v>
      </c>
      <c r="G814" s="3" t="n">
        <v>22</v>
      </c>
      <c r="H814" s="4" t="n">
        <v>29.99</v>
      </c>
      <c r="I814" s="4" t="n">
        <v>9</v>
      </c>
      <c r="J814" s="5" t="n">
        <v>0</v>
      </c>
      <c r="K814" s="4" t="n">
        <f aca="false">G814*H814*(1-J814)</f>
        <v>659.78</v>
      </c>
      <c r="L814" s="4" t="n">
        <f aca="false">G814*I814</f>
        <v>198</v>
      </c>
      <c r="M814" s="4" t="n">
        <f aca="false">K814-L814</f>
        <v>461.78</v>
      </c>
      <c r="N814" s="6" t="n">
        <f aca="false">IF(K814=0,0,M814/K814)</f>
        <v>0.699899966655552</v>
      </c>
      <c r="O814" s="4" t="n">
        <f aca="false">(G814*H814)-K814</f>
        <v>0</v>
      </c>
      <c r="P814" s="3" t="s">
        <v>21</v>
      </c>
    </row>
    <row r="815" customFormat="false" ht="15" hidden="false" customHeight="false" outlineLevel="0" collapsed="false">
      <c r="A815" s="7" t="n">
        <v>46051</v>
      </c>
      <c r="B815" s="8" t="s">
        <v>31</v>
      </c>
      <c r="C815" s="8" t="s">
        <v>23</v>
      </c>
      <c r="D815" s="8" t="s">
        <v>76</v>
      </c>
      <c r="E815" s="8" t="s">
        <v>77</v>
      </c>
      <c r="F815" s="8" t="s">
        <v>34</v>
      </c>
      <c r="G815" s="8" t="n">
        <v>7</v>
      </c>
      <c r="H815" s="9" t="n">
        <v>44.99</v>
      </c>
      <c r="I815" s="9" t="n">
        <v>14</v>
      </c>
      <c r="J815" s="10" t="n">
        <v>0.1</v>
      </c>
      <c r="K815" s="9" t="n">
        <f aca="false">G815*H815*(1-J815)</f>
        <v>283.437</v>
      </c>
      <c r="L815" s="9" t="n">
        <f aca="false">G815*I815</f>
        <v>98</v>
      </c>
      <c r="M815" s="9" t="n">
        <f aca="false">K815-L815</f>
        <v>185.437</v>
      </c>
      <c r="N815" s="11" t="n">
        <f aca="false">IF(K815=0,0,M815/K815)</f>
        <v>0.654244153021659</v>
      </c>
      <c r="O815" s="9" t="n">
        <f aca="false">(G815*H815)-K815</f>
        <v>31.493</v>
      </c>
      <c r="P815" s="8" t="s">
        <v>21</v>
      </c>
    </row>
    <row r="816" customFormat="false" ht="15" hidden="false" customHeight="false" outlineLevel="0" collapsed="false">
      <c r="A816" s="2" t="n">
        <v>46088</v>
      </c>
      <c r="B816" s="3" t="s">
        <v>37</v>
      </c>
      <c r="C816" s="3" t="s">
        <v>17</v>
      </c>
      <c r="D816" s="3" t="s">
        <v>95</v>
      </c>
      <c r="E816" s="3" t="s">
        <v>96</v>
      </c>
      <c r="F816" s="3" t="s">
        <v>50</v>
      </c>
      <c r="G816" s="3" t="n">
        <v>4</v>
      </c>
      <c r="H816" s="4" t="n">
        <v>34.99</v>
      </c>
      <c r="I816" s="4" t="n">
        <v>12</v>
      </c>
      <c r="J816" s="5" t="n">
        <v>0.1</v>
      </c>
      <c r="K816" s="4" t="n">
        <f aca="false">G816*H816*(1-J816)</f>
        <v>125.964</v>
      </c>
      <c r="L816" s="4" t="n">
        <f aca="false">G816*I816</f>
        <v>48</v>
      </c>
      <c r="M816" s="4" t="n">
        <f aca="false">K816-L816</f>
        <v>77.964</v>
      </c>
      <c r="N816" s="6" t="n">
        <f aca="false">IF(K816=0,0,M816/K816)</f>
        <v>0.618938744403163</v>
      </c>
      <c r="O816" s="4" t="n">
        <f aca="false">(G816*H816)-K816</f>
        <v>13.996</v>
      </c>
      <c r="P816" s="3" t="s">
        <v>21</v>
      </c>
    </row>
    <row r="817" customFormat="false" ht="15" hidden="false" customHeight="false" outlineLevel="0" collapsed="false">
      <c r="A817" s="7" t="n">
        <v>46093</v>
      </c>
      <c r="B817" s="8" t="s">
        <v>41</v>
      </c>
      <c r="C817" s="8" t="s">
        <v>28</v>
      </c>
      <c r="D817" s="8" t="s">
        <v>35</v>
      </c>
      <c r="E817" s="8" t="s">
        <v>36</v>
      </c>
      <c r="F817" s="8" t="s">
        <v>26</v>
      </c>
      <c r="G817" s="8" t="n">
        <v>5</v>
      </c>
      <c r="H817" s="9" t="n">
        <v>69.99</v>
      </c>
      <c r="I817" s="9" t="n">
        <v>30</v>
      </c>
      <c r="J817" s="10" t="n">
        <v>0.05</v>
      </c>
      <c r="K817" s="9" t="n">
        <f aca="false">G817*H817*(1-J817)</f>
        <v>332.4525</v>
      </c>
      <c r="L817" s="9" t="n">
        <f aca="false">G817*I817</f>
        <v>150</v>
      </c>
      <c r="M817" s="9" t="n">
        <f aca="false">K817-L817</f>
        <v>182.4525</v>
      </c>
      <c r="N817" s="11" t="n">
        <f aca="false">IF(K817=0,0,M817/K817)</f>
        <v>0.548807724411758</v>
      </c>
      <c r="O817" s="9" t="n">
        <f aca="false">(G817*H817)-K817</f>
        <v>17.4975</v>
      </c>
      <c r="P817" s="8" t="s">
        <v>21</v>
      </c>
    </row>
    <row r="818" customFormat="false" ht="15" hidden="false" customHeight="false" outlineLevel="0" collapsed="false">
      <c r="A818" s="2" t="n">
        <v>46056</v>
      </c>
      <c r="B818" s="3" t="s">
        <v>41</v>
      </c>
      <c r="C818" s="3" t="s">
        <v>28</v>
      </c>
      <c r="D818" s="3" t="s">
        <v>51</v>
      </c>
      <c r="E818" s="3" t="s">
        <v>52</v>
      </c>
      <c r="F818" s="3" t="s">
        <v>50</v>
      </c>
      <c r="G818" s="3" t="n">
        <v>18</v>
      </c>
      <c r="H818" s="4" t="n">
        <v>19.99</v>
      </c>
      <c r="I818" s="4" t="n">
        <v>7</v>
      </c>
      <c r="J818" s="5" t="n">
        <v>0.2</v>
      </c>
      <c r="K818" s="4" t="n">
        <f aca="false">G818*H818*(1-J818)</f>
        <v>287.856</v>
      </c>
      <c r="L818" s="4" t="n">
        <f aca="false">G818*I818</f>
        <v>126</v>
      </c>
      <c r="M818" s="4" t="n">
        <f aca="false">K818-L818</f>
        <v>161.856</v>
      </c>
      <c r="N818" s="6" t="n">
        <f aca="false">IF(K818=0,0,M818/K818)</f>
        <v>0.562281140570285</v>
      </c>
      <c r="O818" s="4" t="n">
        <f aca="false">(G818*H818)-K818</f>
        <v>71.964</v>
      </c>
      <c r="P818" s="3" t="s">
        <v>21</v>
      </c>
    </row>
    <row r="819" customFormat="false" ht="15" hidden="false" customHeight="false" outlineLevel="0" collapsed="false">
      <c r="A819" s="7" t="n">
        <v>46061</v>
      </c>
      <c r="B819" s="8" t="s">
        <v>22</v>
      </c>
      <c r="C819" s="8" t="s">
        <v>23</v>
      </c>
      <c r="D819" s="8" t="s">
        <v>86</v>
      </c>
      <c r="E819" s="8" t="s">
        <v>87</v>
      </c>
      <c r="F819" s="8" t="s">
        <v>40</v>
      </c>
      <c r="G819" s="8" t="n">
        <v>5</v>
      </c>
      <c r="H819" s="9" t="n">
        <v>16.99</v>
      </c>
      <c r="I819" s="9" t="n">
        <v>5.5</v>
      </c>
      <c r="J819" s="10" t="n">
        <v>0.05</v>
      </c>
      <c r="K819" s="9" t="n">
        <f aca="false">G819*H819*(1-J819)</f>
        <v>80.7025</v>
      </c>
      <c r="L819" s="9" t="n">
        <f aca="false">G819*I819</f>
        <v>27.5</v>
      </c>
      <c r="M819" s="9" t="n">
        <f aca="false">K819-L819</f>
        <v>53.2025</v>
      </c>
      <c r="N819" s="11" t="n">
        <f aca="false">IF(K819=0,0,M819/K819)</f>
        <v>0.659242278739816</v>
      </c>
      <c r="O819" s="9" t="n">
        <f aca="false">(G819*H819)-K819</f>
        <v>4.2475</v>
      </c>
      <c r="P819" s="8" t="s">
        <v>21</v>
      </c>
    </row>
    <row r="820" customFormat="false" ht="15" hidden="false" customHeight="false" outlineLevel="0" collapsed="false">
      <c r="A820" s="2" t="n">
        <v>46054</v>
      </c>
      <c r="B820" s="3" t="s">
        <v>16</v>
      </c>
      <c r="C820" s="3" t="s">
        <v>17</v>
      </c>
      <c r="D820" s="3" t="s">
        <v>76</v>
      </c>
      <c r="E820" s="3" t="s">
        <v>77</v>
      </c>
      <c r="F820" s="3" t="s">
        <v>34</v>
      </c>
      <c r="G820" s="3" t="n">
        <v>13</v>
      </c>
      <c r="H820" s="4" t="n">
        <v>44.99</v>
      </c>
      <c r="I820" s="4" t="n">
        <v>14</v>
      </c>
      <c r="J820" s="5" t="n">
        <v>0</v>
      </c>
      <c r="K820" s="4" t="n">
        <f aca="false">G820*H820*(1-J820)</f>
        <v>584.87</v>
      </c>
      <c r="L820" s="4" t="n">
        <f aca="false">G820*I820</f>
        <v>182</v>
      </c>
      <c r="M820" s="4" t="n">
        <f aca="false">K820-L820</f>
        <v>402.87</v>
      </c>
      <c r="N820" s="6" t="n">
        <f aca="false">IF(K820=0,0,M820/K820)</f>
        <v>0.688819737719493</v>
      </c>
      <c r="O820" s="4" t="n">
        <f aca="false">(G820*H820)-K820</f>
        <v>0</v>
      </c>
      <c r="P820" s="3" t="s">
        <v>21</v>
      </c>
    </row>
    <row r="821" customFormat="false" ht="15" hidden="false" customHeight="false" outlineLevel="0" collapsed="false">
      <c r="A821" s="7" t="n">
        <v>46105</v>
      </c>
      <c r="B821" s="8" t="s">
        <v>64</v>
      </c>
      <c r="C821" s="8" t="s">
        <v>65</v>
      </c>
      <c r="D821" s="8" t="s">
        <v>35</v>
      </c>
      <c r="E821" s="8" t="s">
        <v>36</v>
      </c>
      <c r="F821" s="8" t="s">
        <v>26</v>
      </c>
      <c r="G821" s="8" t="n">
        <v>29</v>
      </c>
      <c r="H821" s="9" t="n">
        <v>69.99</v>
      </c>
      <c r="I821" s="9" t="n">
        <v>30</v>
      </c>
      <c r="J821" s="10" t="n">
        <v>0.15</v>
      </c>
      <c r="K821" s="9" t="n">
        <f aca="false">G821*H821*(1-J821)</f>
        <v>1725.2535</v>
      </c>
      <c r="L821" s="9" t="n">
        <f aca="false">G821*I821</f>
        <v>870</v>
      </c>
      <c r="M821" s="9" t="n">
        <f aca="false">K821-L821</f>
        <v>855.2535</v>
      </c>
      <c r="N821" s="11" t="n">
        <f aca="false">IF(K821=0,0,M821/K821)</f>
        <v>0.495726280224906</v>
      </c>
      <c r="O821" s="9" t="n">
        <f aca="false">(G821*H821)-K821</f>
        <v>304.4565</v>
      </c>
      <c r="P821" s="8" t="s">
        <v>21</v>
      </c>
    </row>
    <row r="822" customFormat="false" ht="15" hidden="false" customHeight="false" outlineLevel="0" collapsed="false">
      <c r="A822" s="2" t="n">
        <v>46071</v>
      </c>
      <c r="B822" s="3" t="s">
        <v>64</v>
      </c>
      <c r="C822" s="3" t="s">
        <v>65</v>
      </c>
      <c r="D822" s="3" t="s">
        <v>44</v>
      </c>
      <c r="E822" s="3" t="s">
        <v>45</v>
      </c>
      <c r="F822" s="3" t="s">
        <v>40</v>
      </c>
      <c r="G822" s="3" t="n">
        <v>12</v>
      </c>
      <c r="H822" s="4" t="n">
        <v>29.99</v>
      </c>
      <c r="I822" s="4" t="n">
        <v>11</v>
      </c>
      <c r="J822" s="5" t="n">
        <v>0</v>
      </c>
      <c r="K822" s="4" t="n">
        <f aca="false">G822*H822*(1-J822)</f>
        <v>359.88</v>
      </c>
      <c r="L822" s="4" t="n">
        <f aca="false">G822*I822</f>
        <v>132</v>
      </c>
      <c r="M822" s="4" t="n">
        <f aca="false">K822-L822</f>
        <v>227.88</v>
      </c>
      <c r="N822" s="6" t="n">
        <f aca="false">IF(K822=0,0,M822/K822)</f>
        <v>0.633211070356786</v>
      </c>
      <c r="O822" s="4" t="n">
        <f aca="false">(G822*H822)-K822</f>
        <v>0</v>
      </c>
      <c r="P822" s="3" t="s">
        <v>21</v>
      </c>
    </row>
    <row r="823" customFormat="false" ht="15" hidden="false" customHeight="false" outlineLevel="0" collapsed="false">
      <c r="A823" s="7" t="n">
        <v>46126</v>
      </c>
      <c r="B823" s="8" t="s">
        <v>27</v>
      </c>
      <c r="C823" s="8" t="s">
        <v>28</v>
      </c>
      <c r="D823" s="8" t="s">
        <v>95</v>
      </c>
      <c r="E823" s="8" t="s">
        <v>96</v>
      </c>
      <c r="F823" s="8" t="s">
        <v>50</v>
      </c>
      <c r="G823" s="8" t="n">
        <v>7</v>
      </c>
      <c r="H823" s="9" t="n">
        <v>34.99</v>
      </c>
      <c r="I823" s="9" t="n">
        <v>12</v>
      </c>
      <c r="J823" s="10" t="n">
        <v>0</v>
      </c>
      <c r="K823" s="9" t="n">
        <f aca="false">G823*H823*(1-J823)</f>
        <v>244.93</v>
      </c>
      <c r="L823" s="9" t="n">
        <f aca="false">G823*I823</f>
        <v>84</v>
      </c>
      <c r="M823" s="9" t="n">
        <f aca="false">K823-L823</f>
        <v>160.93</v>
      </c>
      <c r="N823" s="11" t="n">
        <f aca="false">IF(K823=0,0,M823/K823)</f>
        <v>0.657044869962847</v>
      </c>
      <c r="O823" s="9" t="n">
        <f aca="false">(G823*H823)-K823</f>
        <v>0</v>
      </c>
      <c r="P823" s="8" t="s">
        <v>21</v>
      </c>
    </row>
    <row r="824" customFormat="false" ht="15" hidden="false" customHeight="false" outlineLevel="0" collapsed="false">
      <c r="A824" s="2" t="n">
        <v>46046</v>
      </c>
      <c r="B824" s="3" t="s">
        <v>64</v>
      </c>
      <c r="C824" s="3" t="s">
        <v>65</v>
      </c>
      <c r="D824" s="3" t="s">
        <v>80</v>
      </c>
      <c r="E824" s="3" t="s">
        <v>81</v>
      </c>
      <c r="F824" s="3" t="s">
        <v>57</v>
      </c>
      <c r="G824" s="3" t="n">
        <v>1</v>
      </c>
      <c r="H824" s="4" t="n">
        <v>17.99</v>
      </c>
      <c r="I824" s="4" t="n">
        <v>6.5</v>
      </c>
      <c r="J824" s="5" t="n">
        <v>0.25</v>
      </c>
      <c r="K824" s="4" t="n">
        <f aca="false">G824*H824*(1-J824)</f>
        <v>13.4925</v>
      </c>
      <c r="L824" s="4" t="n">
        <f aca="false">G824*I824</f>
        <v>6.5</v>
      </c>
      <c r="M824" s="4" t="n">
        <f aca="false">K824-L824</f>
        <v>6.9925</v>
      </c>
      <c r="N824" s="6" t="n">
        <f aca="false">IF(K824=0,0,M824/K824)</f>
        <v>0.518250880118584</v>
      </c>
      <c r="O824" s="4" t="n">
        <f aca="false">(G824*H824)-K824</f>
        <v>4.4975</v>
      </c>
      <c r="P824" s="3" t="s">
        <v>21</v>
      </c>
    </row>
    <row r="825" customFormat="false" ht="15" hidden="false" customHeight="false" outlineLevel="0" collapsed="false">
      <c r="A825" s="7" t="n">
        <v>46131</v>
      </c>
      <c r="B825" s="8" t="s">
        <v>31</v>
      </c>
      <c r="C825" s="8" t="s">
        <v>23</v>
      </c>
      <c r="D825" s="8" t="s">
        <v>84</v>
      </c>
      <c r="E825" s="8" t="s">
        <v>85</v>
      </c>
      <c r="F825" s="8" t="s">
        <v>20</v>
      </c>
      <c r="G825" s="8" t="n">
        <v>21</v>
      </c>
      <c r="H825" s="9" t="n">
        <v>34.99</v>
      </c>
      <c r="I825" s="9" t="n">
        <v>13</v>
      </c>
      <c r="J825" s="10" t="n">
        <v>0.1</v>
      </c>
      <c r="K825" s="9" t="n">
        <f aca="false">G825*H825*(1-J825)</f>
        <v>661.311</v>
      </c>
      <c r="L825" s="9" t="n">
        <f aca="false">G825*I825</f>
        <v>273</v>
      </c>
      <c r="M825" s="9" t="n">
        <f aca="false">K825-L825</f>
        <v>388.311</v>
      </c>
      <c r="N825" s="11" t="n">
        <f aca="false">IF(K825=0,0,M825/K825)</f>
        <v>0.587183639770093</v>
      </c>
      <c r="O825" s="9" t="n">
        <f aca="false">(G825*H825)-K825</f>
        <v>73.479</v>
      </c>
      <c r="P825" s="8" t="s">
        <v>21</v>
      </c>
    </row>
    <row r="826" customFormat="false" ht="15" hidden="false" customHeight="false" outlineLevel="0" collapsed="false">
      <c r="A826" s="2" t="n">
        <v>46129</v>
      </c>
      <c r="B826" s="3" t="s">
        <v>27</v>
      </c>
      <c r="C826" s="3" t="s">
        <v>28</v>
      </c>
      <c r="D826" s="3" t="s">
        <v>84</v>
      </c>
      <c r="E826" s="3" t="s">
        <v>85</v>
      </c>
      <c r="F826" s="3" t="s">
        <v>20</v>
      </c>
      <c r="G826" s="3" t="n">
        <v>21</v>
      </c>
      <c r="H826" s="4" t="n">
        <v>34.99</v>
      </c>
      <c r="I826" s="4" t="n">
        <v>13</v>
      </c>
      <c r="J826" s="5" t="n">
        <v>0</v>
      </c>
      <c r="K826" s="4" t="n">
        <f aca="false">G826*H826*(1-J826)</f>
        <v>734.79</v>
      </c>
      <c r="L826" s="4" t="n">
        <f aca="false">G826*I826</f>
        <v>273</v>
      </c>
      <c r="M826" s="4" t="n">
        <f aca="false">K826-L826</f>
        <v>461.79</v>
      </c>
      <c r="N826" s="6" t="n">
        <f aca="false">IF(K826=0,0,M826/K826)</f>
        <v>0.628465275793084</v>
      </c>
      <c r="O826" s="4" t="n">
        <f aca="false">(G826*H826)-K826</f>
        <v>0</v>
      </c>
      <c r="P826" s="3" t="s">
        <v>21</v>
      </c>
    </row>
    <row r="827" customFormat="false" ht="15" hidden="false" customHeight="false" outlineLevel="0" collapsed="false">
      <c r="A827" s="7" t="n">
        <v>46059</v>
      </c>
      <c r="B827" s="8" t="s">
        <v>16</v>
      </c>
      <c r="C827" s="8" t="s">
        <v>17</v>
      </c>
      <c r="D827" s="8" t="s">
        <v>53</v>
      </c>
      <c r="E827" s="8" t="s">
        <v>54</v>
      </c>
      <c r="F827" s="8" t="s">
        <v>50</v>
      </c>
      <c r="G827" s="8" t="n">
        <v>27</v>
      </c>
      <c r="H827" s="9" t="n">
        <v>22.99</v>
      </c>
      <c r="I827" s="9" t="n">
        <v>8</v>
      </c>
      <c r="J827" s="10" t="n">
        <v>0.2</v>
      </c>
      <c r="K827" s="9" t="n">
        <f aca="false">G827*H827*(1-J827)</f>
        <v>496.584</v>
      </c>
      <c r="L827" s="9" t="n">
        <f aca="false">G827*I827</f>
        <v>216</v>
      </c>
      <c r="M827" s="9" t="n">
        <f aca="false">K827-L827</f>
        <v>280.584</v>
      </c>
      <c r="N827" s="11" t="n">
        <f aca="false">IF(K827=0,0,M827/K827)</f>
        <v>0.565028273162244</v>
      </c>
      <c r="O827" s="9" t="n">
        <f aca="false">(G827*H827)-K827</f>
        <v>124.146</v>
      </c>
      <c r="P827" s="8" t="s">
        <v>21</v>
      </c>
    </row>
    <row r="828" customFormat="false" ht="15" hidden="false" customHeight="false" outlineLevel="0" collapsed="false">
      <c r="A828" s="2" t="n">
        <v>46042</v>
      </c>
      <c r="B828" s="3" t="s">
        <v>37</v>
      </c>
      <c r="C828" s="3" t="s">
        <v>17</v>
      </c>
      <c r="D828" s="3" t="s">
        <v>18</v>
      </c>
      <c r="E828" s="3" t="s">
        <v>19</v>
      </c>
      <c r="F828" s="3" t="s">
        <v>20</v>
      </c>
      <c r="G828" s="3" t="n">
        <v>8</v>
      </c>
      <c r="H828" s="4" t="n">
        <v>24.99</v>
      </c>
      <c r="I828" s="4" t="n">
        <v>10.5</v>
      </c>
      <c r="J828" s="5" t="n">
        <v>0.05</v>
      </c>
      <c r="K828" s="4" t="n">
        <f aca="false">G828*H828*(1-J828)</f>
        <v>189.924</v>
      </c>
      <c r="L828" s="4" t="n">
        <f aca="false">G828*I828</f>
        <v>84</v>
      </c>
      <c r="M828" s="4" t="n">
        <f aca="false">K828-L828</f>
        <v>105.924</v>
      </c>
      <c r="N828" s="6" t="n">
        <f aca="false">IF(K828=0,0,M828/K828)</f>
        <v>0.557717823971694</v>
      </c>
      <c r="O828" s="4" t="n">
        <f aca="false">(G828*H828)-K828</f>
        <v>9.99600000000001</v>
      </c>
      <c r="P828" s="3" t="s">
        <v>21</v>
      </c>
    </row>
    <row r="829" customFormat="false" ht="15" hidden="false" customHeight="false" outlineLevel="0" collapsed="false">
      <c r="A829" s="7" t="n">
        <v>46131</v>
      </c>
      <c r="B829" s="8" t="s">
        <v>16</v>
      </c>
      <c r="C829" s="8" t="s">
        <v>17</v>
      </c>
      <c r="D829" s="8" t="s">
        <v>68</v>
      </c>
      <c r="E829" s="8" t="s">
        <v>69</v>
      </c>
      <c r="F829" s="8" t="s">
        <v>40</v>
      </c>
      <c r="G829" s="8" t="n">
        <v>10</v>
      </c>
      <c r="H829" s="9" t="n">
        <v>24.99</v>
      </c>
      <c r="I829" s="9" t="n">
        <v>9</v>
      </c>
      <c r="J829" s="10" t="n">
        <v>0</v>
      </c>
      <c r="K829" s="9" t="n">
        <f aca="false">G829*H829*(1-J829)</f>
        <v>249.9</v>
      </c>
      <c r="L829" s="9" t="n">
        <f aca="false">G829*I829</f>
        <v>90</v>
      </c>
      <c r="M829" s="9" t="n">
        <f aca="false">K829-L829</f>
        <v>159.9</v>
      </c>
      <c r="N829" s="11" t="n">
        <f aca="false">IF(K829=0,0,M829/K829)</f>
        <v>0.639855942376951</v>
      </c>
      <c r="O829" s="9" t="n">
        <f aca="false">(G829*H829)-K829</f>
        <v>0</v>
      </c>
      <c r="P829" s="8" t="s">
        <v>21</v>
      </c>
    </row>
    <row r="830" customFormat="false" ht="15" hidden="false" customHeight="false" outlineLevel="0" collapsed="false">
      <c r="A830" s="2" t="n">
        <v>46098</v>
      </c>
      <c r="B830" s="3" t="s">
        <v>31</v>
      </c>
      <c r="C830" s="3" t="s">
        <v>23</v>
      </c>
      <c r="D830" s="3" t="s">
        <v>66</v>
      </c>
      <c r="E830" s="3" t="s">
        <v>67</v>
      </c>
      <c r="F830" s="3" t="s">
        <v>57</v>
      </c>
      <c r="G830" s="3" t="n">
        <v>18</v>
      </c>
      <c r="H830" s="4" t="n">
        <v>14.99</v>
      </c>
      <c r="I830" s="4" t="n">
        <v>5.5</v>
      </c>
      <c r="J830" s="5" t="n">
        <v>0.1</v>
      </c>
      <c r="K830" s="4" t="n">
        <f aca="false">G830*H830*(1-J830)</f>
        <v>242.838</v>
      </c>
      <c r="L830" s="4" t="n">
        <f aca="false">G830*I830</f>
        <v>99</v>
      </c>
      <c r="M830" s="4" t="n">
        <f aca="false">K830-L830</f>
        <v>143.838</v>
      </c>
      <c r="N830" s="6" t="n">
        <f aca="false">IF(K830=0,0,M830/K830)</f>
        <v>0.592320806463568</v>
      </c>
      <c r="O830" s="4" t="n">
        <f aca="false">(G830*H830)-K830</f>
        <v>26.982</v>
      </c>
      <c r="P830" s="3" t="s">
        <v>21</v>
      </c>
    </row>
    <row r="831" customFormat="false" ht="15" hidden="false" customHeight="false" outlineLevel="0" collapsed="false">
      <c r="A831" s="7" t="n">
        <v>46122</v>
      </c>
      <c r="B831" s="8" t="s">
        <v>58</v>
      </c>
      <c r="C831" s="8" t="s">
        <v>58</v>
      </c>
      <c r="D831" s="8" t="s">
        <v>76</v>
      </c>
      <c r="E831" s="8" t="s">
        <v>77</v>
      </c>
      <c r="F831" s="8" t="s">
        <v>34</v>
      </c>
      <c r="G831" s="8" t="n">
        <v>15</v>
      </c>
      <c r="H831" s="9" t="n">
        <v>49.99</v>
      </c>
      <c r="I831" s="9" t="n">
        <v>14</v>
      </c>
      <c r="J831" s="10" t="n">
        <v>0.25</v>
      </c>
      <c r="K831" s="9" t="n">
        <f aca="false">G831*H831*(1-J831)</f>
        <v>562.3875</v>
      </c>
      <c r="L831" s="9" t="n">
        <f aca="false">G831*I831</f>
        <v>210</v>
      </c>
      <c r="M831" s="9" t="n">
        <f aca="false">K831-L831</f>
        <v>352.3875</v>
      </c>
      <c r="N831" s="11" t="n">
        <f aca="false">IF(K831=0,0,M831/K831)</f>
        <v>0.626591985063679</v>
      </c>
      <c r="O831" s="9" t="n">
        <f aca="false">(G831*H831)-K831</f>
        <v>187.4625</v>
      </c>
      <c r="P831" s="8" t="s">
        <v>21</v>
      </c>
    </row>
    <row r="832" customFormat="false" ht="15" hidden="false" customHeight="false" outlineLevel="0" collapsed="false">
      <c r="A832" s="2" t="n">
        <v>46115</v>
      </c>
      <c r="B832" s="3" t="s">
        <v>27</v>
      </c>
      <c r="C832" s="3" t="s">
        <v>28</v>
      </c>
      <c r="D832" s="3" t="s">
        <v>76</v>
      </c>
      <c r="E832" s="3" t="s">
        <v>77</v>
      </c>
      <c r="F832" s="3" t="s">
        <v>34</v>
      </c>
      <c r="G832" s="3" t="n">
        <v>10</v>
      </c>
      <c r="H832" s="4" t="n">
        <v>49.99</v>
      </c>
      <c r="I832" s="4" t="n">
        <v>14</v>
      </c>
      <c r="J832" s="5" t="n">
        <v>0.05</v>
      </c>
      <c r="K832" s="4" t="n">
        <f aca="false">G832*H832*(1-J832)</f>
        <v>474.905</v>
      </c>
      <c r="L832" s="4" t="n">
        <f aca="false">G832*I832</f>
        <v>140</v>
      </c>
      <c r="M832" s="4" t="n">
        <f aca="false">K832-L832</f>
        <v>334.905</v>
      </c>
      <c r="N832" s="6" t="n">
        <f aca="false">IF(K832=0,0,M832/K832)</f>
        <v>0.705204198734484</v>
      </c>
      <c r="O832" s="4" t="n">
        <f aca="false">(G832*H832)-K832</f>
        <v>24.995</v>
      </c>
      <c r="P832" s="3" t="s">
        <v>21</v>
      </c>
    </row>
    <row r="833" customFormat="false" ht="15" hidden="false" customHeight="false" outlineLevel="0" collapsed="false">
      <c r="A833" s="7" t="n">
        <v>46050</v>
      </c>
      <c r="B833" s="8" t="s">
        <v>58</v>
      </c>
      <c r="C833" s="8" t="s">
        <v>58</v>
      </c>
      <c r="D833" s="8" t="s">
        <v>72</v>
      </c>
      <c r="E833" s="8" t="s">
        <v>73</v>
      </c>
      <c r="F833" s="8" t="s">
        <v>57</v>
      </c>
      <c r="G833" s="8" t="n">
        <v>27</v>
      </c>
      <c r="H833" s="9" t="n">
        <v>19.99</v>
      </c>
      <c r="I833" s="9" t="n">
        <v>7</v>
      </c>
      <c r="J833" s="10" t="n">
        <v>0.3</v>
      </c>
      <c r="K833" s="9" t="n">
        <f aca="false">G833*H833*(1-J833)</f>
        <v>377.811</v>
      </c>
      <c r="L833" s="9" t="n">
        <f aca="false">G833*I833</f>
        <v>189</v>
      </c>
      <c r="M833" s="9" t="n">
        <f aca="false">K833-L833</f>
        <v>188.811</v>
      </c>
      <c r="N833" s="11" t="n">
        <f aca="false">IF(K833=0,0,M833/K833)</f>
        <v>0.499749874937469</v>
      </c>
      <c r="O833" s="9" t="n">
        <f aca="false">(G833*H833)-K833</f>
        <v>161.919</v>
      </c>
      <c r="P833" s="8" t="s">
        <v>21</v>
      </c>
    </row>
    <row r="834" customFormat="false" ht="15" hidden="false" customHeight="false" outlineLevel="0" collapsed="false">
      <c r="A834" s="2" t="n">
        <v>46129</v>
      </c>
      <c r="B834" s="3" t="s">
        <v>16</v>
      </c>
      <c r="C834" s="3" t="s">
        <v>17</v>
      </c>
      <c r="D834" s="3" t="s">
        <v>93</v>
      </c>
      <c r="E834" s="3" t="s">
        <v>94</v>
      </c>
      <c r="F834" s="3" t="s">
        <v>34</v>
      </c>
      <c r="G834" s="3" t="n">
        <v>15</v>
      </c>
      <c r="H834" s="4" t="n">
        <v>29.99</v>
      </c>
      <c r="I834" s="4" t="n">
        <v>9</v>
      </c>
      <c r="J834" s="5" t="n">
        <v>0</v>
      </c>
      <c r="K834" s="4" t="n">
        <f aca="false">G834*H834*(1-J834)</f>
        <v>449.85</v>
      </c>
      <c r="L834" s="4" t="n">
        <f aca="false">G834*I834</f>
        <v>135</v>
      </c>
      <c r="M834" s="4" t="n">
        <f aca="false">K834-L834</f>
        <v>314.85</v>
      </c>
      <c r="N834" s="6" t="n">
        <f aca="false">IF(K834=0,0,M834/K834)</f>
        <v>0.699899966655552</v>
      </c>
      <c r="O834" s="4" t="n">
        <f aca="false">(G834*H834)-K834</f>
        <v>0</v>
      </c>
      <c r="P834" s="3" t="s">
        <v>21</v>
      </c>
    </row>
    <row r="835" customFormat="false" ht="15" hidden="false" customHeight="false" outlineLevel="0" collapsed="false">
      <c r="A835" s="7" t="n">
        <v>46070</v>
      </c>
      <c r="B835" s="8" t="s">
        <v>27</v>
      </c>
      <c r="C835" s="8" t="s">
        <v>28</v>
      </c>
      <c r="D835" s="8" t="s">
        <v>88</v>
      </c>
      <c r="E835" s="8" t="s">
        <v>89</v>
      </c>
      <c r="F835" s="8" t="s">
        <v>57</v>
      </c>
      <c r="G835" s="8" t="n">
        <v>13</v>
      </c>
      <c r="H835" s="9" t="n">
        <v>12.99</v>
      </c>
      <c r="I835" s="9" t="n">
        <v>4.5</v>
      </c>
      <c r="J835" s="10" t="n">
        <v>0.3</v>
      </c>
      <c r="K835" s="9" t="n">
        <f aca="false">G835*H835*(1-J835)</f>
        <v>118.209</v>
      </c>
      <c r="L835" s="9" t="n">
        <f aca="false">G835*I835</f>
        <v>58.5</v>
      </c>
      <c r="M835" s="9" t="n">
        <f aca="false">K835-L835</f>
        <v>59.709</v>
      </c>
      <c r="N835" s="11" t="n">
        <f aca="false">IF(K835=0,0,M835/K835)</f>
        <v>0.505113823820521</v>
      </c>
      <c r="O835" s="9" t="n">
        <f aca="false">(G835*H835)-K835</f>
        <v>50.661</v>
      </c>
      <c r="P835" s="8" t="s">
        <v>21</v>
      </c>
    </row>
    <row r="836" customFormat="false" ht="15" hidden="false" customHeight="false" outlineLevel="0" collapsed="false">
      <c r="A836" s="2" t="n">
        <v>46107</v>
      </c>
      <c r="B836" s="3" t="s">
        <v>22</v>
      </c>
      <c r="C836" s="3" t="s">
        <v>23</v>
      </c>
      <c r="D836" s="3" t="s">
        <v>46</v>
      </c>
      <c r="E836" s="3" t="s">
        <v>47</v>
      </c>
      <c r="F836" s="3" t="s">
        <v>20</v>
      </c>
      <c r="G836" s="3" t="n">
        <v>5</v>
      </c>
      <c r="H836" s="4" t="n">
        <v>44.99</v>
      </c>
      <c r="I836" s="4" t="n">
        <v>18</v>
      </c>
      <c r="J836" s="5" t="n">
        <v>0.1</v>
      </c>
      <c r="K836" s="4" t="n">
        <f aca="false">G836*H836*(1-J836)</f>
        <v>202.455</v>
      </c>
      <c r="L836" s="4" t="n">
        <f aca="false">G836*I836</f>
        <v>90</v>
      </c>
      <c r="M836" s="4" t="n">
        <f aca="false">K836-L836</f>
        <v>112.455</v>
      </c>
      <c r="N836" s="6" t="n">
        <f aca="false">IF(K836=0,0,M836/K836)</f>
        <v>0.555456768170705</v>
      </c>
      <c r="O836" s="4" t="n">
        <f aca="false">(G836*H836)-K836</f>
        <v>22.495</v>
      </c>
      <c r="P836" s="3" t="s">
        <v>21</v>
      </c>
    </row>
    <row r="837" customFormat="false" ht="15" hidden="false" customHeight="false" outlineLevel="0" collapsed="false">
      <c r="A837" s="7" t="n">
        <v>46096</v>
      </c>
      <c r="B837" s="8" t="s">
        <v>37</v>
      </c>
      <c r="C837" s="8" t="s">
        <v>17</v>
      </c>
      <c r="D837" s="8" t="s">
        <v>93</v>
      </c>
      <c r="E837" s="8" t="s">
        <v>94</v>
      </c>
      <c r="F837" s="8" t="s">
        <v>34</v>
      </c>
      <c r="G837" s="8" t="n">
        <v>2</v>
      </c>
      <c r="H837" s="9" t="n">
        <v>29.99</v>
      </c>
      <c r="I837" s="9" t="n">
        <v>9</v>
      </c>
      <c r="J837" s="10" t="n">
        <v>0.25</v>
      </c>
      <c r="K837" s="9" t="n">
        <f aca="false">G837*H837*(1-J837)</f>
        <v>44.985</v>
      </c>
      <c r="L837" s="9" t="n">
        <f aca="false">G837*I837</f>
        <v>18</v>
      </c>
      <c r="M837" s="9" t="n">
        <f aca="false">K837-L837</f>
        <v>26.985</v>
      </c>
      <c r="N837" s="11" t="n">
        <f aca="false">IF(K837=0,0,M837/K837)</f>
        <v>0.599866622207403</v>
      </c>
      <c r="O837" s="9" t="n">
        <f aca="false">(G837*H837)-K837</f>
        <v>14.995</v>
      </c>
      <c r="P837" s="8" t="s">
        <v>21</v>
      </c>
    </row>
    <row r="838" customFormat="false" ht="15" hidden="false" customHeight="false" outlineLevel="0" collapsed="false">
      <c r="A838" s="2" t="n">
        <v>46055</v>
      </c>
      <c r="B838" s="3" t="s">
        <v>41</v>
      </c>
      <c r="C838" s="3" t="s">
        <v>28</v>
      </c>
      <c r="D838" s="3" t="s">
        <v>80</v>
      </c>
      <c r="E838" s="3" t="s">
        <v>81</v>
      </c>
      <c r="F838" s="3" t="s">
        <v>57</v>
      </c>
      <c r="G838" s="3" t="n">
        <v>26</v>
      </c>
      <c r="H838" s="4" t="n">
        <v>17.99</v>
      </c>
      <c r="I838" s="4" t="n">
        <v>6.5</v>
      </c>
      <c r="J838" s="5" t="n">
        <v>0.15</v>
      </c>
      <c r="K838" s="4" t="n">
        <f aca="false">G838*H838*(1-J838)</f>
        <v>397.579</v>
      </c>
      <c r="L838" s="4" t="n">
        <f aca="false">G838*I838</f>
        <v>169</v>
      </c>
      <c r="M838" s="4" t="n">
        <f aca="false">K838-L838</f>
        <v>228.579</v>
      </c>
      <c r="N838" s="6" t="n">
        <f aca="false">IF(K838=0,0,M838/K838)</f>
        <v>0.574927247163457</v>
      </c>
      <c r="O838" s="4" t="n">
        <f aca="false">(G838*H838)-K838</f>
        <v>70.161</v>
      </c>
      <c r="P838" s="3" t="s">
        <v>21</v>
      </c>
    </row>
    <row r="839" customFormat="false" ht="15" hidden="false" customHeight="false" outlineLevel="0" collapsed="false">
      <c r="A839" s="7" t="n">
        <v>46099</v>
      </c>
      <c r="B839" s="8" t="s">
        <v>31</v>
      </c>
      <c r="C839" s="8" t="s">
        <v>23</v>
      </c>
      <c r="D839" s="8" t="s">
        <v>74</v>
      </c>
      <c r="E839" s="8" t="s">
        <v>75</v>
      </c>
      <c r="F839" s="8" t="s">
        <v>40</v>
      </c>
      <c r="G839" s="8" t="n">
        <v>21</v>
      </c>
      <c r="H839" s="9" t="n">
        <v>29.99</v>
      </c>
      <c r="I839" s="9" t="n">
        <v>13</v>
      </c>
      <c r="J839" s="10" t="n">
        <v>0.3</v>
      </c>
      <c r="K839" s="9" t="n">
        <f aca="false">G839*H839*(1-J839)</f>
        <v>440.853</v>
      </c>
      <c r="L839" s="9" t="n">
        <f aca="false">G839*I839</f>
        <v>273</v>
      </c>
      <c r="M839" s="9" t="n">
        <f aca="false">K839-L839</f>
        <v>167.853</v>
      </c>
      <c r="N839" s="11" t="n">
        <f aca="false">IF(K839=0,0,M839/K839)</f>
        <v>0.380745962940028</v>
      </c>
      <c r="O839" s="9" t="n">
        <f aca="false">(G839*H839)-K839</f>
        <v>188.937</v>
      </c>
      <c r="P839" s="8" t="s">
        <v>21</v>
      </c>
    </row>
    <row r="840" customFormat="false" ht="15" hidden="false" customHeight="false" outlineLevel="0" collapsed="false">
      <c r="A840" s="2" t="n">
        <v>46090</v>
      </c>
      <c r="B840" s="3" t="s">
        <v>31</v>
      </c>
      <c r="C840" s="3" t="s">
        <v>23</v>
      </c>
      <c r="D840" s="3" t="s">
        <v>59</v>
      </c>
      <c r="E840" s="3" t="s">
        <v>60</v>
      </c>
      <c r="F840" s="3" t="s">
        <v>50</v>
      </c>
      <c r="G840" s="3" t="n">
        <v>28</v>
      </c>
      <c r="H840" s="4" t="n">
        <v>24.99</v>
      </c>
      <c r="I840" s="4" t="n">
        <v>8.5</v>
      </c>
      <c r="J840" s="5" t="n">
        <v>0.15</v>
      </c>
      <c r="K840" s="4" t="n">
        <f aca="false">G840*H840*(1-J840)</f>
        <v>594.762</v>
      </c>
      <c r="L840" s="4" t="n">
        <f aca="false">G840*I840</f>
        <v>238</v>
      </c>
      <c r="M840" s="4" t="n">
        <f aca="false">K840-L840</f>
        <v>356.762</v>
      </c>
      <c r="N840" s="6" t="n">
        <f aca="false">IF(K840=0,0,M840/K840)</f>
        <v>0.59983993597439</v>
      </c>
      <c r="O840" s="4" t="n">
        <f aca="false">(G840*H840)-K840</f>
        <v>104.958</v>
      </c>
      <c r="P840" s="3" t="s">
        <v>21</v>
      </c>
    </row>
    <row r="841" customFormat="false" ht="15" hidden="false" customHeight="false" outlineLevel="0" collapsed="false">
      <c r="A841" s="7" t="n">
        <v>46109</v>
      </c>
      <c r="B841" s="8" t="s">
        <v>58</v>
      </c>
      <c r="C841" s="8" t="s">
        <v>58</v>
      </c>
      <c r="D841" s="8" t="s">
        <v>78</v>
      </c>
      <c r="E841" s="8" t="s">
        <v>79</v>
      </c>
      <c r="F841" s="8" t="s">
        <v>20</v>
      </c>
      <c r="G841" s="8" t="n">
        <v>5</v>
      </c>
      <c r="H841" s="9" t="n">
        <v>39.99</v>
      </c>
      <c r="I841" s="9" t="n">
        <v>16</v>
      </c>
      <c r="J841" s="10" t="n">
        <v>0</v>
      </c>
      <c r="K841" s="9" t="n">
        <f aca="false">G841*H841*(1-J841)</f>
        <v>199.95</v>
      </c>
      <c r="L841" s="9" t="n">
        <f aca="false">G841*I841</f>
        <v>80</v>
      </c>
      <c r="M841" s="9" t="n">
        <f aca="false">K841-L841</f>
        <v>119.95</v>
      </c>
      <c r="N841" s="11" t="n">
        <f aca="false">IF(K841=0,0,M841/K841)</f>
        <v>0.599899974993749</v>
      </c>
      <c r="O841" s="9" t="n">
        <f aca="false">(G841*H841)-K841</f>
        <v>0</v>
      </c>
      <c r="P841" s="8" t="s">
        <v>21</v>
      </c>
    </row>
    <row r="842" customFormat="false" ht="15" hidden="false" customHeight="false" outlineLevel="0" collapsed="false">
      <c r="A842" s="2" t="n">
        <v>46087</v>
      </c>
      <c r="B842" s="3" t="s">
        <v>64</v>
      </c>
      <c r="C842" s="3" t="s">
        <v>65</v>
      </c>
      <c r="D842" s="3" t="s">
        <v>93</v>
      </c>
      <c r="E842" s="3" t="s">
        <v>94</v>
      </c>
      <c r="F842" s="3" t="s">
        <v>34</v>
      </c>
      <c r="G842" s="3" t="n">
        <v>6</v>
      </c>
      <c r="H842" s="4" t="n">
        <v>29.99</v>
      </c>
      <c r="I842" s="4" t="n">
        <v>9</v>
      </c>
      <c r="J842" s="5" t="n">
        <v>0</v>
      </c>
      <c r="K842" s="4" t="n">
        <f aca="false">G842*H842*(1-J842)</f>
        <v>179.94</v>
      </c>
      <c r="L842" s="4" t="n">
        <f aca="false">G842*I842</f>
        <v>54</v>
      </c>
      <c r="M842" s="4" t="n">
        <f aca="false">K842-L842</f>
        <v>125.94</v>
      </c>
      <c r="N842" s="6" t="n">
        <f aca="false">IF(K842=0,0,M842/K842)</f>
        <v>0.699899966655552</v>
      </c>
      <c r="O842" s="4" t="n">
        <f aca="false">(G842*H842)-K842</f>
        <v>0</v>
      </c>
      <c r="P842" s="3" t="s">
        <v>21</v>
      </c>
    </row>
    <row r="843" customFormat="false" ht="15" hidden="false" customHeight="false" outlineLevel="0" collapsed="false">
      <c r="A843" s="7" t="n">
        <v>46128</v>
      </c>
      <c r="B843" s="8" t="s">
        <v>22</v>
      </c>
      <c r="C843" s="8" t="s">
        <v>23</v>
      </c>
      <c r="D843" s="8" t="s">
        <v>70</v>
      </c>
      <c r="E843" s="8" t="s">
        <v>71</v>
      </c>
      <c r="F843" s="8" t="s">
        <v>20</v>
      </c>
      <c r="G843" s="8" t="n">
        <v>11</v>
      </c>
      <c r="H843" s="9" t="n">
        <v>49.99</v>
      </c>
      <c r="I843" s="9" t="n">
        <v>19</v>
      </c>
      <c r="J843" s="10" t="n">
        <v>0.3</v>
      </c>
      <c r="K843" s="9" t="n">
        <f aca="false">G843*H843*(1-J843)</f>
        <v>384.923</v>
      </c>
      <c r="L843" s="9" t="n">
        <f aca="false">G843*I843</f>
        <v>209</v>
      </c>
      <c r="M843" s="9" t="n">
        <f aca="false">K843-L843</f>
        <v>175.923</v>
      </c>
      <c r="N843" s="11" t="n">
        <f aca="false">IF(K843=0,0,M843/K843)</f>
        <v>0.457034263995656</v>
      </c>
      <c r="O843" s="9" t="n">
        <f aca="false">(G843*H843)-K843</f>
        <v>164.967</v>
      </c>
      <c r="P843" s="8" t="s">
        <v>21</v>
      </c>
    </row>
    <row r="844" customFormat="false" ht="15" hidden="false" customHeight="false" outlineLevel="0" collapsed="false">
      <c r="A844" s="2" t="n">
        <v>46095</v>
      </c>
      <c r="B844" s="3" t="s">
        <v>16</v>
      </c>
      <c r="C844" s="3" t="s">
        <v>17</v>
      </c>
      <c r="D844" s="3" t="s">
        <v>84</v>
      </c>
      <c r="E844" s="3" t="s">
        <v>85</v>
      </c>
      <c r="F844" s="3" t="s">
        <v>20</v>
      </c>
      <c r="G844" s="3" t="n">
        <v>27</v>
      </c>
      <c r="H844" s="4" t="n">
        <v>34.99</v>
      </c>
      <c r="I844" s="4" t="n">
        <v>13</v>
      </c>
      <c r="J844" s="5" t="n">
        <v>0.15</v>
      </c>
      <c r="K844" s="4" t="n">
        <f aca="false">G844*H844*(1-J844)</f>
        <v>803.0205</v>
      </c>
      <c r="L844" s="4" t="n">
        <f aca="false">G844*I844</f>
        <v>351</v>
      </c>
      <c r="M844" s="4" t="n">
        <f aca="false">K844-L844</f>
        <v>452.0205</v>
      </c>
      <c r="N844" s="6" t="n">
        <f aca="false">IF(K844=0,0,M844/K844)</f>
        <v>0.562900324462451</v>
      </c>
      <c r="O844" s="4" t="n">
        <f aca="false">(G844*H844)-K844</f>
        <v>141.7095</v>
      </c>
      <c r="P844" s="3" t="s">
        <v>21</v>
      </c>
    </row>
    <row r="845" customFormat="false" ht="15" hidden="false" customHeight="false" outlineLevel="0" collapsed="false">
      <c r="A845" s="7" t="n">
        <v>46118</v>
      </c>
      <c r="B845" s="8" t="s">
        <v>22</v>
      </c>
      <c r="C845" s="8" t="s">
        <v>23</v>
      </c>
      <c r="D845" s="8" t="s">
        <v>35</v>
      </c>
      <c r="E845" s="8" t="s">
        <v>36</v>
      </c>
      <c r="F845" s="8" t="s">
        <v>26</v>
      </c>
      <c r="G845" s="8" t="n">
        <v>16</v>
      </c>
      <c r="H845" s="9" t="n">
        <v>69.99</v>
      </c>
      <c r="I845" s="9" t="n">
        <v>30</v>
      </c>
      <c r="J845" s="10" t="n">
        <v>0.3</v>
      </c>
      <c r="K845" s="9" t="n">
        <f aca="false">G845*H845*(1-J845)</f>
        <v>783.888</v>
      </c>
      <c r="L845" s="9" t="n">
        <f aca="false">G845*I845</f>
        <v>480</v>
      </c>
      <c r="M845" s="9" t="n">
        <f aca="false">K845-L845</f>
        <v>303.888</v>
      </c>
      <c r="N845" s="11" t="n">
        <f aca="false">IF(K845=0,0,M845/K845)</f>
        <v>0.387667625987386</v>
      </c>
      <c r="O845" s="9" t="n">
        <f aca="false">(G845*H845)-K845</f>
        <v>335.952</v>
      </c>
      <c r="P845" s="8" t="s">
        <v>21</v>
      </c>
    </row>
    <row r="846" customFormat="false" ht="15" hidden="false" customHeight="false" outlineLevel="0" collapsed="false">
      <c r="A846" s="2" t="n">
        <v>46121</v>
      </c>
      <c r="B846" s="3" t="s">
        <v>37</v>
      </c>
      <c r="C846" s="3" t="s">
        <v>17</v>
      </c>
      <c r="D846" s="3" t="s">
        <v>38</v>
      </c>
      <c r="E846" s="3" t="s">
        <v>39</v>
      </c>
      <c r="F846" s="3" t="s">
        <v>40</v>
      </c>
      <c r="G846" s="3" t="n">
        <v>28</v>
      </c>
      <c r="H846" s="4" t="n">
        <v>12.99</v>
      </c>
      <c r="I846" s="4" t="n">
        <v>4</v>
      </c>
      <c r="J846" s="5" t="n">
        <v>0</v>
      </c>
      <c r="K846" s="4" t="n">
        <f aca="false">G846*H846*(1-J846)</f>
        <v>363.72</v>
      </c>
      <c r="L846" s="4" t="n">
        <f aca="false">G846*I846</f>
        <v>112</v>
      </c>
      <c r="M846" s="4" t="n">
        <f aca="false">K846-L846</f>
        <v>251.72</v>
      </c>
      <c r="N846" s="6" t="n">
        <f aca="false">IF(K846=0,0,M846/K846)</f>
        <v>0.692070823710547</v>
      </c>
      <c r="O846" s="4" t="n">
        <f aca="false">(G846*H846)-K846</f>
        <v>0</v>
      </c>
      <c r="P846" s="3" t="s">
        <v>21</v>
      </c>
    </row>
    <row r="847" customFormat="false" ht="15" hidden="false" customHeight="false" outlineLevel="0" collapsed="false">
      <c r="A847" s="7" t="n">
        <v>46104</v>
      </c>
      <c r="B847" s="8" t="s">
        <v>37</v>
      </c>
      <c r="C847" s="8" t="s">
        <v>17</v>
      </c>
      <c r="D847" s="8" t="s">
        <v>48</v>
      </c>
      <c r="E847" s="8" t="s">
        <v>49</v>
      </c>
      <c r="F847" s="8" t="s">
        <v>50</v>
      </c>
      <c r="G847" s="8" t="n">
        <v>7</v>
      </c>
      <c r="H847" s="9" t="n">
        <v>59.99</v>
      </c>
      <c r="I847" s="9" t="n">
        <v>20</v>
      </c>
      <c r="J847" s="10" t="n">
        <v>0</v>
      </c>
      <c r="K847" s="9" t="n">
        <f aca="false">G847*H847*(1-J847)</f>
        <v>419.93</v>
      </c>
      <c r="L847" s="9" t="n">
        <f aca="false">G847*I847</f>
        <v>140</v>
      </c>
      <c r="M847" s="9" t="n">
        <f aca="false">K847-L847</f>
        <v>279.93</v>
      </c>
      <c r="N847" s="11" t="n">
        <f aca="false">IF(K847=0,0,M847/K847)</f>
        <v>0.666611101850308</v>
      </c>
      <c r="O847" s="9" t="n">
        <f aca="false">(G847*H847)-K847</f>
        <v>0</v>
      </c>
      <c r="P847" s="8" t="s">
        <v>21</v>
      </c>
    </row>
    <row r="848" customFormat="false" ht="15" hidden="false" customHeight="false" outlineLevel="0" collapsed="false">
      <c r="A848" s="2" t="n">
        <v>46072</v>
      </c>
      <c r="B848" s="3" t="s">
        <v>31</v>
      </c>
      <c r="C848" s="3" t="s">
        <v>23</v>
      </c>
      <c r="D848" s="3" t="s">
        <v>24</v>
      </c>
      <c r="E848" s="3" t="s">
        <v>25</v>
      </c>
      <c r="F848" s="3" t="s">
        <v>26</v>
      </c>
      <c r="G848" s="3" t="n">
        <v>10</v>
      </c>
      <c r="H848" s="4" t="n">
        <v>54.99</v>
      </c>
      <c r="I848" s="4" t="n">
        <v>24</v>
      </c>
      <c r="J848" s="5" t="n">
        <v>0.15</v>
      </c>
      <c r="K848" s="4" t="n">
        <f aca="false">G848*H848*(1-J848)</f>
        <v>467.415</v>
      </c>
      <c r="L848" s="4" t="n">
        <f aca="false">G848*I848</f>
        <v>240</v>
      </c>
      <c r="M848" s="4" t="n">
        <f aca="false">K848-L848</f>
        <v>227.415</v>
      </c>
      <c r="N848" s="6" t="n">
        <f aca="false">IF(K848=0,0,M848/K848)</f>
        <v>0.486537659253554</v>
      </c>
      <c r="O848" s="4" t="n">
        <f aca="false">(G848*H848)-K848</f>
        <v>82.485</v>
      </c>
      <c r="P848" s="3" t="s">
        <v>21</v>
      </c>
    </row>
    <row r="849" customFormat="false" ht="15" hidden="false" customHeight="false" outlineLevel="0" collapsed="false">
      <c r="A849" s="7" t="n">
        <v>46075</v>
      </c>
      <c r="B849" s="8" t="s">
        <v>41</v>
      </c>
      <c r="C849" s="8" t="s">
        <v>28</v>
      </c>
      <c r="D849" s="8" t="s">
        <v>76</v>
      </c>
      <c r="E849" s="8" t="s">
        <v>77</v>
      </c>
      <c r="F849" s="8" t="s">
        <v>34</v>
      </c>
      <c r="G849" s="8" t="n">
        <v>22</v>
      </c>
      <c r="H849" s="9" t="n">
        <v>44.99</v>
      </c>
      <c r="I849" s="9" t="n">
        <v>14</v>
      </c>
      <c r="J849" s="10" t="n">
        <v>0</v>
      </c>
      <c r="K849" s="9" t="n">
        <f aca="false">G849*H849*(1-J849)</f>
        <v>989.78</v>
      </c>
      <c r="L849" s="9" t="n">
        <f aca="false">G849*I849</f>
        <v>308</v>
      </c>
      <c r="M849" s="9" t="n">
        <f aca="false">K849-L849</f>
        <v>681.78</v>
      </c>
      <c r="N849" s="11" t="n">
        <f aca="false">IF(K849=0,0,M849/K849)</f>
        <v>0.688819737719493</v>
      </c>
      <c r="O849" s="9" t="n">
        <f aca="false">(G849*H849)-K849</f>
        <v>0</v>
      </c>
      <c r="P849" s="8" t="s">
        <v>21</v>
      </c>
    </row>
    <row r="850" customFormat="false" ht="15" hidden="false" customHeight="false" outlineLevel="0" collapsed="false">
      <c r="A850" s="2" t="n">
        <v>46053</v>
      </c>
      <c r="B850" s="3" t="s">
        <v>41</v>
      </c>
      <c r="C850" s="3" t="s">
        <v>28</v>
      </c>
      <c r="D850" s="3" t="s">
        <v>48</v>
      </c>
      <c r="E850" s="3" t="s">
        <v>49</v>
      </c>
      <c r="F850" s="3" t="s">
        <v>50</v>
      </c>
      <c r="G850" s="3" t="n">
        <v>6</v>
      </c>
      <c r="H850" s="4" t="n">
        <v>54.99</v>
      </c>
      <c r="I850" s="4" t="n">
        <v>20</v>
      </c>
      <c r="J850" s="5" t="n">
        <v>0.3</v>
      </c>
      <c r="K850" s="4" t="n">
        <f aca="false">G850*H850*(1-J850)</f>
        <v>230.958</v>
      </c>
      <c r="L850" s="4" t="n">
        <f aca="false">G850*I850</f>
        <v>120</v>
      </c>
      <c r="M850" s="4" t="n">
        <f aca="false">K850-L850</f>
        <v>110.958</v>
      </c>
      <c r="N850" s="6" t="n">
        <f aca="false">IF(K850=0,0,M850/K850)</f>
        <v>0.480425012339906</v>
      </c>
      <c r="O850" s="4" t="n">
        <f aca="false">(G850*H850)-K850</f>
        <v>98.982</v>
      </c>
      <c r="P850" s="3" t="s">
        <v>21</v>
      </c>
    </row>
    <row r="851" customFormat="false" ht="15" hidden="false" customHeight="false" outlineLevel="0" collapsed="false">
      <c r="A851" s="7" t="n">
        <v>46106</v>
      </c>
      <c r="B851" s="8" t="s">
        <v>58</v>
      </c>
      <c r="C851" s="8" t="s">
        <v>58</v>
      </c>
      <c r="D851" s="8" t="s">
        <v>38</v>
      </c>
      <c r="E851" s="8" t="s">
        <v>39</v>
      </c>
      <c r="F851" s="8" t="s">
        <v>40</v>
      </c>
      <c r="G851" s="8" t="n">
        <v>29</v>
      </c>
      <c r="H851" s="9" t="n">
        <v>12.99</v>
      </c>
      <c r="I851" s="9" t="n">
        <v>4</v>
      </c>
      <c r="J851" s="10" t="n">
        <v>0</v>
      </c>
      <c r="K851" s="9" t="n">
        <f aca="false">G851*H851*(1-J851)</f>
        <v>376.71</v>
      </c>
      <c r="L851" s="9" t="n">
        <f aca="false">G851*I851</f>
        <v>116</v>
      </c>
      <c r="M851" s="9" t="n">
        <f aca="false">K851-L851</f>
        <v>260.71</v>
      </c>
      <c r="N851" s="11" t="n">
        <f aca="false">IF(K851=0,0,M851/K851)</f>
        <v>0.692070823710547</v>
      </c>
      <c r="O851" s="9" t="n">
        <f aca="false">(G851*H851)-K851</f>
        <v>0</v>
      </c>
      <c r="P851" s="8" t="s">
        <v>21</v>
      </c>
    </row>
    <row r="852" customFormat="false" ht="15" hidden="false" customHeight="false" outlineLevel="0" collapsed="false">
      <c r="A852" s="2" t="n">
        <v>46120</v>
      </c>
      <c r="B852" s="3" t="s">
        <v>22</v>
      </c>
      <c r="C852" s="3" t="s">
        <v>23</v>
      </c>
      <c r="D852" s="3" t="s">
        <v>29</v>
      </c>
      <c r="E852" s="3" t="s">
        <v>30</v>
      </c>
      <c r="F852" s="3" t="s">
        <v>20</v>
      </c>
      <c r="G852" s="3" t="n">
        <v>25</v>
      </c>
      <c r="H852" s="4" t="n">
        <v>79.99</v>
      </c>
      <c r="I852" s="4" t="n">
        <v>42</v>
      </c>
      <c r="J852" s="5" t="n">
        <v>0.3</v>
      </c>
      <c r="K852" s="4" t="n">
        <f aca="false">G852*H852*(1-J852)</f>
        <v>1399.825</v>
      </c>
      <c r="L852" s="4" t="n">
        <f aca="false">G852*I852</f>
        <v>1050</v>
      </c>
      <c r="M852" s="4" t="n">
        <f aca="false">K852-L852</f>
        <v>349.825</v>
      </c>
      <c r="N852" s="6" t="n">
        <f aca="false">IF(K852=0,0,M852/K852)</f>
        <v>0.249906238279785</v>
      </c>
      <c r="O852" s="4" t="n">
        <f aca="false">(G852*H852)-K852</f>
        <v>599.925</v>
      </c>
      <c r="P852" s="3" t="s">
        <v>21</v>
      </c>
    </row>
    <row r="853" customFormat="false" ht="15" hidden="false" customHeight="false" outlineLevel="0" collapsed="false">
      <c r="A853" s="7" t="n">
        <v>46056</v>
      </c>
      <c r="B853" s="8" t="s">
        <v>64</v>
      </c>
      <c r="C853" s="8" t="s">
        <v>65</v>
      </c>
      <c r="D853" s="8" t="s">
        <v>88</v>
      </c>
      <c r="E853" s="8" t="s">
        <v>89</v>
      </c>
      <c r="F853" s="8" t="s">
        <v>57</v>
      </c>
      <c r="G853" s="8" t="n">
        <v>12</v>
      </c>
      <c r="H853" s="9" t="n">
        <v>12.99</v>
      </c>
      <c r="I853" s="9" t="n">
        <v>4.5</v>
      </c>
      <c r="J853" s="10" t="n">
        <v>0.25</v>
      </c>
      <c r="K853" s="9" t="n">
        <f aca="false">G853*H853*(1-J853)</f>
        <v>116.91</v>
      </c>
      <c r="L853" s="9" t="n">
        <f aca="false">G853*I853</f>
        <v>54</v>
      </c>
      <c r="M853" s="9" t="n">
        <f aca="false">K853-L853</f>
        <v>62.91</v>
      </c>
      <c r="N853" s="11" t="n">
        <f aca="false">IF(K853=0,0,M853/K853)</f>
        <v>0.53810623556582</v>
      </c>
      <c r="O853" s="9" t="n">
        <f aca="false">(G853*H853)-K853</f>
        <v>38.97</v>
      </c>
      <c r="P853" s="8" t="s">
        <v>21</v>
      </c>
    </row>
    <row r="854" customFormat="false" ht="15" hidden="false" customHeight="false" outlineLevel="0" collapsed="false">
      <c r="A854" s="2" t="n">
        <v>46114</v>
      </c>
      <c r="B854" s="3" t="s">
        <v>16</v>
      </c>
      <c r="C854" s="3" t="s">
        <v>17</v>
      </c>
      <c r="D854" s="3" t="s">
        <v>74</v>
      </c>
      <c r="E854" s="3" t="s">
        <v>75</v>
      </c>
      <c r="F854" s="3" t="s">
        <v>40</v>
      </c>
      <c r="G854" s="3" t="n">
        <v>12</v>
      </c>
      <c r="H854" s="4" t="n">
        <v>29.99</v>
      </c>
      <c r="I854" s="4" t="n">
        <v>13</v>
      </c>
      <c r="J854" s="5" t="n">
        <v>0.2</v>
      </c>
      <c r="K854" s="4" t="n">
        <f aca="false">G854*H854*(1-J854)</f>
        <v>287.904</v>
      </c>
      <c r="L854" s="4" t="n">
        <f aca="false">G854*I854</f>
        <v>156</v>
      </c>
      <c r="M854" s="4" t="n">
        <f aca="false">K854-L854</f>
        <v>131.904</v>
      </c>
      <c r="N854" s="6" t="n">
        <f aca="false">IF(K854=0,0,M854/K854)</f>
        <v>0.458152717572524</v>
      </c>
      <c r="O854" s="4" t="n">
        <f aca="false">(G854*H854)-K854</f>
        <v>71.976</v>
      </c>
      <c r="P854" s="3" t="s">
        <v>21</v>
      </c>
    </row>
    <row r="855" customFormat="false" ht="15" hidden="false" customHeight="false" outlineLevel="0" collapsed="false">
      <c r="A855" s="7" t="n">
        <v>46045</v>
      </c>
      <c r="B855" s="8" t="s">
        <v>27</v>
      </c>
      <c r="C855" s="8" t="s">
        <v>28</v>
      </c>
      <c r="D855" s="8" t="s">
        <v>78</v>
      </c>
      <c r="E855" s="8" t="s">
        <v>79</v>
      </c>
      <c r="F855" s="8" t="s">
        <v>20</v>
      </c>
      <c r="G855" s="8" t="n">
        <v>5</v>
      </c>
      <c r="H855" s="9" t="n">
        <v>39.99</v>
      </c>
      <c r="I855" s="9" t="n">
        <v>16</v>
      </c>
      <c r="J855" s="10" t="n">
        <v>0.1</v>
      </c>
      <c r="K855" s="9" t="n">
        <f aca="false">G855*H855*(1-J855)</f>
        <v>179.955</v>
      </c>
      <c r="L855" s="9" t="n">
        <f aca="false">G855*I855</f>
        <v>80</v>
      </c>
      <c r="M855" s="9" t="n">
        <f aca="false">K855-L855</f>
        <v>99.955</v>
      </c>
      <c r="N855" s="11" t="n">
        <f aca="false">IF(K855=0,0,M855/K855)</f>
        <v>0.555444416659721</v>
      </c>
      <c r="O855" s="9" t="n">
        <f aca="false">(G855*H855)-K855</f>
        <v>19.995</v>
      </c>
      <c r="P855" s="8" t="s">
        <v>21</v>
      </c>
    </row>
    <row r="856" customFormat="false" ht="15" hidden="false" customHeight="false" outlineLevel="0" collapsed="false">
      <c r="A856" s="2" t="n">
        <v>46128</v>
      </c>
      <c r="B856" s="3" t="s">
        <v>27</v>
      </c>
      <c r="C856" s="3" t="s">
        <v>28</v>
      </c>
      <c r="D856" s="3" t="s">
        <v>55</v>
      </c>
      <c r="E856" s="3" t="s">
        <v>56</v>
      </c>
      <c r="F856" s="3" t="s">
        <v>57</v>
      </c>
      <c r="G856" s="3" t="n">
        <v>2</v>
      </c>
      <c r="H856" s="4" t="n">
        <v>29.99</v>
      </c>
      <c r="I856" s="4" t="n">
        <v>11</v>
      </c>
      <c r="J856" s="5" t="n">
        <v>0</v>
      </c>
      <c r="K856" s="4" t="n">
        <f aca="false">G856*H856*(1-J856)</f>
        <v>59.98</v>
      </c>
      <c r="L856" s="4" t="n">
        <f aca="false">G856*I856</f>
        <v>22</v>
      </c>
      <c r="M856" s="4" t="n">
        <f aca="false">K856-L856</f>
        <v>37.98</v>
      </c>
      <c r="N856" s="6" t="n">
        <f aca="false">IF(K856=0,0,M856/K856)</f>
        <v>0.633211070356786</v>
      </c>
      <c r="O856" s="4" t="n">
        <f aca="false">(G856*H856)-K856</f>
        <v>0</v>
      </c>
      <c r="P856" s="3" t="s">
        <v>21</v>
      </c>
    </row>
    <row r="857" customFormat="false" ht="15" hidden="false" customHeight="false" outlineLevel="0" collapsed="false">
      <c r="A857" s="7" t="n">
        <v>46040</v>
      </c>
      <c r="B857" s="8" t="s">
        <v>27</v>
      </c>
      <c r="C857" s="8" t="s">
        <v>28</v>
      </c>
      <c r="D857" s="8" t="s">
        <v>51</v>
      </c>
      <c r="E857" s="8" t="s">
        <v>52</v>
      </c>
      <c r="F857" s="8" t="s">
        <v>50</v>
      </c>
      <c r="G857" s="8" t="n">
        <v>25</v>
      </c>
      <c r="H857" s="9" t="n">
        <v>19.99</v>
      </c>
      <c r="I857" s="9" t="n">
        <v>7</v>
      </c>
      <c r="J857" s="10" t="n">
        <v>0.15</v>
      </c>
      <c r="K857" s="9" t="n">
        <f aca="false">G857*H857*(1-J857)</f>
        <v>424.7875</v>
      </c>
      <c r="L857" s="9" t="n">
        <f aca="false">G857*I857</f>
        <v>175</v>
      </c>
      <c r="M857" s="9" t="n">
        <f aca="false">K857-L857</f>
        <v>249.7875</v>
      </c>
      <c r="N857" s="11" t="n">
        <f aca="false">IF(K857=0,0,M857/K857)</f>
        <v>0.588029308772033</v>
      </c>
      <c r="O857" s="9" t="n">
        <f aca="false">(G857*H857)-K857</f>
        <v>74.9625</v>
      </c>
      <c r="P857" s="8" t="s">
        <v>21</v>
      </c>
    </row>
    <row r="858" customFormat="false" ht="15" hidden="false" customHeight="false" outlineLevel="0" collapsed="false">
      <c r="A858" s="2" t="n">
        <v>46111</v>
      </c>
      <c r="B858" s="3" t="s">
        <v>16</v>
      </c>
      <c r="C858" s="3" t="s">
        <v>17</v>
      </c>
      <c r="D858" s="3" t="s">
        <v>61</v>
      </c>
      <c r="E858" s="3" t="s">
        <v>62</v>
      </c>
      <c r="F858" s="3" t="s">
        <v>34</v>
      </c>
      <c r="G858" s="3" t="n">
        <v>7</v>
      </c>
      <c r="H858" s="4" t="n">
        <v>12.99</v>
      </c>
      <c r="I858" s="4" t="n">
        <v>4.5</v>
      </c>
      <c r="J858" s="5" t="n">
        <v>0</v>
      </c>
      <c r="K858" s="4" t="n">
        <f aca="false">G858*H858*(1-J858)</f>
        <v>90.93</v>
      </c>
      <c r="L858" s="4" t="n">
        <f aca="false">G858*I858</f>
        <v>31.5</v>
      </c>
      <c r="M858" s="4" t="n">
        <f aca="false">K858-L858</f>
        <v>59.43</v>
      </c>
      <c r="N858" s="6" t="n">
        <f aca="false">IF(K858=0,0,M858/K858)</f>
        <v>0.653579676674365</v>
      </c>
      <c r="O858" s="4" t="n">
        <f aca="false">(G858*H858)-K858</f>
        <v>0</v>
      </c>
      <c r="P858" s="3" t="s">
        <v>21</v>
      </c>
    </row>
    <row r="859" customFormat="false" ht="15" hidden="false" customHeight="false" outlineLevel="0" collapsed="false">
      <c r="A859" s="7" t="n">
        <v>46067</v>
      </c>
      <c r="B859" s="8" t="s">
        <v>41</v>
      </c>
      <c r="C859" s="8" t="s">
        <v>28</v>
      </c>
      <c r="D859" s="8" t="s">
        <v>90</v>
      </c>
      <c r="E859" s="8" t="s">
        <v>91</v>
      </c>
      <c r="F859" s="8" t="s">
        <v>26</v>
      </c>
      <c r="G859" s="8" t="n">
        <v>15</v>
      </c>
      <c r="H859" s="9" t="n">
        <v>29.99</v>
      </c>
      <c r="I859" s="9" t="n">
        <v>11</v>
      </c>
      <c r="J859" s="10" t="n">
        <v>0.2</v>
      </c>
      <c r="K859" s="9" t="n">
        <f aca="false">G859*H859*(1-J859)</f>
        <v>359.88</v>
      </c>
      <c r="L859" s="9" t="n">
        <f aca="false">G859*I859</f>
        <v>165</v>
      </c>
      <c r="M859" s="9" t="n">
        <f aca="false">K859-L859</f>
        <v>194.88</v>
      </c>
      <c r="N859" s="11" t="n">
        <f aca="false">IF(K859=0,0,M859/K859)</f>
        <v>0.541513837945982</v>
      </c>
      <c r="O859" s="9" t="n">
        <f aca="false">(G859*H859)-K859</f>
        <v>89.97</v>
      </c>
      <c r="P859" s="8" t="s">
        <v>21</v>
      </c>
    </row>
    <row r="860" customFormat="false" ht="15" hidden="false" customHeight="false" outlineLevel="0" collapsed="false">
      <c r="A860" s="2" t="n">
        <v>46113</v>
      </c>
      <c r="B860" s="3" t="s">
        <v>22</v>
      </c>
      <c r="C860" s="3" t="s">
        <v>23</v>
      </c>
      <c r="D860" s="3" t="s">
        <v>86</v>
      </c>
      <c r="E860" s="3" t="s">
        <v>87</v>
      </c>
      <c r="F860" s="3" t="s">
        <v>40</v>
      </c>
      <c r="G860" s="3" t="n">
        <v>11</v>
      </c>
      <c r="H860" s="4" t="n">
        <v>16.99</v>
      </c>
      <c r="I860" s="4" t="n">
        <v>5.5</v>
      </c>
      <c r="J860" s="5" t="n">
        <v>0.15</v>
      </c>
      <c r="K860" s="4" t="n">
        <f aca="false">G860*H860*(1-J860)</f>
        <v>158.8565</v>
      </c>
      <c r="L860" s="4" t="n">
        <f aca="false">G860*I860</f>
        <v>60.5</v>
      </c>
      <c r="M860" s="4" t="n">
        <f aca="false">K860-L860</f>
        <v>98.3565</v>
      </c>
      <c r="N860" s="6" t="n">
        <f aca="false">IF(K860=0,0,M860/K860)</f>
        <v>0.619153135062147</v>
      </c>
      <c r="O860" s="4" t="n">
        <f aca="false">(G860*H860)-K860</f>
        <v>28.0335</v>
      </c>
      <c r="P860" s="3" t="s">
        <v>21</v>
      </c>
    </row>
    <row r="861" customFormat="false" ht="15" hidden="false" customHeight="false" outlineLevel="0" collapsed="false">
      <c r="A861" s="7" t="n">
        <v>46067</v>
      </c>
      <c r="B861" s="8" t="s">
        <v>64</v>
      </c>
      <c r="C861" s="8" t="s">
        <v>65</v>
      </c>
      <c r="D861" s="8" t="s">
        <v>93</v>
      </c>
      <c r="E861" s="8" t="s">
        <v>94</v>
      </c>
      <c r="F861" s="8" t="s">
        <v>34</v>
      </c>
      <c r="G861" s="8" t="n">
        <v>5</v>
      </c>
      <c r="H861" s="9" t="n">
        <v>29.99</v>
      </c>
      <c r="I861" s="9" t="n">
        <v>9</v>
      </c>
      <c r="J861" s="10" t="n">
        <v>0.3</v>
      </c>
      <c r="K861" s="9" t="n">
        <f aca="false">G861*H861*(1-J861)</f>
        <v>104.965</v>
      </c>
      <c r="L861" s="9" t="n">
        <f aca="false">G861*I861</f>
        <v>45</v>
      </c>
      <c r="M861" s="9" t="n">
        <f aca="false">K861-L861</f>
        <v>59.965</v>
      </c>
      <c r="N861" s="11" t="n">
        <f aca="false">IF(K861=0,0,M861/K861)</f>
        <v>0.571285666650788</v>
      </c>
      <c r="O861" s="9" t="n">
        <f aca="false">(G861*H861)-K861</f>
        <v>44.985</v>
      </c>
      <c r="P861" s="8" t="s">
        <v>21</v>
      </c>
    </row>
    <row r="862" customFormat="false" ht="15" hidden="false" customHeight="false" outlineLevel="0" collapsed="false">
      <c r="A862" s="2" t="n">
        <v>46103</v>
      </c>
      <c r="B862" s="3" t="s">
        <v>58</v>
      </c>
      <c r="C862" s="3" t="s">
        <v>58</v>
      </c>
      <c r="D862" s="3" t="s">
        <v>24</v>
      </c>
      <c r="E862" s="3" t="s">
        <v>25</v>
      </c>
      <c r="F862" s="3" t="s">
        <v>26</v>
      </c>
      <c r="G862" s="3" t="n">
        <v>4</v>
      </c>
      <c r="H862" s="4" t="n">
        <v>54.99</v>
      </c>
      <c r="I862" s="4" t="n">
        <v>24</v>
      </c>
      <c r="J862" s="5" t="n">
        <v>0</v>
      </c>
      <c r="K862" s="4" t="n">
        <f aca="false">G862*H862*(1-J862)</f>
        <v>219.96</v>
      </c>
      <c r="L862" s="4" t="n">
        <f aca="false">G862*I862</f>
        <v>96</v>
      </c>
      <c r="M862" s="4" t="n">
        <f aca="false">K862-L862</f>
        <v>123.96</v>
      </c>
      <c r="N862" s="6" t="n">
        <f aca="false">IF(K862=0,0,M862/K862)</f>
        <v>0.563557010365521</v>
      </c>
      <c r="O862" s="4" t="n">
        <f aca="false">(G862*H862)-K862</f>
        <v>0</v>
      </c>
      <c r="P862" s="3" t="s">
        <v>21</v>
      </c>
    </row>
    <row r="863" customFormat="false" ht="15" hidden="false" customHeight="false" outlineLevel="0" collapsed="false">
      <c r="A863" s="7" t="n">
        <v>46032</v>
      </c>
      <c r="B863" s="8" t="s">
        <v>37</v>
      </c>
      <c r="C863" s="8" t="s">
        <v>17</v>
      </c>
      <c r="D863" s="8" t="s">
        <v>46</v>
      </c>
      <c r="E863" s="8" t="s">
        <v>47</v>
      </c>
      <c r="F863" s="8" t="s">
        <v>20</v>
      </c>
      <c r="G863" s="8" t="n">
        <v>23</v>
      </c>
      <c r="H863" s="9" t="n">
        <v>44.99</v>
      </c>
      <c r="I863" s="9" t="n">
        <v>18</v>
      </c>
      <c r="J863" s="10" t="n">
        <v>0.05</v>
      </c>
      <c r="K863" s="9" t="n">
        <f aca="false">G863*H863*(1-J863)</f>
        <v>983.0315</v>
      </c>
      <c r="L863" s="9" t="n">
        <f aca="false">G863*I863</f>
        <v>414</v>
      </c>
      <c r="M863" s="9" t="n">
        <f aca="false">K863-L863</f>
        <v>569.0315</v>
      </c>
      <c r="N863" s="11" t="n">
        <f aca="false">IF(K863=0,0,M863/K863)</f>
        <v>0.578853780372246</v>
      </c>
      <c r="O863" s="9" t="n">
        <f aca="false">(G863*H863)-K863</f>
        <v>51.7385</v>
      </c>
      <c r="P863" s="8" t="s">
        <v>21</v>
      </c>
    </row>
    <row r="864" customFormat="false" ht="15" hidden="false" customHeight="false" outlineLevel="0" collapsed="false">
      <c r="A864" s="2" t="n">
        <v>46113</v>
      </c>
      <c r="B864" s="3" t="s">
        <v>31</v>
      </c>
      <c r="C864" s="3" t="s">
        <v>23</v>
      </c>
      <c r="D864" s="3" t="s">
        <v>82</v>
      </c>
      <c r="E864" s="3" t="s">
        <v>83</v>
      </c>
      <c r="F864" s="3" t="s">
        <v>26</v>
      </c>
      <c r="G864" s="3" t="n">
        <v>24</v>
      </c>
      <c r="H864" s="4" t="n">
        <v>44.99</v>
      </c>
      <c r="I864" s="4" t="n">
        <v>18</v>
      </c>
      <c r="J864" s="5" t="n">
        <v>0</v>
      </c>
      <c r="K864" s="4" t="n">
        <f aca="false">G864*H864*(1-J864)</f>
        <v>1079.76</v>
      </c>
      <c r="L864" s="4" t="n">
        <f aca="false">G864*I864</f>
        <v>432</v>
      </c>
      <c r="M864" s="4" t="n">
        <f aca="false">K864-L864</f>
        <v>647.76</v>
      </c>
      <c r="N864" s="6" t="n">
        <f aca="false">IF(K864=0,0,M864/K864)</f>
        <v>0.599911091353634</v>
      </c>
      <c r="O864" s="4" t="n">
        <f aca="false">(G864*H864)-K864</f>
        <v>0</v>
      </c>
      <c r="P864" s="3" t="s">
        <v>21</v>
      </c>
    </row>
    <row r="865" customFormat="false" ht="15" hidden="false" customHeight="false" outlineLevel="0" collapsed="false">
      <c r="A865" s="7" t="n">
        <v>46046</v>
      </c>
      <c r="B865" s="8" t="s">
        <v>37</v>
      </c>
      <c r="C865" s="8" t="s">
        <v>17</v>
      </c>
      <c r="D865" s="8" t="s">
        <v>48</v>
      </c>
      <c r="E865" s="8" t="s">
        <v>49</v>
      </c>
      <c r="F865" s="8" t="s">
        <v>50</v>
      </c>
      <c r="G865" s="8" t="n">
        <v>25</v>
      </c>
      <c r="H865" s="9" t="n">
        <v>54.99</v>
      </c>
      <c r="I865" s="9" t="n">
        <v>20</v>
      </c>
      <c r="J865" s="10" t="n">
        <v>0.15</v>
      </c>
      <c r="K865" s="9" t="n">
        <f aca="false">G865*H865*(1-J865)</f>
        <v>1168.5375</v>
      </c>
      <c r="L865" s="9" t="n">
        <f aca="false">G865*I865</f>
        <v>500</v>
      </c>
      <c r="M865" s="9" t="n">
        <f aca="false">K865-L865</f>
        <v>668.5375</v>
      </c>
      <c r="N865" s="11" t="n">
        <f aca="false">IF(K865=0,0,M865/K865)</f>
        <v>0.572114716044628</v>
      </c>
      <c r="O865" s="9" t="n">
        <f aca="false">(G865*H865)-K865</f>
        <v>206.2125</v>
      </c>
      <c r="P865" s="8" t="s">
        <v>21</v>
      </c>
    </row>
    <row r="866" customFormat="false" ht="15" hidden="false" customHeight="false" outlineLevel="0" collapsed="false">
      <c r="A866" s="2" t="n">
        <v>46089</v>
      </c>
      <c r="B866" s="3" t="s">
        <v>31</v>
      </c>
      <c r="C866" s="3" t="s">
        <v>23</v>
      </c>
      <c r="D866" s="3" t="s">
        <v>90</v>
      </c>
      <c r="E866" s="3" t="s">
        <v>91</v>
      </c>
      <c r="F866" s="3" t="s">
        <v>26</v>
      </c>
      <c r="G866" s="3" t="n">
        <v>14</v>
      </c>
      <c r="H866" s="4" t="n">
        <v>29.99</v>
      </c>
      <c r="I866" s="4" t="n">
        <v>11</v>
      </c>
      <c r="J866" s="5" t="n">
        <v>0.3</v>
      </c>
      <c r="K866" s="4" t="n">
        <f aca="false">G866*H866*(1-J866)</f>
        <v>293.902</v>
      </c>
      <c r="L866" s="4" t="n">
        <f aca="false">G866*I866</f>
        <v>154</v>
      </c>
      <c r="M866" s="4" t="n">
        <f aca="false">K866-L866</f>
        <v>139.902</v>
      </c>
      <c r="N866" s="6" t="n">
        <f aca="false">IF(K866=0,0,M866/K866)</f>
        <v>0.476015814795408</v>
      </c>
      <c r="O866" s="4" t="n">
        <f aca="false">(G866*H866)-K866</f>
        <v>125.958</v>
      </c>
      <c r="P866" s="3" t="s">
        <v>21</v>
      </c>
    </row>
    <row r="867" customFormat="false" ht="15" hidden="false" customHeight="false" outlineLevel="0" collapsed="false">
      <c r="A867" s="7" t="n">
        <v>46081</v>
      </c>
      <c r="B867" s="8" t="s">
        <v>41</v>
      </c>
      <c r="C867" s="8" t="s">
        <v>28</v>
      </c>
      <c r="D867" s="8" t="s">
        <v>53</v>
      </c>
      <c r="E867" s="8" t="s">
        <v>54</v>
      </c>
      <c r="F867" s="8" t="s">
        <v>50</v>
      </c>
      <c r="G867" s="8" t="n">
        <v>26</v>
      </c>
      <c r="H867" s="9" t="n">
        <v>22.99</v>
      </c>
      <c r="I867" s="9" t="n">
        <v>8</v>
      </c>
      <c r="J867" s="10" t="n">
        <v>0.1</v>
      </c>
      <c r="K867" s="9" t="n">
        <f aca="false">G867*H867*(1-J867)</f>
        <v>537.966</v>
      </c>
      <c r="L867" s="9" t="n">
        <f aca="false">G867*I867</f>
        <v>208</v>
      </c>
      <c r="M867" s="9" t="n">
        <f aca="false">K867-L867</f>
        <v>329.966</v>
      </c>
      <c r="N867" s="11" t="n">
        <f aca="false">IF(K867=0,0,M867/K867)</f>
        <v>0.613358465033106</v>
      </c>
      <c r="O867" s="9" t="n">
        <f aca="false">(G867*H867)-K867</f>
        <v>59.774</v>
      </c>
      <c r="P867" s="8" t="s">
        <v>21</v>
      </c>
    </row>
    <row r="868" customFormat="false" ht="15" hidden="false" customHeight="false" outlineLevel="0" collapsed="false">
      <c r="A868" s="2" t="n">
        <v>46049</v>
      </c>
      <c r="B868" s="3" t="s">
        <v>27</v>
      </c>
      <c r="C868" s="3" t="s">
        <v>28</v>
      </c>
      <c r="D868" s="3" t="s">
        <v>72</v>
      </c>
      <c r="E868" s="3" t="s">
        <v>73</v>
      </c>
      <c r="F868" s="3" t="s">
        <v>57</v>
      </c>
      <c r="G868" s="3" t="n">
        <v>5</v>
      </c>
      <c r="H868" s="4" t="n">
        <v>19.99</v>
      </c>
      <c r="I868" s="4" t="n">
        <v>7</v>
      </c>
      <c r="J868" s="5" t="n">
        <v>0.05</v>
      </c>
      <c r="K868" s="4" t="n">
        <f aca="false">G868*H868*(1-J868)</f>
        <v>94.9525</v>
      </c>
      <c r="L868" s="4" t="n">
        <f aca="false">G868*I868</f>
        <v>35</v>
      </c>
      <c r="M868" s="4" t="n">
        <f aca="false">K868-L868</f>
        <v>59.9525</v>
      </c>
      <c r="N868" s="6" t="n">
        <f aca="false">IF(K868=0,0,M868/K868)</f>
        <v>0.631394644690766</v>
      </c>
      <c r="O868" s="4" t="n">
        <f aca="false">(G868*H868)-K868</f>
        <v>4.9975</v>
      </c>
      <c r="P868" s="3" t="s">
        <v>21</v>
      </c>
    </row>
    <row r="869" customFormat="false" ht="15" hidden="false" customHeight="false" outlineLevel="0" collapsed="false">
      <c r="A869" s="7" t="n">
        <v>46053</v>
      </c>
      <c r="B869" s="8" t="s">
        <v>64</v>
      </c>
      <c r="C869" s="8" t="s">
        <v>65</v>
      </c>
      <c r="D869" s="8" t="s">
        <v>84</v>
      </c>
      <c r="E869" s="8" t="s">
        <v>85</v>
      </c>
      <c r="F869" s="8" t="s">
        <v>20</v>
      </c>
      <c r="G869" s="8" t="n">
        <v>12</v>
      </c>
      <c r="H869" s="9" t="n">
        <v>34.99</v>
      </c>
      <c r="I869" s="9" t="n">
        <v>13</v>
      </c>
      <c r="J869" s="10" t="n">
        <v>0</v>
      </c>
      <c r="K869" s="9" t="n">
        <f aca="false">G869*H869*(1-J869)</f>
        <v>419.88</v>
      </c>
      <c r="L869" s="9" t="n">
        <f aca="false">G869*I869</f>
        <v>156</v>
      </c>
      <c r="M869" s="9" t="n">
        <f aca="false">K869-L869</f>
        <v>263.88</v>
      </c>
      <c r="N869" s="11" t="n">
        <f aca="false">IF(K869=0,0,M869/K869)</f>
        <v>0.628465275793084</v>
      </c>
      <c r="O869" s="9" t="n">
        <f aca="false">(G869*H869)-K869</f>
        <v>0</v>
      </c>
      <c r="P869" s="8" t="s">
        <v>21</v>
      </c>
    </row>
    <row r="870" customFormat="false" ht="15" hidden="false" customHeight="false" outlineLevel="0" collapsed="false">
      <c r="A870" s="2" t="n">
        <v>46113</v>
      </c>
      <c r="B870" s="3" t="s">
        <v>64</v>
      </c>
      <c r="C870" s="3" t="s">
        <v>65</v>
      </c>
      <c r="D870" s="3" t="s">
        <v>59</v>
      </c>
      <c r="E870" s="3" t="s">
        <v>60</v>
      </c>
      <c r="F870" s="3" t="s">
        <v>50</v>
      </c>
      <c r="G870" s="3" t="n">
        <v>22</v>
      </c>
      <c r="H870" s="4" t="n">
        <v>24.99</v>
      </c>
      <c r="I870" s="4" t="n">
        <v>8.5</v>
      </c>
      <c r="J870" s="5" t="n">
        <v>0.3</v>
      </c>
      <c r="K870" s="4" t="n">
        <f aca="false">G870*H870*(1-J870)</f>
        <v>384.846</v>
      </c>
      <c r="L870" s="4" t="n">
        <f aca="false">G870*I870</f>
        <v>187</v>
      </c>
      <c r="M870" s="4" t="n">
        <f aca="false">K870-L870</f>
        <v>197.846</v>
      </c>
      <c r="N870" s="6" t="n">
        <f aca="false">IF(K870=0,0,M870/K870)</f>
        <v>0.514091350826045</v>
      </c>
      <c r="O870" s="4" t="n">
        <f aca="false">(G870*H870)-K870</f>
        <v>164.934</v>
      </c>
      <c r="P870" s="3" t="s">
        <v>21</v>
      </c>
    </row>
    <row r="871" customFormat="false" ht="15" hidden="false" customHeight="false" outlineLevel="0" collapsed="false">
      <c r="A871" s="7" t="n">
        <v>46069</v>
      </c>
      <c r="B871" s="8" t="s">
        <v>22</v>
      </c>
      <c r="C871" s="8" t="s">
        <v>23</v>
      </c>
      <c r="D871" s="8" t="s">
        <v>55</v>
      </c>
      <c r="E871" s="8" t="s">
        <v>56</v>
      </c>
      <c r="F871" s="8" t="s">
        <v>57</v>
      </c>
      <c r="G871" s="8" t="n">
        <v>9</v>
      </c>
      <c r="H871" s="9" t="n">
        <v>29.99</v>
      </c>
      <c r="I871" s="9" t="n">
        <v>11</v>
      </c>
      <c r="J871" s="10" t="n">
        <v>0.1</v>
      </c>
      <c r="K871" s="9" t="n">
        <f aca="false">G871*H871*(1-J871)</f>
        <v>242.919</v>
      </c>
      <c r="L871" s="9" t="n">
        <f aca="false">G871*I871</f>
        <v>99</v>
      </c>
      <c r="M871" s="9" t="n">
        <f aca="false">K871-L871</f>
        <v>143.919</v>
      </c>
      <c r="N871" s="11" t="n">
        <f aca="false">IF(K871=0,0,M871/K871)</f>
        <v>0.592456744840873</v>
      </c>
      <c r="O871" s="9" t="n">
        <f aca="false">(G871*H871)-K871</f>
        <v>26.991</v>
      </c>
      <c r="P871" s="8" t="s">
        <v>21</v>
      </c>
    </row>
    <row r="872" customFormat="false" ht="15" hidden="false" customHeight="false" outlineLevel="0" collapsed="false">
      <c r="A872" s="2" t="n">
        <v>46108</v>
      </c>
      <c r="B872" s="3" t="s">
        <v>37</v>
      </c>
      <c r="C872" s="3" t="s">
        <v>17</v>
      </c>
      <c r="D872" s="3" t="s">
        <v>68</v>
      </c>
      <c r="E872" s="3" t="s">
        <v>69</v>
      </c>
      <c r="F872" s="3" t="s">
        <v>40</v>
      </c>
      <c r="G872" s="3" t="n">
        <v>22</v>
      </c>
      <c r="H872" s="4" t="n">
        <v>24.99</v>
      </c>
      <c r="I872" s="4" t="n">
        <v>9</v>
      </c>
      <c r="J872" s="5" t="n">
        <v>0.1</v>
      </c>
      <c r="K872" s="4" t="n">
        <f aca="false">G872*H872*(1-J872)</f>
        <v>494.802</v>
      </c>
      <c r="L872" s="4" t="n">
        <f aca="false">G872*I872</f>
        <v>198</v>
      </c>
      <c r="M872" s="4" t="n">
        <f aca="false">K872-L872</f>
        <v>296.802</v>
      </c>
      <c r="N872" s="6" t="n">
        <f aca="false">IF(K872=0,0,M872/K872)</f>
        <v>0.59983993597439</v>
      </c>
      <c r="O872" s="4" t="n">
        <f aca="false">(G872*H872)-K872</f>
        <v>54.978</v>
      </c>
      <c r="P872" s="3" t="s">
        <v>21</v>
      </c>
    </row>
    <row r="873" customFormat="false" ht="15" hidden="false" customHeight="false" outlineLevel="0" collapsed="false">
      <c r="A873" s="7" t="n">
        <v>46120</v>
      </c>
      <c r="B873" s="8" t="s">
        <v>27</v>
      </c>
      <c r="C873" s="8" t="s">
        <v>28</v>
      </c>
      <c r="D873" s="8" t="s">
        <v>32</v>
      </c>
      <c r="E873" s="8" t="s">
        <v>33</v>
      </c>
      <c r="F873" s="8" t="s">
        <v>34</v>
      </c>
      <c r="G873" s="8" t="n">
        <v>7</v>
      </c>
      <c r="H873" s="9" t="n">
        <v>18.99</v>
      </c>
      <c r="I873" s="9" t="n">
        <v>6</v>
      </c>
      <c r="J873" s="10" t="n">
        <v>0</v>
      </c>
      <c r="K873" s="9" t="n">
        <f aca="false">G873*H873*(1-J873)</f>
        <v>132.93</v>
      </c>
      <c r="L873" s="9" t="n">
        <f aca="false">G873*I873</f>
        <v>42</v>
      </c>
      <c r="M873" s="9" t="n">
        <f aca="false">K873-L873</f>
        <v>90.93</v>
      </c>
      <c r="N873" s="11" t="n">
        <f aca="false">IF(K873=0,0,M873/K873)</f>
        <v>0.684044233807267</v>
      </c>
      <c r="O873" s="9" t="n">
        <f aca="false">(G873*H873)-K873</f>
        <v>0</v>
      </c>
      <c r="P873" s="8" t="s">
        <v>21</v>
      </c>
    </row>
    <row r="874" customFormat="false" ht="15" hidden="false" customHeight="false" outlineLevel="0" collapsed="false">
      <c r="A874" s="2" t="n">
        <v>46096</v>
      </c>
      <c r="B874" s="3" t="s">
        <v>31</v>
      </c>
      <c r="C874" s="3" t="s">
        <v>23</v>
      </c>
      <c r="D874" s="3" t="s">
        <v>42</v>
      </c>
      <c r="E874" s="3" t="s">
        <v>43</v>
      </c>
      <c r="F874" s="3" t="s">
        <v>34</v>
      </c>
      <c r="G874" s="3" t="n">
        <v>25</v>
      </c>
      <c r="H874" s="4" t="n">
        <v>11.99</v>
      </c>
      <c r="I874" s="4" t="n">
        <v>3.5</v>
      </c>
      <c r="J874" s="5" t="n">
        <v>0</v>
      </c>
      <c r="K874" s="4" t="n">
        <f aca="false">G874*H874*(1-J874)</f>
        <v>299.75</v>
      </c>
      <c r="L874" s="4" t="n">
        <f aca="false">G874*I874</f>
        <v>87.5</v>
      </c>
      <c r="M874" s="4" t="n">
        <f aca="false">K874-L874</f>
        <v>212.25</v>
      </c>
      <c r="N874" s="6" t="n">
        <f aca="false">IF(K874=0,0,M874/K874)</f>
        <v>0.708090075062552</v>
      </c>
      <c r="O874" s="4" t="n">
        <f aca="false">(G874*H874)-K874</f>
        <v>0</v>
      </c>
      <c r="P874" s="3" t="s">
        <v>21</v>
      </c>
    </row>
    <row r="875" customFormat="false" ht="15" hidden="false" customHeight="false" outlineLevel="0" collapsed="false">
      <c r="A875" s="7" t="n">
        <v>46074</v>
      </c>
      <c r="B875" s="8" t="s">
        <v>41</v>
      </c>
      <c r="C875" s="8" t="s">
        <v>28</v>
      </c>
      <c r="D875" s="8" t="s">
        <v>66</v>
      </c>
      <c r="E875" s="8" t="s">
        <v>67</v>
      </c>
      <c r="F875" s="8" t="s">
        <v>57</v>
      </c>
      <c r="G875" s="8" t="n">
        <v>22</v>
      </c>
      <c r="H875" s="9" t="n">
        <v>14.99</v>
      </c>
      <c r="I875" s="9" t="n">
        <v>5.5</v>
      </c>
      <c r="J875" s="10" t="n">
        <v>0.25</v>
      </c>
      <c r="K875" s="9" t="n">
        <f aca="false">G875*H875*(1-J875)</f>
        <v>247.335</v>
      </c>
      <c r="L875" s="9" t="n">
        <f aca="false">G875*I875</f>
        <v>121</v>
      </c>
      <c r="M875" s="9" t="n">
        <f aca="false">K875-L875</f>
        <v>126.335</v>
      </c>
      <c r="N875" s="11" t="n">
        <f aca="false">IF(K875=0,0,M875/K875)</f>
        <v>0.510784967756282</v>
      </c>
      <c r="O875" s="9" t="n">
        <f aca="false">(G875*H875)-K875</f>
        <v>82.445</v>
      </c>
      <c r="P875" s="8" t="s">
        <v>21</v>
      </c>
    </row>
    <row r="876" customFormat="false" ht="15" hidden="false" customHeight="false" outlineLevel="0" collapsed="false">
      <c r="A876" s="2" t="n">
        <v>46061</v>
      </c>
      <c r="B876" s="3" t="s">
        <v>31</v>
      </c>
      <c r="C876" s="3" t="s">
        <v>23</v>
      </c>
      <c r="D876" s="3" t="s">
        <v>59</v>
      </c>
      <c r="E876" s="3" t="s">
        <v>60</v>
      </c>
      <c r="F876" s="3" t="s">
        <v>50</v>
      </c>
      <c r="G876" s="3" t="n">
        <v>11</v>
      </c>
      <c r="H876" s="4" t="n">
        <v>24.99</v>
      </c>
      <c r="I876" s="4" t="n">
        <v>8.5</v>
      </c>
      <c r="J876" s="5" t="n">
        <v>0.25</v>
      </c>
      <c r="K876" s="4" t="n">
        <f aca="false">G876*H876*(1-J876)</f>
        <v>206.1675</v>
      </c>
      <c r="L876" s="4" t="n">
        <f aca="false">G876*I876</f>
        <v>93.5</v>
      </c>
      <c r="M876" s="4" t="n">
        <f aca="false">K876-L876</f>
        <v>112.6675</v>
      </c>
      <c r="N876" s="6" t="n">
        <f aca="false">IF(K876=0,0,M876/K876)</f>
        <v>0.546485260770975</v>
      </c>
      <c r="O876" s="4" t="n">
        <f aca="false">(G876*H876)-K876</f>
        <v>68.7225</v>
      </c>
      <c r="P876" s="3" t="s">
        <v>21</v>
      </c>
    </row>
    <row r="877" customFormat="false" ht="15" hidden="false" customHeight="false" outlineLevel="0" collapsed="false">
      <c r="A877" s="7" t="n">
        <v>46126</v>
      </c>
      <c r="B877" s="8" t="s">
        <v>58</v>
      </c>
      <c r="C877" s="8" t="s">
        <v>58</v>
      </c>
      <c r="D877" s="8" t="s">
        <v>38</v>
      </c>
      <c r="E877" s="8" t="s">
        <v>39</v>
      </c>
      <c r="F877" s="8" t="s">
        <v>40</v>
      </c>
      <c r="G877" s="8" t="n">
        <v>2</v>
      </c>
      <c r="H877" s="9" t="n">
        <v>12.99</v>
      </c>
      <c r="I877" s="9" t="n">
        <v>4</v>
      </c>
      <c r="J877" s="10" t="n">
        <v>0.2</v>
      </c>
      <c r="K877" s="9" t="n">
        <f aca="false">G877*H877*(1-J877)</f>
        <v>20.784</v>
      </c>
      <c r="L877" s="9" t="n">
        <f aca="false">G877*I877</f>
        <v>8</v>
      </c>
      <c r="M877" s="9" t="n">
        <f aca="false">K877-L877</f>
        <v>12.784</v>
      </c>
      <c r="N877" s="11" t="n">
        <f aca="false">IF(K877=0,0,M877/K877)</f>
        <v>0.615088529638183</v>
      </c>
      <c r="O877" s="9" t="n">
        <f aca="false">(G877*H877)-K877</f>
        <v>5.196</v>
      </c>
      <c r="P877" s="8" t="s">
        <v>21</v>
      </c>
    </row>
    <row r="878" customFormat="false" ht="15" hidden="false" customHeight="false" outlineLevel="0" collapsed="false">
      <c r="A878" s="2" t="n">
        <v>46099</v>
      </c>
      <c r="B878" s="3" t="s">
        <v>64</v>
      </c>
      <c r="C878" s="3" t="s">
        <v>65</v>
      </c>
      <c r="D878" s="3" t="s">
        <v>72</v>
      </c>
      <c r="E878" s="3" t="s">
        <v>73</v>
      </c>
      <c r="F878" s="3" t="s">
        <v>57</v>
      </c>
      <c r="G878" s="3" t="n">
        <v>18</v>
      </c>
      <c r="H878" s="4" t="n">
        <v>19.99</v>
      </c>
      <c r="I878" s="4" t="n">
        <v>7</v>
      </c>
      <c r="J878" s="5" t="n">
        <v>0</v>
      </c>
      <c r="K878" s="4" t="n">
        <f aca="false">G878*H878*(1-J878)</f>
        <v>359.82</v>
      </c>
      <c r="L878" s="4" t="n">
        <f aca="false">G878*I878</f>
        <v>126</v>
      </c>
      <c r="M878" s="4" t="n">
        <f aca="false">K878-L878</f>
        <v>233.82</v>
      </c>
      <c r="N878" s="6" t="n">
        <f aca="false">IF(K878=0,0,M878/K878)</f>
        <v>0.649824912456228</v>
      </c>
      <c r="O878" s="4" t="n">
        <f aca="false">(G878*H878)-K878</f>
        <v>0</v>
      </c>
      <c r="P878" s="3" t="s">
        <v>21</v>
      </c>
    </row>
    <row r="879" customFormat="false" ht="15" hidden="false" customHeight="false" outlineLevel="0" collapsed="false">
      <c r="A879" s="7" t="n">
        <v>46120</v>
      </c>
      <c r="B879" s="8" t="s">
        <v>27</v>
      </c>
      <c r="C879" s="8" t="s">
        <v>28</v>
      </c>
      <c r="D879" s="8" t="s">
        <v>46</v>
      </c>
      <c r="E879" s="8" t="s">
        <v>47</v>
      </c>
      <c r="F879" s="8" t="s">
        <v>20</v>
      </c>
      <c r="G879" s="8" t="n">
        <v>5</v>
      </c>
      <c r="H879" s="9" t="n">
        <v>44.99</v>
      </c>
      <c r="I879" s="9" t="n">
        <v>18</v>
      </c>
      <c r="J879" s="10" t="n">
        <v>0</v>
      </c>
      <c r="K879" s="9" t="n">
        <f aca="false">G879*H879*(1-J879)</f>
        <v>224.95</v>
      </c>
      <c r="L879" s="9" t="n">
        <f aca="false">G879*I879</f>
        <v>90</v>
      </c>
      <c r="M879" s="9" t="n">
        <f aca="false">K879-L879</f>
        <v>134.95</v>
      </c>
      <c r="N879" s="11" t="n">
        <f aca="false">IF(K879=0,0,M879/K879)</f>
        <v>0.599911091353634</v>
      </c>
      <c r="O879" s="9" t="n">
        <f aca="false">(G879*H879)-K879</f>
        <v>0</v>
      </c>
      <c r="P879" s="8" t="s">
        <v>21</v>
      </c>
    </row>
    <row r="880" customFormat="false" ht="15" hidden="false" customHeight="false" outlineLevel="0" collapsed="false">
      <c r="A880" s="2" t="n">
        <v>46026</v>
      </c>
      <c r="B880" s="3" t="s">
        <v>27</v>
      </c>
      <c r="C880" s="3" t="s">
        <v>28</v>
      </c>
      <c r="D880" s="3" t="s">
        <v>76</v>
      </c>
      <c r="E880" s="3" t="s">
        <v>77</v>
      </c>
      <c r="F880" s="3" t="s">
        <v>34</v>
      </c>
      <c r="G880" s="3" t="n">
        <v>11</v>
      </c>
      <c r="H880" s="4" t="n">
        <v>44.99</v>
      </c>
      <c r="I880" s="4" t="n">
        <v>14</v>
      </c>
      <c r="J880" s="5" t="n">
        <v>0.45</v>
      </c>
      <c r="K880" s="4" t="n">
        <f aca="false">G880*H880*(1-J880)</f>
        <v>272.1895</v>
      </c>
      <c r="L880" s="4" t="n">
        <f aca="false">G880*I880</f>
        <v>154</v>
      </c>
      <c r="M880" s="4" t="n">
        <f aca="false">K880-L880</f>
        <v>118.1895</v>
      </c>
      <c r="N880" s="6" t="n">
        <f aca="false">IF(K880=0,0,M880/K880)</f>
        <v>0.434217704944533</v>
      </c>
      <c r="O880" s="4" t="n">
        <f aca="false">(G880*H880)-K880</f>
        <v>222.7005</v>
      </c>
      <c r="P880" s="14" t="s">
        <v>97</v>
      </c>
    </row>
    <row r="881" customFormat="false" ht="15" hidden="false" customHeight="false" outlineLevel="0" collapsed="false">
      <c r="A881" s="7" t="n">
        <v>46127</v>
      </c>
      <c r="B881" s="8" t="s">
        <v>27</v>
      </c>
      <c r="C881" s="8" t="s">
        <v>28</v>
      </c>
      <c r="D881" s="8" t="s">
        <v>90</v>
      </c>
      <c r="E881" s="8" t="s">
        <v>91</v>
      </c>
      <c r="F881" s="8" t="s">
        <v>26</v>
      </c>
      <c r="G881" s="8" t="n">
        <v>12</v>
      </c>
      <c r="H881" s="9" t="n">
        <v>24.99</v>
      </c>
      <c r="I881" s="9" t="n">
        <v>11</v>
      </c>
      <c r="J881" s="10" t="n">
        <v>0.6</v>
      </c>
      <c r="K881" s="9" t="n">
        <f aca="false">G881*H881*(1-J881)</f>
        <v>119.952</v>
      </c>
      <c r="L881" s="9" t="n">
        <f aca="false">G881*I881</f>
        <v>132</v>
      </c>
      <c r="M881" s="9" t="n">
        <f aca="false">K881-L881</f>
        <v>-12.048</v>
      </c>
      <c r="N881" s="11" t="n">
        <f aca="false">IF(K881=0,0,M881/K881)</f>
        <v>-0.100440176070428</v>
      </c>
      <c r="O881" s="9" t="n">
        <f aca="false">(G881*H881)-K881</f>
        <v>179.928</v>
      </c>
      <c r="P881" s="14" t="s">
        <v>97</v>
      </c>
    </row>
    <row r="882" customFormat="false" ht="15" hidden="false" customHeight="false" outlineLevel="0" collapsed="false">
      <c r="A882" s="2" t="n">
        <v>46128</v>
      </c>
      <c r="B882" s="3" t="s">
        <v>58</v>
      </c>
      <c r="C882" s="3" t="s">
        <v>58</v>
      </c>
      <c r="D882" s="3" t="s">
        <v>74</v>
      </c>
      <c r="E882" s="3" t="s">
        <v>75</v>
      </c>
      <c r="F882" s="3" t="s">
        <v>40</v>
      </c>
      <c r="G882" s="3" t="n">
        <v>10</v>
      </c>
      <c r="H882" s="4" t="n">
        <v>29.99</v>
      </c>
      <c r="I882" s="4" t="n">
        <v>13</v>
      </c>
      <c r="J882" s="5" t="n">
        <v>0.1</v>
      </c>
      <c r="K882" s="4" t="n">
        <f aca="false">G882*H882*(1-J882)</f>
        <v>269.91</v>
      </c>
      <c r="L882" s="4" t="n">
        <f aca="false">G882*I882</f>
        <v>130</v>
      </c>
      <c r="M882" s="4" t="n">
        <f aca="false">K882-L882</f>
        <v>139.91</v>
      </c>
      <c r="N882" s="6" t="n">
        <f aca="false">IF(K882=0,0,M882/K882)</f>
        <v>0.518357971175577</v>
      </c>
      <c r="O882" s="4" t="n">
        <f aca="false">(G882*H882)-K882</f>
        <v>29.99</v>
      </c>
      <c r="P882" s="3" t="s">
        <v>21</v>
      </c>
    </row>
    <row r="883" customFormat="false" ht="15" hidden="false" customHeight="false" outlineLevel="0" collapsed="false">
      <c r="A883" s="7" t="n">
        <v>46076</v>
      </c>
      <c r="B883" s="8" t="s">
        <v>37</v>
      </c>
      <c r="C883" s="8" t="s">
        <v>17</v>
      </c>
      <c r="D883" s="8" t="s">
        <v>68</v>
      </c>
      <c r="E883" s="8" t="s">
        <v>69</v>
      </c>
      <c r="F883" s="8" t="s">
        <v>40</v>
      </c>
      <c r="G883" s="8" t="n">
        <v>29</v>
      </c>
      <c r="H883" s="9" t="n">
        <v>24.99</v>
      </c>
      <c r="I883" s="9" t="n">
        <v>9</v>
      </c>
      <c r="J883" s="10" t="n">
        <v>0</v>
      </c>
      <c r="K883" s="9" t="n">
        <f aca="false">G883*H883*(1-J883)</f>
        <v>724.71</v>
      </c>
      <c r="L883" s="9" t="n">
        <f aca="false">G883*I883</f>
        <v>261</v>
      </c>
      <c r="M883" s="9" t="n">
        <f aca="false">K883-L883</f>
        <v>463.71</v>
      </c>
      <c r="N883" s="11" t="n">
        <f aca="false">IF(K883=0,0,M883/K883)</f>
        <v>0.639855942376951</v>
      </c>
      <c r="O883" s="9" t="n">
        <f aca="false">(G883*H883)-K883</f>
        <v>0</v>
      </c>
      <c r="P883" s="8" t="s">
        <v>21</v>
      </c>
    </row>
    <row r="884" customFormat="false" ht="15" hidden="false" customHeight="false" outlineLevel="0" collapsed="false">
      <c r="A884" s="2" t="n">
        <v>46097</v>
      </c>
      <c r="B884" s="3" t="s">
        <v>31</v>
      </c>
      <c r="C884" s="3" t="s">
        <v>23</v>
      </c>
      <c r="D884" s="3" t="s">
        <v>70</v>
      </c>
      <c r="E884" s="3" t="s">
        <v>71</v>
      </c>
      <c r="F884" s="3" t="s">
        <v>20</v>
      </c>
      <c r="G884" s="3" t="n">
        <v>11</v>
      </c>
      <c r="H884" s="4" t="n">
        <v>49.99</v>
      </c>
      <c r="I884" s="4" t="n">
        <v>19</v>
      </c>
      <c r="J884" s="5" t="n">
        <v>0.15</v>
      </c>
      <c r="K884" s="4" t="n">
        <f aca="false">G884*H884*(1-J884)</f>
        <v>467.4065</v>
      </c>
      <c r="L884" s="4" t="n">
        <f aca="false">G884*I884</f>
        <v>209</v>
      </c>
      <c r="M884" s="4" t="n">
        <f aca="false">K884-L884</f>
        <v>258.4065</v>
      </c>
      <c r="N884" s="6" t="n">
        <f aca="false">IF(K884=0,0,M884/K884)</f>
        <v>0.552851746819952</v>
      </c>
      <c r="O884" s="4" t="n">
        <f aca="false">(G884*H884)-K884</f>
        <v>82.4835</v>
      </c>
      <c r="P884" s="3" t="s">
        <v>21</v>
      </c>
    </row>
    <row r="885" customFormat="false" ht="15" hidden="false" customHeight="false" outlineLevel="0" collapsed="false">
      <c r="A885" s="7" t="n">
        <v>46101</v>
      </c>
      <c r="B885" s="8" t="s">
        <v>37</v>
      </c>
      <c r="C885" s="8" t="s">
        <v>17</v>
      </c>
      <c r="D885" s="8" t="s">
        <v>93</v>
      </c>
      <c r="E885" s="8" t="s">
        <v>94</v>
      </c>
      <c r="F885" s="8" t="s">
        <v>34</v>
      </c>
      <c r="G885" s="8" t="n">
        <v>21</v>
      </c>
      <c r="H885" s="9" t="n">
        <v>29.99</v>
      </c>
      <c r="I885" s="9" t="n">
        <v>9</v>
      </c>
      <c r="J885" s="10" t="n">
        <v>0.2</v>
      </c>
      <c r="K885" s="9" t="n">
        <f aca="false">G885*H885*(1-J885)</f>
        <v>503.832</v>
      </c>
      <c r="L885" s="9" t="n">
        <f aca="false">G885*I885</f>
        <v>189</v>
      </c>
      <c r="M885" s="9" t="n">
        <f aca="false">K885-L885</f>
        <v>314.832</v>
      </c>
      <c r="N885" s="11" t="n">
        <f aca="false">IF(K885=0,0,M885/K885)</f>
        <v>0.62487495831944</v>
      </c>
      <c r="O885" s="9" t="n">
        <f aca="false">(G885*H885)-K885</f>
        <v>125.958</v>
      </c>
      <c r="P885" s="8" t="s">
        <v>21</v>
      </c>
    </row>
    <row r="886" customFormat="false" ht="15" hidden="false" customHeight="false" outlineLevel="0" collapsed="false">
      <c r="A886" s="2" t="n">
        <v>46099</v>
      </c>
      <c r="B886" s="3" t="s">
        <v>22</v>
      </c>
      <c r="C886" s="3" t="s">
        <v>23</v>
      </c>
      <c r="D886" s="3" t="s">
        <v>61</v>
      </c>
      <c r="E886" s="3" t="s">
        <v>62</v>
      </c>
      <c r="F886" s="3" t="s">
        <v>34</v>
      </c>
      <c r="G886" s="3" t="n">
        <v>4</v>
      </c>
      <c r="H886" s="4" t="n">
        <v>12.99</v>
      </c>
      <c r="I886" s="4" t="n">
        <v>4.5</v>
      </c>
      <c r="J886" s="5" t="n">
        <v>0</v>
      </c>
      <c r="K886" s="4" t="n">
        <f aca="false">G886*H886*(1-J886)</f>
        <v>51.96</v>
      </c>
      <c r="L886" s="4" t="n">
        <f aca="false">G886*I886</f>
        <v>18</v>
      </c>
      <c r="M886" s="4" t="n">
        <f aca="false">K886-L886</f>
        <v>33.96</v>
      </c>
      <c r="N886" s="6" t="n">
        <f aca="false">IF(K886=0,0,M886/K886)</f>
        <v>0.653579676674365</v>
      </c>
      <c r="O886" s="4" t="n">
        <f aca="false">(G886*H886)-K886</f>
        <v>0</v>
      </c>
      <c r="P886" s="3" t="s">
        <v>21</v>
      </c>
    </row>
    <row r="887" customFormat="false" ht="15" hidden="false" customHeight="false" outlineLevel="0" collapsed="false">
      <c r="A887" s="7" t="n">
        <v>46049</v>
      </c>
      <c r="B887" s="8" t="s">
        <v>27</v>
      </c>
      <c r="C887" s="8" t="s">
        <v>28</v>
      </c>
      <c r="D887" s="8" t="s">
        <v>32</v>
      </c>
      <c r="E887" s="8" t="s">
        <v>33</v>
      </c>
      <c r="F887" s="8" t="s">
        <v>34</v>
      </c>
      <c r="G887" s="8" t="n">
        <v>14</v>
      </c>
      <c r="H887" s="9" t="n">
        <v>18.99</v>
      </c>
      <c r="I887" s="9" t="n">
        <v>6</v>
      </c>
      <c r="J887" s="10" t="n">
        <v>0.2</v>
      </c>
      <c r="K887" s="9" t="n">
        <f aca="false">G887*H887*(1-J887)</f>
        <v>212.688</v>
      </c>
      <c r="L887" s="9" t="n">
        <f aca="false">G887*I887</f>
        <v>84</v>
      </c>
      <c r="M887" s="9" t="n">
        <f aca="false">K887-L887</f>
        <v>128.688</v>
      </c>
      <c r="N887" s="11" t="n">
        <f aca="false">IF(K887=0,0,M887/K887)</f>
        <v>0.605055292259084</v>
      </c>
      <c r="O887" s="9" t="n">
        <f aca="false">(G887*H887)-K887</f>
        <v>53.172</v>
      </c>
      <c r="P887" s="8" t="s">
        <v>21</v>
      </c>
    </row>
    <row r="888" customFormat="false" ht="15" hidden="false" customHeight="false" outlineLevel="0" collapsed="false">
      <c r="A888" s="2" t="n">
        <v>46076</v>
      </c>
      <c r="B888" s="3" t="s">
        <v>16</v>
      </c>
      <c r="C888" s="3" t="s">
        <v>17</v>
      </c>
      <c r="D888" s="3" t="s">
        <v>38</v>
      </c>
      <c r="E888" s="3" t="s">
        <v>39</v>
      </c>
      <c r="F888" s="3" t="s">
        <v>40</v>
      </c>
      <c r="G888" s="3" t="n">
        <v>30</v>
      </c>
      <c r="H888" s="4" t="n">
        <v>12.99</v>
      </c>
      <c r="I888" s="4" t="n">
        <v>4</v>
      </c>
      <c r="J888" s="5" t="n">
        <v>0</v>
      </c>
      <c r="K888" s="4" t="n">
        <f aca="false">G888*H888*(1-J888)</f>
        <v>389.7</v>
      </c>
      <c r="L888" s="4" t="n">
        <f aca="false">G888*I888</f>
        <v>120</v>
      </c>
      <c r="M888" s="4" t="n">
        <f aca="false">K888-L888</f>
        <v>269.7</v>
      </c>
      <c r="N888" s="6" t="n">
        <f aca="false">IF(K888=0,0,M888/K888)</f>
        <v>0.692070823710547</v>
      </c>
      <c r="O888" s="4" t="n">
        <f aca="false">(G888*H888)-K888</f>
        <v>0</v>
      </c>
      <c r="P888" s="3" t="s">
        <v>21</v>
      </c>
    </row>
    <row r="889" customFormat="false" ht="15" hidden="false" customHeight="false" outlineLevel="0" collapsed="false">
      <c r="A889" s="7" t="n">
        <v>46062</v>
      </c>
      <c r="B889" s="8" t="s">
        <v>64</v>
      </c>
      <c r="C889" s="8" t="s">
        <v>65</v>
      </c>
      <c r="D889" s="8" t="s">
        <v>32</v>
      </c>
      <c r="E889" s="8" t="s">
        <v>33</v>
      </c>
      <c r="F889" s="8" t="s">
        <v>34</v>
      </c>
      <c r="G889" s="8" t="n">
        <v>26</v>
      </c>
      <c r="H889" s="9" t="n">
        <v>18.99</v>
      </c>
      <c r="I889" s="9" t="n">
        <v>6</v>
      </c>
      <c r="J889" s="10" t="n">
        <v>0.1</v>
      </c>
      <c r="K889" s="9" t="n">
        <f aca="false">G889*H889*(1-J889)</f>
        <v>444.366</v>
      </c>
      <c r="L889" s="9" t="n">
        <f aca="false">G889*I889</f>
        <v>156</v>
      </c>
      <c r="M889" s="9" t="n">
        <f aca="false">K889-L889</f>
        <v>288.366</v>
      </c>
      <c r="N889" s="11" t="n">
        <f aca="false">IF(K889=0,0,M889/K889)</f>
        <v>0.64893803756363</v>
      </c>
      <c r="O889" s="9" t="n">
        <f aca="false">(G889*H889)-K889</f>
        <v>49.374</v>
      </c>
      <c r="P889" s="8" t="s">
        <v>21</v>
      </c>
    </row>
    <row r="890" customFormat="false" ht="15" hidden="false" customHeight="false" outlineLevel="0" collapsed="false">
      <c r="A890" s="2" t="n">
        <v>46095</v>
      </c>
      <c r="B890" s="3" t="s">
        <v>41</v>
      </c>
      <c r="C890" s="3" t="s">
        <v>28</v>
      </c>
      <c r="D890" s="3" t="s">
        <v>72</v>
      </c>
      <c r="E890" s="3" t="s">
        <v>73</v>
      </c>
      <c r="F890" s="3" t="s">
        <v>57</v>
      </c>
      <c r="G890" s="3" t="n">
        <v>9</v>
      </c>
      <c r="H890" s="4" t="n">
        <v>19.99</v>
      </c>
      <c r="I890" s="4" t="n">
        <v>7</v>
      </c>
      <c r="J890" s="5" t="n">
        <v>0.25</v>
      </c>
      <c r="K890" s="4" t="n">
        <f aca="false">G890*H890*(1-J890)</f>
        <v>134.9325</v>
      </c>
      <c r="L890" s="4" t="n">
        <f aca="false">G890*I890</f>
        <v>63</v>
      </c>
      <c r="M890" s="4" t="n">
        <f aca="false">K890-L890</f>
        <v>71.9325</v>
      </c>
      <c r="N890" s="6" t="n">
        <f aca="false">IF(K890=0,0,M890/K890)</f>
        <v>0.533099883274971</v>
      </c>
      <c r="O890" s="4" t="n">
        <f aca="false">(G890*H890)-K890</f>
        <v>44.9775</v>
      </c>
      <c r="P890" s="3" t="s">
        <v>21</v>
      </c>
    </row>
    <row r="891" customFormat="false" ht="15" hidden="false" customHeight="false" outlineLevel="0" collapsed="false">
      <c r="A891" s="7" t="n">
        <v>46129</v>
      </c>
      <c r="B891" s="8" t="s">
        <v>27</v>
      </c>
      <c r="C891" s="8" t="s">
        <v>28</v>
      </c>
      <c r="D891" s="8" t="s">
        <v>18</v>
      </c>
      <c r="E891" s="8" t="s">
        <v>19</v>
      </c>
      <c r="F891" s="8" t="s">
        <v>20</v>
      </c>
      <c r="G891" s="8" t="n">
        <v>6</v>
      </c>
      <c r="H891" s="9" t="n">
        <v>26.99</v>
      </c>
      <c r="I891" s="9" t="n">
        <v>10.5</v>
      </c>
      <c r="J891" s="10" t="n">
        <v>0.05</v>
      </c>
      <c r="K891" s="9" t="n">
        <f aca="false">G891*H891*(1-J891)</f>
        <v>153.843</v>
      </c>
      <c r="L891" s="9" t="n">
        <f aca="false">G891*I891</f>
        <v>63</v>
      </c>
      <c r="M891" s="9" t="n">
        <f aca="false">K891-L891</f>
        <v>90.843</v>
      </c>
      <c r="N891" s="11" t="n">
        <f aca="false">IF(K891=0,0,M891/K891)</f>
        <v>0.590491605077904</v>
      </c>
      <c r="O891" s="9" t="n">
        <f aca="false">(G891*H891)-K891</f>
        <v>8.09700000000001</v>
      </c>
      <c r="P891" s="8" t="s">
        <v>21</v>
      </c>
    </row>
    <row r="892" customFormat="false" ht="15" hidden="false" customHeight="false" outlineLevel="0" collapsed="false">
      <c r="A892" s="2" t="n">
        <v>46036</v>
      </c>
      <c r="B892" s="3" t="s">
        <v>37</v>
      </c>
      <c r="C892" s="3" t="s">
        <v>17</v>
      </c>
      <c r="D892" s="3" t="s">
        <v>70</v>
      </c>
      <c r="E892" s="3" t="s">
        <v>71</v>
      </c>
      <c r="F892" s="3" t="s">
        <v>20</v>
      </c>
      <c r="G892" s="3" t="n">
        <v>17</v>
      </c>
      <c r="H892" s="4" t="n">
        <v>49.99</v>
      </c>
      <c r="I892" s="4" t="n">
        <v>19</v>
      </c>
      <c r="J892" s="5" t="n">
        <v>0</v>
      </c>
      <c r="K892" s="4" t="n">
        <f aca="false">G892*H892*(1-J892)</f>
        <v>849.83</v>
      </c>
      <c r="L892" s="4" t="n">
        <f aca="false">G892*I892</f>
        <v>323</v>
      </c>
      <c r="M892" s="4" t="n">
        <f aca="false">K892-L892</f>
        <v>526.83</v>
      </c>
      <c r="N892" s="6" t="n">
        <f aca="false">IF(K892=0,0,M892/K892)</f>
        <v>0.619923984796959</v>
      </c>
      <c r="O892" s="4" t="n">
        <f aca="false">(G892*H892)-K892</f>
        <v>0</v>
      </c>
      <c r="P892" s="3" t="s">
        <v>21</v>
      </c>
    </row>
    <row r="893" customFormat="false" ht="15" hidden="false" customHeight="false" outlineLevel="0" collapsed="false">
      <c r="A893" s="7" t="n">
        <v>46110</v>
      </c>
      <c r="B893" s="8" t="s">
        <v>37</v>
      </c>
      <c r="C893" s="8" t="s">
        <v>17</v>
      </c>
      <c r="D893" s="8" t="s">
        <v>59</v>
      </c>
      <c r="E893" s="8" t="s">
        <v>60</v>
      </c>
      <c r="F893" s="8" t="s">
        <v>50</v>
      </c>
      <c r="G893" s="8" t="n">
        <v>8</v>
      </c>
      <c r="H893" s="9" t="n">
        <v>24.99</v>
      </c>
      <c r="I893" s="9" t="n">
        <v>8.5</v>
      </c>
      <c r="J893" s="10" t="n">
        <v>0</v>
      </c>
      <c r="K893" s="9" t="n">
        <f aca="false">G893*H893*(1-J893)</f>
        <v>199.92</v>
      </c>
      <c r="L893" s="9" t="n">
        <f aca="false">G893*I893</f>
        <v>68</v>
      </c>
      <c r="M893" s="9" t="n">
        <f aca="false">K893-L893</f>
        <v>131.92</v>
      </c>
      <c r="N893" s="11" t="n">
        <f aca="false">IF(K893=0,0,M893/K893)</f>
        <v>0.659863945578231</v>
      </c>
      <c r="O893" s="9" t="n">
        <f aca="false">(G893*H893)-K893</f>
        <v>0</v>
      </c>
      <c r="P893" s="8" t="s">
        <v>21</v>
      </c>
    </row>
    <row r="894" customFormat="false" ht="15" hidden="false" customHeight="false" outlineLevel="0" collapsed="false">
      <c r="A894" s="2" t="n">
        <v>46045</v>
      </c>
      <c r="B894" s="3" t="s">
        <v>58</v>
      </c>
      <c r="C894" s="3" t="s">
        <v>58</v>
      </c>
      <c r="D894" s="3" t="s">
        <v>70</v>
      </c>
      <c r="E894" s="3" t="s">
        <v>71</v>
      </c>
      <c r="F894" s="3" t="s">
        <v>20</v>
      </c>
      <c r="G894" s="3" t="n">
        <v>7</v>
      </c>
      <c r="H894" s="4" t="n">
        <v>49.99</v>
      </c>
      <c r="I894" s="4" t="n">
        <v>19</v>
      </c>
      <c r="J894" s="5" t="n">
        <v>0.2</v>
      </c>
      <c r="K894" s="4" t="n">
        <f aca="false">G894*H894*(1-J894)</f>
        <v>279.944</v>
      </c>
      <c r="L894" s="4" t="n">
        <f aca="false">G894*I894</f>
        <v>133</v>
      </c>
      <c r="M894" s="4" t="n">
        <f aca="false">K894-L894</f>
        <v>146.944</v>
      </c>
      <c r="N894" s="6" t="n">
        <f aca="false">IF(K894=0,0,M894/K894)</f>
        <v>0.524904980996199</v>
      </c>
      <c r="O894" s="4" t="n">
        <f aca="false">(G894*H894)-K894</f>
        <v>69.986</v>
      </c>
      <c r="P894" s="3" t="s">
        <v>21</v>
      </c>
    </row>
    <row r="895" customFormat="false" ht="15" hidden="false" customHeight="false" outlineLevel="0" collapsed="false">
      <c r="A895" s="7" t="n">
        <v>46084</v>
      </c>
      <c r="B895" s="8" t="s">
        <v>16</v>
      </c>
      <c r="C895" s="8" t="s">
        <v>17</v>
      </c>
      <c r="D895" s="8" t="s">
        <v>55</v>
      </c>
      <c r="E895" s="8" t="s">
        <v>56</v>
      </c>
      <c r="F895" s="8" t="s">
        <v>57</v>
      </c>
      <c r="G895" s="8" t="n">
        <v>21</v>
      </c>
      <c r="H895" s="9" t="n">
        <v>29.99</v>
      </c>
      <c r="I895" s="9" t="n">
        <v>11</v>
      </c>
      <c r="J895" s="10" t="n">
        <v>0.25</v>
      </c>
      <c r="K895" s="9" t="n">
        <f aca="false">G895*H895*(1-J895)</f>
        <v>472.3425</v>
      </c>
      <c r="L895" s="9" t="n">
        <f aca="false">G895*I895</f>
        <v>231</v>
      </c>
      <c r="M895" s="9" t="n">
        <f aca="false">K895-L895</f>
        <v>241.3425</v>
      </c>
      <c r="N895" s="11" t="n">
        <f aca="false">IF(K895=0,0,M895/K895)</f>
        <v>0.510948093809047</v>
      </c>
      <c r="O895" s="9" t="n">
        <f aca="false">(G895*H895)-K895</f>
        <v>157.4475</v>
      </c>
      <c r="P895" s="8" t="s">
        <v>21</v>
      </c>
    </row>
    <row r="896" customFormat="false" ht="15" hidden="false" customHeight="false" outlineLevel="0" collapsed="false">
      <c r="A896" s="2" t="n">
        <v>46118</v>
      </c>
      <c r="B896" s="3" t="s">
        <v>41</v>
      </c>
      <c r="C896" s="3" t="s">
        <v>28</v>
      </c>
      <c r="D896" s="3" t="s">
        <v>38</v>
      </c>
      <c r="E896" s="3" t="s">
        <v>39</v>
      </c>
      <c r="F896" s="3" t="s">
        <v>40</v>
      </c>
      <c r="G896" s="3" t="n">
        <v>7</v>
      </c>
      <c r="H896" s="4" t="n">
        <v>12.99</v>
      </c>
      <c r="I896" s="4" t="n">
        <v>4</v>
      </c>
      <c r="J896" s="5" t="n">
        <v>0.55</v>
      </c>
      <c r="K896" s="4" t="n">
        <f aca="false">G896*H896*(1-J896)</f>
        <v>40.9185</v>
      </c>
      <c r="L896" s="4" t="n">
        <f aca="false">G896*I896</f>
        <v>28</v>
      </c>
      <c r="M896" s="4" t="n">
        <f aca="false">K896-L896</f>
        <v>12.9185</v>
      </c>
      <c r="N896" s="6" t="n">
        <f aca="false">IF(K896=0,0,M896/K896)</f>
        <v>0.315712941578992</v>
      </c>
      <c r="O896" s="4" t="n">
        <f aca="false">(G896*H896)-K896</f>
        <v>50.0115</v>
      </c>
      <c r="P896" s="14" t="s">
        <v>97</v>
      </c>
    </row>
    <row r="897" customFormat="false" ht="15" hidden="false" customHeight="false" outlineLevel="0" collapsed="false">
      <c r="A897" s="7" t="n">
        <v>46054</v>
      </c>
      <c r="B897" s="8" t="s">
        <v>27</v>
      </c>
      <c r="C897" s="8" t="s">
        <v>28</v>
      </c>
      <c r="D897" s="8" t="s">
        <v>72</v>
      </c>
      <c r="E897" s="8" t="s">
        <v>73</v>
      </c>
      <c r="F897" s="8" t="s">
        <v>57</v>
      </c>
      <c r="G897" s="8" t="n">
        <v>10</v>
      </c>
      <c r="H897" s="9" t="n">
        <v>19.99</v>
      </c>
      <c r="I897" s="9" t="n">
        <v>7</v>
      </c>
      <c r="J897" s="10" t="n">
        <v>0</v>
      </c>
      <c r="K897" s="9" t="n">
        <f aca="false">G897*H897*(1-J897)</f>
        <v>199.9</v>
      </c>
      <c r="L897" s="9" t="n">
        <f aca="false">G897*I897</f>
        <v>70</v>
      </c>
      <c r="M897" s="9" t="n">
        <f aca="false">K897-L897</f>
        <v>129.9</v>
      </c>
      <c r="N897" s="11" t="n">
        <f aca="false">IF(K897=0,0,M897/K897)</f>
        <v>0.649824912456228</v>
      </c>
      <c r="O897" s="9" t="n">
        <f aca="false">(G897*H897)-K897</f>
        <v>0</v>
      </c>
      <c r="P897" s="8" t="s">
        <v>21</v>
      </c>
    </row>
    <row r="898" customFormat="false" ht="15" hidden="false" customHeight="false" outlineLevel="0" collapsed="false">
      <c r="A898" s="2" t="n">
        <v>46095</v>
      </c>
      <c r="B898" s="3" t="s">
        <v>41</v>
      </c>
      <c r="C898" s="3" t="s">
        <v>28</v>
      </c>
      <c r="D898" s="3" t="s">
        <v>74</v>
      </c>
      <c r="E898" s="3" t="s">
        <v>75</v>
      </c>
      <c r="F898" s="3" t="s">
        <v>40</v>
      </c>
      <c r="G898" s="3" t="n">
        <v>11</v>
      </c>
      <c r="H898" s="4" t="n">
        <v>29.99</v>
      </c>
      <c r="I898" s="4" t="n">
        <v>13</v>
      </c>
      <c r="J898" s="5" t="n">
        <v>0.1</v>
      </c>
      <c r="K898" s="4" t="n">
        <f aca="false">G898*H898*(1-J898)</f>
        <v>296.901</v>
      </c>
      <c r="L898" s="4" t="n">
        <f aca="false">G898*I898</f>
        <v>143</v>
      </c>
      <c r="M898" s="4" t="n">
        <f aca="false">K898-L898</f>
        <v>153.901</v>
      </c>
      <c r="N898" s="6" t="n">
        <f aca="false">IF(K898=0,0,M898/K898)</f>
        <v>0.518357971175577</v>
      </c>
      <c r="O898" s="4" t="n">
        <f aca="false">(G898*H898)-K898</f>
        <v>32.989</v>
      </c>
      <c r="P898" s="3" t="s">
        <v>21</v>
      </c>
    </row>
    <row r="899" customFormat="false" ht="15" hidden="false" customHeight="false" outlineLevel="0" collapsed="false">
      <c r="A899" s="7" t="n">
        <v>46040</v>
      </c>
      <c r="B899" s="8" t="s">
        <v>27</v>
      </c>
      <c r="C899" s="8" t="s">
        <v>28</v>
      </c>
      <c r="D899" s="8" t="s">
        <v>90</v>
      </c>
      <c r="E899" s="8" t="s">
        <v>91</v>
      </c>
      <c r="F899" s="8" t="s">
        <v>26</v>
      </c>
      <c r="G899" s="8" t="n">
        <v>9</v>
      </c>
      <c r="H899" s="9" t="n">
        <v>29.99</v>
      </c>
      <c r="I899" s="9" t="n">
        <v>11</v>
      </c>
      <c r="J899" s="10" t="n">
        <v>0.15</v>
      </c>
      <c r="K899" s="9" t="n">
        <f aca="false">G899*H899*(1-J899)</f>
        <v>229.4235</v>
      </c>
      <c r="L899" s="9" t="n">
        <f aca="false">G899*I899</f>
        <v>99</v>
      </c>
      <c r="M899" s="9" t="n">
        <f aca="false">K899-L899</f>
        <v>130.4235</v>
      </c>
      <c r="N899" s="11" t="n">
        <f aca="false">IF(K899=0,0,M899/K899)</f>
        <v>0.568483612184454</v>
      </c>
      <c r="O899" s="9" t="n">
        <f aca="false">(G899*H899)-K899</f>
        <v>40.4865</v>
      </c>
      <c r="P899" s="8" t="s">
        <v>21</v>
      </c>
    </row>
    <row r="900" customFormat="false" ht="15" hidden="false" customHeight="false" outlineLevel="0" collapsed="false">
      <c r="A900" s="2" t="n">
        <v>46072</v>
      </c>
      <c r="B900" s="3" t="s">
        <v>16</v>
      </c>
      <c r="C900" s="3" t="s">
        <v>17</v>
      </c>
      <c r="D900" s="3" t="s">
        <v>44</v>
      </c>
      <c r="E900" s="3" t="s">
        <v>45</v>
      </c>
      <c r="F900" s="3" t="s">
        <v>40</v>
      </c>
      <c r="G900" s="3" t="n">
        <v>27</v>
      </c>
      <c r="H900" s="4" t="n">
        <v>29.99</v>
      </c>
      <c r="I900" s="4" t="n">
        <v>11</v>
      </c>
      <c r="J900" s="5" t="n">
        <v>0.2</v>
      </c>
      <c r="K900" s="4" t="n">
        <f aca="false">G900*H900*(1-J900)</f>
        <v>647.784</v>
      </c>
      <c r="L900" s="4" t="n">
        <f aca="false">G900*I900</f>
        <v>297</v>
      </c>
      <c r="M900" s="4" t="n">
        <f aca="false">K900-L900</f>
        <v>350.784</v>
      </c>
      <c r="N900" s="6" t="n">
        <f aca="false">IF(K900=0,0,M900/K900)</f>
        <v>0.541513837945982</v>
      </c>
      <c r="O900" s="4" t="n">
        <f aca="false">(G900*H900)-K900</f>
        <v>161.946</v>
      </c>
      <c r="P900" s="3" t="s">
        <v>21</v>
      </c>
    </row>
    <row r="901" customFormat="false" ht="15" hidden="false" customHeight="false" outlineLevel="0" collapsed="false">
      <c r="A901" s="7" t="n">
        <v>46087</v>
      </c>
      <c r="B901" s="8" t="s">
        <v>64</v>
      </c>
      <c r="C901" s="8" t="s">
        <v>65</v>
      </c>
      <c r="D901" s="8" t="s">
        <v>29</v>
      </c>
      <c r="E901" s="8" t="s">
        <v>30</v>
      </c>
      <c r="F901" s="8" t="s">
        <v>20</v>
      </c>
      <c r="G901" s="8" t="n">
        <v>27</v>
      </c>
      <c r="H901" s="9" t="n">
        <v>79.99</v>
      </c>
      <c r="I901" s="9" t="n">
        <v>42</v>
      </c>
      <c r="J901" s="10" t="n">
        <v>0</v>
      </c>
      <c r="K901" s="9" t="n">
        <f aca="false">G901*H901*(1-J901)</f>
        <v>2159.73</v>
      </c>
      <c r="L901" s="9" t="n">
        <f aca="false">G901*I901</f>
        <v>1134</v>
      </c>
      <c r="M901" s="9" t="n">
        <f aca="false">K901-L901</f>
        <v>1025.73</v>
      </c>
      <c r="N901" s="11" t="n">
        <f aca="false">IF(K901=0,0,M901/K901)</f>
        <v>0.47493436679585</v>
      </c>
      <c r="O901" s="9" t="n">
        <f aca="false">(G901*H901)-K901</f>
        <v>0</v>
      </c>
      <c r="P901" s="8" t="s">
        <v>21</v>
      </c>
    </row>
    <row r="902" customFormat="false" ht="15" hidden="false" customHeight="false" outlineLevel="0" collapsed="false">
      <c r="A902" s="2" t="n">
        <v>46031</v>
      </c>
      <c r="B902" s="3" t="s">
        <v>37</v>
      </c>
      <c r="C902" s="3" t="s">
        <v>17</v>
      </c>
      <c r="D902" s="3" t="s">
        <v>48</v>
      </c>
      <c r="E902" s="3" t="s">
        <v>49</v>
      </c>
      <c r="F902" s="3" t="s">
        <v>50</v>
      </c>
      <c r="G902" s="3" t="n">
        <v>16</v>
      </c>
      <c r="H902" s="4" t="n">
        <v>54.99</v>
      </c>
      <c r="I902" s="4" t="n">
        <v>20</v>
      </c>
      <c r="J902" s="5" t="n">
        <v>0.15</v>
      </c>
      <c r="K902" s="4" t="n">
        <f aca="false">G902*H902*(1-J902)</f>
        <v>747.864</v>
      </c>
      <c r="L902" s="4" t="n">
        <f aca="false">G902*I902</f>
        <v>320</v>
      </c>
      <c r="M902" s="4" t="n">
        <f aca="false">K902-L902</f>
        <v>427.864</v>
      </c>
      <c r="N902" s="6" t="n">
        <f aca="false">IF(K902=0,0,M902/K902)</f>
        <v>0.572114716044629</v>
      </c>
      <c r="O902" s="4" t="n">
        <f aca="false">(G902*H902)-K902</f>
        <v>131.976</v>
      </c>
      <c r="P902" s="3" t="s">
        <v>21</v>
      </c>
    </row>
    <row r="903" customFormat="false" ht="15" hidden="false" customHeight="false" outlineLevel="0" collapsed="false">
      <c r="A903" s="7" t="n">
        <v>46054</v>
      </c>
      <c r="B903" s="8" t="s">
        <v>16</v>
      </c>
      <c r="C903" s="8" t="s">
        <v>17</v>
      </c>
      <c r="D903" s="8" t="s">
        <v>66</v>
      </c>
      <c r="E903" s="8" t="s">
        <v>67</v>
      </c>
      <c r="F903" s="8" t="s">
        <v>57</v>
      </c>
      <c r="G903" s="8" t="n">
        <v>3</v>
      </c>
      <c r="H903" s="9" t="n">
        <v>14.99</v>
      </c>
      <c r="I903" s="9" t="n">
        <v>5.5</v>
      </c>
      <c r="J903" s="10" t="n">
        <v>0.3</v>
      </c>
      <c r="K903" s="9" t="n">
        <f aca="false">G903*H903*(1-J903)</f>
        <v>31.479</v>
      </c>
      <c r="L903" s="9" t="n">
        <f aca="false">G903*I903</f>
        <v>16.5</v>
      </c>
      <c r="M903" s="9" t="n">
        <f aca="false">K903-L903</f>
        <v>14.979</v>
      </c>
      <c r="N903" s="11" t="n">
        <f aca="false">IF(K903=0,0,M903/K903)</f>
        <v>0.475841036881731</v>
      </c>
      <c r="O903" s="9" t="n">
        <f aca="false">(G903*H903)-K903</f>
        <v>13.491</v>
      </c>
      <c r="P903" s="8" t="s">
        <v>21</v>
      </c>
    </row>
    <row r="904" customFormat="false" ht="15" hidden="false" customHeight="false" outlineLevel="0" collapsed="false">
      <c r="A904" s="2" t="n">
        <v>46119</v>
      </c>
      <c r="B904" s="3" t="s">
        <v>64</v>
      </c>
      <c r="C904" s="3" t="s">
        <v>65</v>
      </c>
      <c r="D904" s="3" t="s">
        <v>74</v>
      </c>
      <c r="E904" s="3" t="s">
        <v>75</v>
      </c>
      <c r="F904" s="3" t="s">
        <v>40</v>
      </c>
      <c r="G904" s="3" t="n">
        <v>3</v>
      </c>
      <c r="H904" s="4" t="n">
        <v>35.58</v>
      </c>
      <c r="I904" s="4" t="n">
        <v>13</v>
      </c>
      <c r="J904" s="5" t="n">
        <v>0</v>
      </c>
      <c r="K904" s="4" t="n">
        <f aca="false">G904*H904*(1-J904)</f>
        <v>106.74</v>
      </c>
      <c r="L904" s="4" t="n">
        <f aca="false">G904*I904</f>
        <v>39</v>
      </c>
      <c r="M904" s="4" t="n">
        <f aca="false">K904-L904</f>
        <v>67.74</v>
      </c>
      <c r="N904" s="6" t="n">
        <f aca="false">IF(K904=0,0,M904/K904)</f>
        <v>0.634626194491287</v>
      </c>
      <c r="O904" s="4" t="n">
        <f aca="false">(G904*H904)-K904</f>
        <v>0</v>
      </c>
      <c r="P904" s="12" t="s">
        <v>63</v>
      </c>
    </row>
    <row r="905" customFormat="false" ht="15" hidden="false" customHeight="false" outlineLevel="0" collapsed="false">
      <c r="A905" s="7" t="n">
        <v>46081</v>
      </c>
      <c r="B905" s="8" t="s">
        <v>37</v>
      </c>
      <c r="C905" s="8" t="s">
        <v>17</v>
      </c>
      <c r="D905" s="8" t="s">
        <v>61</v>
      </c>
      <c r="E905" s="8" t="s">
        <v>62</v>
      </c>
      <c r="F905" s="8" t="s">
        <v>34</v>
      </c>
      <c r="G905" s="8" t="n">
        <v>8</v>
      </c>
      <c r="H905" s="9" t="n">
        <v>12.99</v>
      </c>
      <c r="I905" s="9" t="n">
        <v>4.5</v>
      </c>
      <c r="J905" s="10" t="n">
        <v>0.05</v>
      </c>
      <c r="K905" s="9" t="n">
        <f aca="false">G905*H905*(1-J905)</f>
        <v>98.724</v>
      </c>
      <c r="L905" s="9" t="n">
        <f aca="false">G905*I905</f>
        <v>36</v>
      </c>
      <c r="M905" s="9" t="n">
        <f aca="false">K905-L905</f>
        <v>62.724</v>
      </c>
      <c r="N905" s="11" t="n">
        <f aca="false">IF(K905=0,0,M905/K905)</f>
        <v>0.635347028078279</v>
      </c>
      <c r="O905" s="9" t="n">
        <f aca="false">(G905*H905)-K905</f>
        <v>5.196</v>
      </c>
      <c r="P905" s="8" t="s">
        <v>21</v>
      </c>
    </row>
    <row r="906" customFormat="false" ht="15" hidden="false" customHeight="false" outlineLevel="0" collapsed="false">
      <c r="A906" s="2" t="n">
        <v>46087</v>
      </c>
      <c r="B906" s="3" t="s">
        <v>64</v>
      </c>
      <c r="C906" s="3" t="s">
        <v>65</v>
      </c>
      <c r="D906" s="3" t="s">
        <v>72</v>
      </c>
      <c r="E906" s="3" t="s">
        <v>73</v>
      </c>
      <c r="F906" s="3" t="s">
        <v>57</v>
      </c>
      <c r="G906" s="3" t="n">
        <v>2</v>
      </c>
      <c r="H906" s="4" t="n">
        <v>19.99</v>
      </c>
      <c r="I906" s="4" t="n">
        <v>7</v>
      </c>
      <c r="J906" s="5" t="n">
        <v>0.1</v>
      </c>
      <c r="K906" s="4" t="n">
        <f aca="false">G906*H906*(1-J906)</f>
        <v>35.982</v>
      </c>
      <c r="L906" s="4" t="n">
        <f aca="false">G906*I906</f>
        <v>14</v>
      </c>
      <c r="M906" s="4" t="n">
        <f aca="false">K906-L906</f>
        <v>21.982</v>
      </c>
      <c r="N906" s="6" t="n">
        <f aca="false">IF(K906=0,0,M906/K906)</f>
        <v>0.610916569395809</v>
      </c>
      <c r="O906" s="4" t="n">
        <f aca="false">(G906*H906)-K906</f>
        <v>3.998</v>
      </c>
      <c r="P906" s="3" t="s">
        <v>21</v>
      </c>
    </row>
    <row r="907" customFormat="false" ht="15" hidden="false" customHeight="false" outlineLevel="0" collapsed="false">
      <c r="A907" s="7" t="n">
        <v>46066</v>
      </c>
      <c r="B907" s="8" t="s">
        <v>64</v>
      </c>
      <c r="C907" s="8" t="s">
        <v>65</v>
      </c>
      <c r="D907" s="8" t="s">
        <v>48</v>
      </c>
      <c r="E907" s="8" t="s">
        <v>49</v>
      </c>
      <c r="F907" s="8" t="s">
        <v>50</v>
      </c>
      <c r="G907" s="8" t="n">
        <v>4</v>
      </c>
      <c r="H907" s="9" t="n">
        <v>54.99</v>
      </c>
      <c r="I907" s="9" t="n">
        <v>20</v>
      </c>
      <c r="J907" s="10" t="n">
        <v>0.3</v>
      </c>
      <c r="K907" s="9" t="n">
        <f aca="false">G907*H907*(1-J907)</f>
        <v>153.972</v>
      </c>
      <c r="L907" s="9" t="n">
        <f aca="false">G907*I907</f>
        <v>80</v>
      </c>
      <c r="M907" s="9" t="n">
        <f aca="false">K907-L907</f>
        <v>73.972</v>
      </c>
      <c r="N907" s="11" t="n">
        <f aca="false">IF(K907=0,0,M907/K907)</f>
        <v>0.480425012339906</v>
      </c>
      <c r="O907" s="9" t="n">
        <f aca="false">(G907*H907)-K907</f>
        <v>65.988</v>
      </c>
      <c r="P907" s="8" t="s">
        <v>21</v>
      </c>
    </row>
    <row r="908" customFormat="false" ht="15" hidden="false" customHeight="false" outlineLevel="0" collapsed="false">
      <c r="A908" s="2" t="n">
        <v>46116</v>
      </c>
      <c r="B908" s="3" t="s">
        <v>41</v>
      </c>
      <c r="C908" s="3" t="s">
        <v>28</v>
      </c>
      <c r="D908" s="3" t="s">
        <v>59</v>
      </c>
      <c r="E908" s="3" t="s">
        <v>60</v>
      </c>
      <c r="F908" s="3" t="s">
        <v>50</v>
      </c>
      <c r="G908" s="3" t="n">
        <v>5</v>
      </c>
      <c r="H908" s="4" t="n">
        <v>24.99</v>
      </c>
      <c r="I908" s="4" t="n">
        <v>8.5</v>
      </c>
      <c r="J908" s="5" t="n">
        <v>0.1</v>
      </c>
      <c r="K908" s="4" t="n">
        <f aca="false">G908*H908*(1-J908)</f>
        <v>112.455</v>
      </c>
      <c r="L908" s="4" t="n">
        <f aca="false">G908*I908</f>
        <v>42.5</v>
      </c>
      <c r="M908" s="4" t="n">
        <f aca="false">K908-L908</f>
        <v>69.955</v>
      </c>
      <c r="N908" s="6" t="n">
        <f aca="false">IF(K908=0,0,M908/K908)</f>
        <v>0.622071050642479</v>
      </c>
      <c r="O908" s="4" t="n">
        <f aca="false">(G908*H908)-K908</f>
        <v>12.495</v>
      </c>
      <c r="P908" s="3" t="s">
        <v>21</v>
      </c>
    </row>
    <row r="909" customFormat="false" ht="15" hidden="false" customHeight="false" outlineLevel="0" collapsed="false">
      <c r="A909" s="7" t="n">
        <v>46076</v>
      </c>
      <c r="B909" s="8" t="s">
        <v>41</v>
      </c>
      <c r="C909" s="8" t="s">
        <v>28</v>
      </c>
      <c r="D909" s="8" t="s">
        <v>35</v>
      </c>
      <c r="E909" s="8" t="s">
        <v>36</v>
      </c>
      <c r="F909" s="8" t="s">
        <v>26</v>
      </c>
      <c r="G909" s="8" t="n">
        <v>27</v>
      </c>
      <c r="H909" s="9" t="n">
        <v>69.99</v>
      </c>
      <c r="I909" s="9" t="n">
        <v>30</v>
      </c>
      <c r="J909" s="10" t="n">
        <v>0</v>
      </c>
      <c r="K909" s="9" t="n">
        <f aca="false">G909*H909*(1-J909)</f>
        <v>1889.73</v>
      </c>
      <c r="L909" s="9" t="n">
        <f aca="false">G909*I909</f>
        <v>810</v>
      </c>
      <c r="M909" s="9" t="n">
        <f aca="false">K909-L909</f>
        <v>1079.73</v>
      </c>
      <c r="N909" s="11" t="n">
        <f aca="false">IF(K909=0,0,M909/K909)</f>
        <v>0.57136733819117</v>
      </c>
      <c r="O909" s="9" t="n">
        <f aca="false">(G909*H909)-K909</f>
        <v>0</v>
      </c>
      <c r="P909" s="8" t="s">
        <v>21</v>
      </c>
    </row>
    <row r="910" customFormat="false" ht="15" hidden="false" customHeight="false" outlineLevel="0" collapsed="false">
      <c r="A910" s="2" t="n">
        <v>46049</v>
      </c>
      <c r="B910" s="3" t="s">
        <v>27</v>
      </c>
      <c r="C910" s="3" t="s">
        <v>28</v>
      </c>
      <c r="D910" s="3" t="s">
        <v>55</v>
      </c>
      <c r="E910" s="3" t="s">
        <v>56</v>
      </c>
      <c r="F910" s="3" t="s">
        <v>57</v>
      </c>
      <c r="G910" s="3" t="n">
        <v>16</v>
      </c>
      <c r="H910" s="4" t="n">
        <v>29.99</v>
      </c>
      <c r="I910" s="4" t="n">
        <v>11</v>
      </c>
      <c r="J910" s="5" t="n">
        <v>0.05</v>
      </c>
      <c r="K910" s="4" t="n">
        <f aca="false">G910*H910*(1-J910)</f>
        <v>455.848</v>
      </c>
      <c r="L910" s="4" t="n">
        <f aca="false">G910*I910</f>
        <v>176</v>
      </c>
      <c r="M910" s="4" t="n">
        <f aca="false">K910-L910</f>
        <v>279.848</v>
      </c>
      <c r="N910" s="6" t="n">
        <f aca="false">IF(K910=0,0,M910/K910)</f>
        <v>0.613906389849248</v>
      </c>
      <c r="O910" s="4" t="n">
        <f aca="false">(G910*H910)-K910</f>
        <v>23.992</v>
      </c>
      <c r="P910" s="3" t="s">
        <v>21</v>
      </c>
    </row>
    <row r="911" customFormat="false" ht="15" hidden="false" customHeight="false" outlineLevel="0" collapsed="false">
      <c r="A911" s="7" t="n">
        <v>46097</v>
      </c>
      <c r="B911" s="8" t="s">
        <v>37</v>
      </c>
      <c r="C911" s="8" t="s">
        <v>17</v>
      </c>
      <c r="D911" s="8" t="s">
        <v>74</v>
      </c>
      <c r="E911" s="8" t="s">
        <v>75</v>
      </c>
      <c r="F911" s="8" t="s">
        <v>40</v>
      </c>
      <c r="G911" s="8" t="n">
        <v>30</v>
      </c>
      <c r="H911" s="9" t="n">
        <v>29.99</v>
      </c>
      <c r="I911" s="9" t="n">
        <v>13</v>
      </c>
      <c r="J911" s="10" t="n">
        <v>0.05</v>
      </c>
      <c r="K911" s="9" t="n">
        <f aca="false">G911*H911*(1-J911)</f>
        <v>854.715</v>
      </c>
      <c r="L911" s="9" t="n">
        <f aca="false">G911*I911</f>
        <v>390</v>
      </c>
      <c r="M911" s="9" t="n">
        <f aca="false">K911-L911</f>
        <v>464.715</v>
      </c>
      <c r="N911" s="11" t="n">
        <f aca="false">IF(K911=0,0,M911/K911)</f>
        <v>0.54370755164002</v>
      </c>
      <c r="O911" s="9" t="n">
        <f aca="false">(G911*H911)-K911</f>
        <v>44.985</v>
      </c>
      <c r="P911" s="8" t="s">
        <v>21</v>
      </c>
    </row>
    <row r="912" customFormat="false" ht="15" hidden="false" customHeight="false" outlineLevel="0" collapsed="false">
      <c r="A912" s="2" t="n">
        <v>46126</v>
      </c>
      <c r="B912" s="3" t="s">
        <v>16</v>
      </c>
      <c r="C912" s="3" t="s">
        <v>17</v>
      </c>
      <c r="D912" s="3" t="s">
        <v>70</v>
      </c>
      <c r="E912" s="3" t="s">
        <v>71</v>
      </c>
      <c r="F912" s="3" t="s">
        <v>20</v>
      </c>
      <c r="G912" s="3" t="n">
        <v>14</v>
      </c>
      <c r="H912" s="4" t="n">
        <v>49.99</v>
      </c>
      <c r="I912" s="4" t="n">
        <v>19</v>
      </c>
      <c r="J912" s="5" t="n">
        <v>0.25</v>
      </c>
      <c r="K912" s="4" t="n">
        <f aca="false">G912*H912*(1-J912)</f>
        <v>524.895</v>
      </c>
      <c r="L912" s="4" t="n">
        <f aca="false">G912*I912</f>
        <v>266</v>
      </c>
      <c r="M912" s="4" t="n">
        <f aca="false">K912-L912</f>
        <v>258.895</v>
      </c>
      <c r="N912" s="6" t="n">
        <f aca="false">IF(K912=0,0,M912/K912)</f>
        <v>0.493231979729279</v>
      </c>
      <c r="O912" s="4" t="n">
        <f aca="false">(G912*H912)-K912</f>
        <v>174.965</v>
      </c>
      <c r="P912" s="3" t="s">
        <v>21</v>
      </c>
    </row>
    <row r="913" customFormat="false" ht="15" hidden="false" customHeight="false" outlineLevel="0" collapsed="false">
      <c r="A913" s="7" t="n">
        <v>46027</v>
      </c>
      <c r="B913" s="8" t="s">
        <v>16</v>
      </c>
      <c r="C913" s="8" t="s">
        <v>17</v>
      </c>
      <c r="D913" s="8" t="s">
        <v>61</v>
      </c>
      <c r="E913" s="8" t="s">
        <v>62</v>
      </c>
      <c r="F913" s="8" t="s">
        <v>34</v>
      </c>
      <c r="G913" s="8" t="n">
        <v>11</v>
      </c>
      <c r="H913" s="9" t="n">
        <v>14.99</v>
      </c>
      <c r="I913" s="9" t="n">
        <v>4.5</v>
      </c>
      <c r="J913" s="10" t="n">
        <v>0.15</v>
      </c>
      <c r="K913" s="9" t="n">
        <f aca="false">G913*H913*(1-J913)</f>
        <v>140.1565</v>
      </c>
      <c r="L913" s="9" t="n">
        <f aca="false">G913*I913</f>
        <v>49.5</v>
      </c>
      <c r="M913" s="9" t="n">
        <f aca="false">K913-L913</f>
        <v>90.6565</v>
      </c>
      <c r="N913" s="11" t="n">
        <f aca="false">IF(K913=0,0,M913/K913)</f>
        <v>0.646823372444375</v>
      </c>
      <c r="O913" s="9" t="n">
        <f aca="false">(G913*H913)-K913</f>
        <v>24.7335</v>
      </c>
      <c r="P913" s="8" t="s">
        <v>21</v>
      </c>
    </row>
    <row r="914" customFormat="false" ht="15" hidden="false" customHeight="false" outlineLevel="0" collapsed="false">
      <c r="A914" s="2" t="n">
        <v>46086</v>
      </c>
      <c r="B914" s="3" t="s">
        <v>16</v>
      </c>
      <c r="C914" s="3" t="s">
        <v>17</v>
      </c>
      <c r="D914" s="3" t="s">
        <v>29</v>
      </c>
      <c r="E914" s="3" t="s">
        <v>30</v>
      </c>
      <c r="F914" s="3" t="s">
        <v>20</v>
      </c>
      <c r="G914" s="3" t="n">
        <v>22</v>
      </c>
      <c r="H914" s="4" t="n">
        <v>79.99</v>
      </c>
      <c r="I914" s="4" t="n">
        <v>42</v>
      </c>
      <c r="J914" s="5" t="n">
        <v>0</v>
      </c>
      <c r="K914" s="4" t="n">
        <f aca="false">G914*H914*(1-J914)</f>
        <v>1759.78</v>
      </c>
      <c r="L914" s="4" t="n">
        <f aca="false">G914*I914</f>
        <v>924</v>
      </c>
      <c r="M914" s="4" t="n">
        <f aca="false">K914-L914</f>
        <v>835.78</v>
      </c>
      <c r="N914" s="6" t="n">
        <f aca="false">IF(K914=0,0,M914/K914)</f>
        <v>0.47493436679585</v>
      </c>
      <c r="O914" s="4" t="n">
        <f aca="false">(G914*H914)-K914</f>
        <v>0</v>
      </c>
      <c r="P914" s="3" t="s">
        <v>21</v>
      </c>
    </row>
    <row r="915" customFormat="false" ht="15" hidden="false" customHeight="false" outlineLevel="0" collapsed="false">
      <c r="A915" s="7" t="n">
        <v>46063</v>
      </c>
      <c r="B915" s="8" t="s">
        <v>58</v>
      </c>
      <c r="C915" s="8" t="s">
        <v>58</v>
      </c>
      <c r="D915" s="8" t="s">
        <v>88</v>
      </c>
      <c r="E915" s="8" t="s">
        <v>89</v>
      </c>
      <c r="F915" s="8" t="s">
        <v>57</v>
      </c>
      <c r="G915" s="8" t="n">
        <v>432</v>
      </c>
      <c r="H915" s="9" t="n">
        <v>12.99</v>
      </c>
      <c r="I915" s="9" t="n">
        <v>4.5</v>
      </c>
      <c r="J915" s="10" t="n">
        <v>0</v>
      </c>
      <c r="K915" s="9" t="n">
        <f aca="false">G915*H915*(1-J915)</f>
        <v>5611.68</v>
      </c>
      <c r="L915" s="9" t="n">
        <f aca="false">G915*I915</f>
        <v>1944</v>
      </c>
      <c r="M915" s="9" t="n">
        <f aca="false">K915-L915</f>
        <v>3667.68</v>
      </c>
      <c r="N915" s="11" t="n">
        <f aca="false">IF(K915=0,0,M915/K915)</f>
        <v>0.653579676674365</v>
      </c>
      <c r="O915" s="9" t="n">
        <f aca="false">(G915*H915)-K915</f>
        <v>0</v>
      </c>
      <c r="P915" s="13" t="s">
        <v>92</v>
      </c>
    </row>
    <row r="916" customFormat="false" ht="15" hidden="false" customHeight="false" outlineLevel="0" collapsed="false">
      <c r="A916" s="2" t="n">
        <v>46105</v>
      </c>
      <c r="B916" s="3" t="s">
        <v>27</v>
      </c>
      <c r="C916" s="3" t="s">
        <v>28</v>
      </c>
      <c r="D916" s="3" t="s">
        <v>80</v>
      </c>
      <c r="E916" s="3" t="s">
        <v>81</v>
      </c>
      <c r="F916" s="3" t="s">
        <v>57</v>
      </c>
      <c r="G916" s="3" t="n">
        <v>16</v>
      </c>
      <c r="H916" s="4" t="n">
        <v>17.99</v>
      </c>
      <c r="I916" s="4" t="n">
        <v>6.5</v>
      </c>
      <c r="J916" s="5" t="n">
        <v>0</v>
      </c>
      <c r="K916" s="4" t="n">
        <f aca="false">G916*H916*(1-J916)</f>
        <v>287.84</v>
      </c>
      <c r="L916" s="4" t="n">
        <f aca="false">G916*I916</f>
        <v>104</v>
      </c>
      <c r="M916" s="4" t="n">
        <f aca="false">K916-L916</f>
        <v>183.84</v>
      </c>
      <c r="N916" s="6" t="n">
        <f aca="false">IF(K916=0,0,M916/K916)</f>
        <v>0.638688160088938</v>
      </c>
      <c r="O916" s="4" t="n">
        <f aca="false">(G916*H916)-K916</f>
        <v>0</v>
      </c>
      <c r="P916" s="3" t="s">
        <v>21</v>
      </c>
    </row>
    <row r="917" customFormat="false" ht="15" hidden="false" customHeight="false" outlineLevel="0" collapsed="false">
      <c r="A917" s="7" t="n">
        <v>46034</v>
      </c>
      <c r="B917" s="8" t="s">
        <v>31</v>
      </c>
      <c r="C917" s="8" t="s">
        <v>23</v>
      </c>
      <c r="D917" s="8" t="s">
        <v>80</v>
      </c>
      <c r="E917" s="8" t="s">
        <v>81</v>
      </c>
      <c r="F917" s="8" t="s">
        <v>57</v>
      </c>
      <c r="G917" s="8" t="n">
        <v>17</v>
      </c>
      <c r="H917" s="9" t="n">
        <v>17.99</v>
      </c>
      <c r="I917" s="9" t="n">
        <v>6.5</v>
      </c>
      <c r="J917" s="10" t="n">
        <v>0.1</v>
      </c>
      <c r="K917" s="9" t="n">
        <f aca="false">G917*H917*(1-J917)</f>
        <v>275.247</v>
      </c>
      <c r="L917" s="9" t="n">
        <f aca="false">G917*I917</f>
        <v>110.5</v>
      </c>
      <c r="M917" s="9" t="n">
        <f aca="false">K917-L917</f>
        <v>164.747</v>
      </c>
      <c r="N917" s="11" t="n">
        <f aca="false">IF(K917=0,0,M917/K917)</f>
        <v>0.59854240009882</v>
      </c>
      <c r="O917" s="9" t="n">
        <f aca="false">(G917*H917)-K917</f>
        <v>30.583</v>
      </c>
      <c r="P917" s="8" t="s">
        <v>21</v>
      </c>
    </row>
    <row r="918" customFormat="false" ht="15" hidden="false" customHeight="false" outlineLevel="0" collapsed="false">
      <c r="A918" s="2" t="n">
        <v>46090</v>
      </c>
      <c r="B918" s="3" t="s">
        <v>41</v>
      </c>
      <c r="C918" s="3" t="s">
        <v>28</v>
      </c>
      <c r="D918" s="3" t="s">
        <v>42</v>
      </c>
      <c r="E918" s="3" t="s">
        <v>43</v>
      </c>
      <c r="F918" s="3" t="s">
        <v>34</v>
      </c>
      <c r="G918" s="3" t="n">
        <v>29</v>
      </c>
      <c r="H918" s="4" t="n">
        <v>11.99</v>
      </c>
      <c r="I918" s="4" t="n">
        <v>3.5</v>
      </c>
      <c r="J918" s="5" t="n">
        <v>0.15</v>
      </c>
      <c r="K918" s="4" t="n">
        <f aca="false">G918*H918*(1-J918)</f>
        <v>295.5535</v>
      </c>
      <c r="L918" s="4" t="n">
        <f aca="false">G918*I918</f>
        <v>101.5</v>
      </c>
      <c r="M918" s="4" t="n">
        <f aca="false">K918-L918</f>
        <v>194.0535</v>
      </c>
      <c r="N918" s="6" t="n">
        <f aca="false">IF(K918=0,0,M918/K918)</f>
        <v>0.65657655889712</v>
      </c>
      <c r="O918" s="4" t="n">
        <f aca="false">(G918*H918)-K918</f>
        <v>52.1565</v>
      </c>
      <c r="P918" s="3" t="s">
        <v>21</v>
      </c>
    </row>
    <row r="919" customFormat="false" ht="15" hidden="false" customHeight="false" outlineLevel="0" collapsed="false">
      <c r="A919" s="7" t="n">
        <v>46073</v>
      </c>
      <c r="B919" s="8" t="s">
        <v>16</v>
      </c>
      <c r="C919" s="8" t="s">
        <v>17</v>
      </c>
      <c r="D919" s="8" t="s">
        <v>82</v>
      </c>
      <c r="E919" s="8" t="s">
        <v>83</v>
      </c>
      <c r="F919" s="8" t="s">
        <v>26</v>
      </c>
      <c r="G919" s="8" t="n">
        <v>4</v>
      </c>
      <c r="H919" s="9" t="n">
        <v>44.99</v>
      </c>
      <c r="I919" s="9" t="n">
        <v>18</v>
      </c>
      <c r="J919" s="10" t="n">
        <v>0.25</v>
      </c>
      <c r="K919" s="9" t="n">
        <f aca="false">G919*H919*(1-J919)</f>
        <v>134.97</v>
      </c>
      <c r="L919" s="9" t="n">
        <f aca="false">G919*I919</f>
        <v>72</v>
      </c>
      <c r="M919" s="9" t="n">
        <f aca="false">K919-L919</f>
        <v>62.97</v>
      </c>
      <c r="N919" s="11" t="n">
        <f aca="false">IF(K919=0,0,M919/K919)</f>
        <v>0.466548121804846</v>
      </c>
      <c r="O919" s="9" t="n">
        <f aca="false">(G919*H919)-K919</f>
        <v>44.99</v>
      </c>
      <c r="P919" s="8" t="s">
        <v>21</v>
      </c>
    </row>
    <row r="920" customFormat="false" ht="15" hidden="false" customHeight="false" outlineLevel="0" collapsed="false">
      <c r="A920" s="2" t="n">
        <v>46068</v>
      </c>
      <c r="B920" s="3" t="s">
        <v>41</v>
      </c>
      <c r="C920" s="3" t="s">
        <v>28</v>
      </c>
      <c r="D920" s="3" t="s">
        <v>68</v>
      </c>
      <c r="E920" s="3" t="s">
        <v>69</v>
      </c>
      <c r="F920" s="3" t="s">
        <v>40</v>
      </c>
      <c r="G920" s="3" t="n">
        <v>16</v>
      </c>
      <c r="H920" s="4" t="n">
        <v>24.99</v>
      </c>
      <c r="I920" s="4" t="n">
        <v>9</v>
      </c>
      <c r="J920" s="5" t="n">
        <v>0.15</v>
      </c>
      <c r="K920" s="4" t="n">
        <f aca="false">G920*H920*(1-J920)</f>
        <v>339.864</v>
      </c>
      <c r="L920" s="4" t="n">
        <f aca="false">G920*I920</f>
        <v>144</v>
      </c>
      <c r="M920" s="4" t="n">
        <f aca="false">K920-L920</f>
        <v>195.864</v>
      </c>
      <c r="N920" s="6" t="n">
        <f aca="false">IF(K920=0,0,M920/K920)</f>
        <v>0.576301108678766</v>
      </c>
      <c r="O920" s="4" t="n">
        <f aca="false">(G920*H920)-K920</f>
        <v>59.976</v>
      </c>
      <c r="P920" s="3" t="s">
        <v>21</v>
      </c>
    </row>
    <row r="921" customFormat="false" ht="15" hidden="false" customHeight="false" outlineLevel="0" collapsed="false">
      <c r="A921" s="7" t="n">
        <v>46071</v>
      </c>
      <c r="B921" s="8" t="s">
        <v>27</v>
      </c>
      <c r="C921" s="8" t="s">
        <v>28</v>
      </c>
      <c r="D921" s="8" t="s">
        <v>46</v>
      </c>
      <c r="E921" s="8" t="s">
        <v>47</v>
      </c>
      <c r="F921" s="8" t="s">
        <v>20</v>
      </c>
      <c r="G921" s="8" t="n">
        <v>7</v>
      </c>
      <c r="H921" s="9" t="n">
        <v>44.99</v>
      </c>
      <c r="I921" s="9" t="n">
        <v>18</v>
      </c>
      <c r="J921" s="10" t="n">
        <v>0.2</v>
      </c>
      <c r="K921" s="9" t="n">
        <f aca="false">G921*H921*(1-J921)</f>
        <v>251.944</v>
      </c>
      <c r="L921" s="9" t="n">
        <f aca="false">G921*I921</f>
        <v>126</v>
      </c>
      <c r="M921" s="9" t="n">
        <f aca="false">K921-L921</f>
        <v>125.944</v>
      </c>
      <c r="N921" s="11" t="n">
        <f aca="false">IF(K921=0,0,M921/K921)</f>
        <v>0.499888864192043</v>
      </c>
      <c r="O921" s="9" t="n">
        <f aca="false">(G921*H921)-K921</f>
        <v>62.986</v>
      </c>
      <c r="P921" s="8" t="s">
        <v>21</v>
      </c>
    </row>
    <row r="922" customFormat="false" ht="15" hidden="false" customHeight="false" outlineLevel="0" collapsed="false">
      <c r="A922" s="2" t="n">
        <v>46098</v>
      </c>
      <c r="B922" s="3" t="s">
        <v>16</v>
      </c>
      <c r="C922" s="3" t="s">
        <v>17</v>
      </c>
      <c r="D922" s="3" t="s">
        <v>38</v>
      </c>
      <c r="E922" s="3" t="s">
        <v>39</v>
      </c>
      <c r="F922" s="3" t="s">
        <v>40</v>
      </c>
      <c r="G922" s="3" t="n">
        <v>19</v>
      </c>
      <c r="H922" s="4" t="n">
        <v>12.99</v>
      </c>
      <c r="I922" s="4" t="n">
        <v>4</v>
      </c>
      <c r="J922" s="5" t="n">
        <v>0</v>
      </c>
      <c r="K922" s="4" t="n">
        <f aca="false">G922*H922*(1-J922)</f>
        <v>246.81</v>
      </c>
      <c r="L922" s="4" t="n">
        <f aca="false">G922*I922</f>
        <v>76</v>
      </c>
      <c r="M922" s="4" t="n">
        <f aca="false">K922-L922</f>
        <v>170.81</v>
      </c>
      <c r="N922" s="6" t="n">
        <f aca="false">IF(K922=0,0,M922/K922)</f>
        <v>0.692070823710547</v>
      </c>
      <c r="O922" s="4" t="n">
        <f aca="false">(G922*H922)-K922</f>
        <v>0</v>
      </c>
      <c r="P922" s="3" t="s">
        <v>21</v>
      </c>
    </row>
    <row r="923" customFormat="false" ht="15" hidden="false" customHeight="false" outlineLevel="0" collapsed="false">
      <c r="A923" s="7" t="n">
        <v>46076</v>
      </c>
      <c r="B923" s="8" t="s">
        <v>58</v>
      </c>
      <c r="C923" s="8" t="s">
        <v>58</v>
      </c>
      <c r="D923" s="8" t="s">
        <v>86</v>
      </c>
      <c r="E923" s="8" t="s">
        <v>87</v>
      </c>
      <c r="F923" s="8" t="s">
        <v>40</v>
      </c>
      <c r="G923" s="8" t="n">
        <v>352</v>
      </c>
      <c r="H923" s="9" t="n">
        <v>16.99</v>
      </c>
      <c r="I923" s="9" t="n">
        <v>5.5</v>
      </c>
      <c r="J923" s="10" t="n">
        <v>0</v>
      </c>
      <c r="K923" s="9" t="n">
        <f aca="false">G923*H923*(1-J923)</f>
        <v>5980.48</v>
      </c>
      <c r="L923" s="9" t="n">
        <f aca="false">G923*I923</f>
        <v>1936</v>
      </c>
      <c r="M923" s="9" t="n">
        <f aca="false">K923-L923</f>
        <v>4044.48</v>
      </c>
      <c r="N923" s="11" t="n">
        <f aca="false">IF(K923=0,0,M923/K923)</f>
        <v>0.676280164802825</v>
      </c>
      <c r="O923" s="9" t="n">
        <f aca="false">(G923*H923)-K923</f>
        <v>0</v>
      </c>
      <c r="P923" s="13" t="s">
        <v>92</v>
      </c>
    </row>
    <row r="924" customFormat="false" ht="15" hidden="false" customHeight="false" outlineLevel="0" collapsed="false">
      <c r="A924" s="2" t="n">
        <v>46117</v>
      </c>
      <c r="B924" s="3" t="s">
        <v>27</v>
      </c>
      <c r="C924" s="3" t="s">
        <v>28</v>
      </c>
      <c r="D924" s="3" t="s">
        <v>70</v>
      </c>
      <c r="E924" s="3" t="s">
        <v>71</v>
      </c>
      <c r="F924" s="3" t="s">
        <v>20</v>
      </c>
      <c r="G924" s="3" t="n">
        <v>25</v>
      </c>
      <c r="H924" s="4" t="n">
        <v>49.99</v>
      </c>
      <c r="I924" s="4" t="n">
        <v>19</v>
      </c>
      <c r="J924" s="5" t="n">
        <v>0</v>
      </c>
      <c r="K924" s="4" t="n">
        <f aca="false">G924*H924*(1-J924)</f>
        <v>1249.75</v>
      </c>
      <c r="L924" s="4" t="n">
        <f aca="false">G924*I924</f>
        <v>475</v>
      </c>
      <c r="M924" s="4" t="n">
        <f aca="false">K924-L924</f>
        <v>774.75</v>
      </c>
      <c r="N924" s="6" t="n">
        <f aca="false">IF(K924=0,0,M924/K924)</f>
        <v>0.619923984796959</v>
      </c>
      <c r="O924" s="4" t="n">
        <f aca="false">(G924*H924)-K924</f>
        <v>0</v>
      </c>
      <c r="P924" s="3" t="s">
        <v>21</v>
      </c>
    </row>
    <row r="925" customFormat="false" ht="15" hidden="false" customHeight="false" outlineLevel="0" collapsed="false">
      <c r="A925" s="7" t="n">
        <v>46070</v>
      </c>
      <c r="B925" s="8" t="s">
        <v>27</v>
      </c>
      <c r="C925" s="8" t="s">
        <v>28</v>
      </c>
      <c r="D925" s="8" t="s">
        <v>93</v>
      </c>
      <c r="E925" s="8" t="s">
        <v>94</v>
      </c>
      <c r="F925" s="8" t="s">
        <v>34</v>
      </c>
      <c r="G925" s="8" t="n">
        <v>11</v>
      </c>
      <c r="H925" s="9" t="n">
        <v>29.99</v>
      </c>
      <c r="I925" s="9" t="n">
        <v>9</v>
      </c>
      <c r="J925" s="10" t="n">
        <v>0.25</v>
      </c>
      <c r="K925" s="9" t="n">
        <f aca="false">G925*H925*(1-J925)</f>
        <v>247.4175</v>
      </c>
      <c r="L925" s="9" t="n">
        <f aca="false">G925*I925</f>
        <v>99</v>
      </c>
      <c r="M925" s="9" t="n">
        <f aca="false">K925-L925</f>
        <v>148.4175</v>
      </c>
      <c r="N925" s="11" t="n">
        <f aca="false">IF(K925=0,0,M925/K925)</f>
        <v>0.599866622207403</v>
      </c>
      <c r="O925" s="9" t="n">
        <f aca="false">(G925*H925)-K925</f>
        <v>82.4725</v>
      </c>
      <c r="P925" s="8" t="s">
        <v>21</v>
      </c>
    </row>
    <row r="926" customFormat="false" ht="15" hidden="false" customHeight="false" outlineLevel="0" collapsed="false">
      <c r="A926" s="2" t="n">
        <v>46104</v>
      </c>
      <c r="B926" s="3" t="s">
        <v>27</v>
      </c>
      <c r="C926" s="3" t="s">
        <v>28</v>
      </c>
      <c r="D926" s="3" t="s">
        <v>44</v>
      </c>
      <c r="E926" s="3" t="s">
        <v>45</v>
      </c>
      <c r="F926" s="3" t="s">
        <v>40</v>
      </c>
      <c r="G926" s="3" t="n">
        <v>24</v>
      </c>
      <c r="H926" s="4" t="n">
        <v>29.99</v>
      </c>
      <c r="I926" s="4" t="n">
        <v>11</v>
      </c>
      <c r="J926" s="5" t="n">
        <v>0.05</v>
      </c>
      <c r="K926" s="4" t="n">
        <f aca="false">G926*H926*(1-J926)</f>
        <v>683.772</v>
      </c>
      <c r="L926" s="4" t="n">
        <f aca="false">G926*I926</f>
        <v>264</v>
      </c>
      <c r="M926" s="4" t="n">
        <f aca="false">K926-L926</f>
        <v>419.772</v>
      </c>
      <c r="N926" s="6" t="n">
        <f aca="false">IF(K926=0,0,M926/K926)</f>
        <v>0.613906389849248</v>
      </c>
      <c r="O926" s="4" t="n">
        <f aca="false">(G926*H926)-K926</f>
        <v>35.9880000000001</v>
      </c>
      <c r="P926" s="3" t="s">
        <v>21</v>
      </c>
    </row>
    <row r="927" customFormat="false" ht="15" hidden="false" customHeight="false" outlineLevel="0" collapsed="false">
      <c r="A927" s="7" t="n">
        <v>46059</v>
      </c>
      <c r="B927" s="8" t="s">
        <v>41</v>
      </c>
      <c r="C927" s="8" t="s">
        <v>28</v>
      </c>
      <c r="D927" s="8" t="s">
        <v>80</v>
      </c>
      <c r="E927" s="8" t="s">
        <v>81</v>
      </c>
      <c r="F927" s="8" t="s">
        <v>57</v>
      </c>
      <c r="G927" s="8" t="n">
        <v>19</v>
      </c>
      <c r="H927" s="9" t="n">
        <v>17.99</v>
      </c>
      <c r="I927" s="9" t="n">
        <v>6.5</v>
      </c>
      <c r="J927" s="10" t="n">
        <v>0</v>
      </c>
      <c r="K927" s="9" t="n">
        <f aca="false">G927*H927*(1-J927)</f>
        <v>341.81</v>
      </c>
      <c r="L927" s="9" t="n">
        <f aca="false">G927*I927</f>
        <v>123.5</v>
      </c>
      <c r="M927" s="9" t="n">
        <f aca="false">K927-L927</f>
        <v>218.31</v>
      </c>
      <c r="N927" s="11" t="n">
        <f aca="false">IF(K927=0,0,M927/K927)</f>
        <v>0.638688160088938</v>
      </c>
      <c r="O927" s="9" t="n">
        <f aca="false">(G927*H927)-K927</f>
        <v>0</v>
      </c>
      <c r="P927" s="8" t="s">
        <v>21</v>
      </c>
    </row>
    <row r="928" customFormat="false" ht="15" hidden="false" customHeight="false" outlineLevel="0" collapsed="false">
      <c r="A928" s="2" t="n">
        <v>46059</v>
      </c>
      <c r="B928" s="3" t="s">
        <v>27</v>
      </c>
      <c r="C928" s="3" t="s">
        <v>28</v>
      </c>
      <c r="D928" s="3" t="s">
        <v>70</v>
      </c>
      <c r="E928" s="3" t="s">
        <v>71</v>
      </c>
      <c r="F928" s="3" t="s">
        <v>20</v>
      </c>
      <c r="G928" s="3" t="n">
        <v>27</v>
      </c>
      <c r="H928" s="4" t="n">
        <v>49.99</v>
      </c>
      <c r="I928" s="4" t="n">
        <v>19</v>
      </c>
      <c r="J928" s="5" t="n">
        <v>0</v>
      </c>
      <c r="K928" s="4" t="n">
        <f aca="false">G928*H928*(1-J928)</f>
        <v>1349.73</v>
      </c>
      <c r="L928" s="4" t="n">
        <f aca="false">G928*I928</f>
        <v>513</v>
      </c>
      <c r="M928" s="4" t="n">
        <f aca="false">K928-L928</f>
        <v>836.73</v>
      </c>
      <c r="N928" s="6" t="n">
        <f aca="false">IF(K928=0,0,M928/K928)</f>
        <v>0.619923984796959</v>
      </c>
      <c r="O928" s="4" t="n">
        <f aca="false">(G928*H928)-K928</f>
        <v>0</v>
      </c>
      <c r="P928" s="3" t="s">
        <v>21</v>
      </c>
    </row>
    <row r="929" customFormat="false" ht="15" hidden="false" customHeight="false" outlineLevel="0" collapsed="false">
      <c r="A929" s="7" t="n">
        <v>46104</v>
      </c>
      <c r="B929" s="8" t="s">
        <v>41</v>
      </c>
      <c r="C929" s="8" t="s">
        <v>28</v>
      </c>
      <c r="D929" s="8" t="s">
        <v>86</v>
      </c>
      <c r="E929" s="8" t="s">
        <v>87</v>
      </c>
      <c r="F929" s="8" t="s">
        <v>40</v>
      </c>
      <c r="G929" s="8" t="n">
        <v>2</v>
      </c>
      <c r="H929" s="9" t="n">
        <v>4.86</v>
      </c>
      <c r="I929" s="9" t="n">
        <v>5.5</v>
      </c>
      <c r="J929" s="10" t="n">
        <v>0</v>
      </c>
      <c r="K929" s="9" t="n">
        <f aca="false">G929*H929*(1-J929)</f>
        <v>9.72</v>
      </c>
      <c r="L929" s="9" t="n">
        <f aca="false">G929*I929</f>
        <v>11</v>
      </c>
      <c r="M929" s="9" t="n">
        <f aca="false">K929-L929</f>
        <v>-1.28</v>
      </c>
      <c r="N929" s="11" t="n">
        <f aca="false">IF(K929=0,0,M929/K929)</f>
        <v>-0.131687242798354</v>
      </c>
      <c r="O929" s="9" t="n">
        <f aca="false">(G929*H929)-K929</f>
        <v>0</v>
      </c>
      <c r="P929" s="15" t="s">
        <v>98</v>
      </c>
    </row>
    <row r="930" customFormat="false" ht="15" hidden="false" customHeight="false" outlineLevel="0" collapsed="false">
      <c r="A930" s="2" t="n">
        <v>46103</v>
      </c>
      <c r="B930" s="3" t="s">
        <v>41</v>
      </c>
      <c r="C930" s="3" t="s">
        <v>28</v>
      </c>
      <c r="D930" s="3" t="s">
        <v>86</v>
      </c>
      <c r="E930" s="3" t="s">
        <v>87</v>
      </c>
      <c r="F930" s="3" t="s">
        <v>40</v>
      </c>
      <c r="G930" s="3" t="n">
        <v>7</v>
      </c>
      <c r="H930" s="4" t="n">
        <v>4.86</v>
      </c>
      <c r="I930" s="4" t="n">
        <v>5.5</v>
      </c>
      <c r="J930" s="5" t="n">
        <v>0</v>
      </c>
      <c r="K930" s="4" t="n">
        <f aca="false">G930*H930*(1-J930)</f>
        <v>34.02</v>
      </c>
      <c r="L930" s="4" t="n">
        <f aca="false">G930*I930</f>
        <v>38.5</v>
      </c>
      <c r="M930" s="4" t="n">
        <f aca="false">K930-L930</f>
        <v>-4.48</v>
      </c>
      <c r="N930" s="6" t="n">
        <f aca="false">IF(K930=0,0,M930/K930)</f>
        <v>-0.131687242798354</v>
      </c>
      <c r="O930" s="4" t="n">
        <f aca="false">(G930*H930)-K930</f>
        <v>0</v>
      </c>
      <c r="P930" s="15" t="s">
        <v>98</v>
      </c>
    </row>
    <row r="931" customFormat="false" ht="15" hidden="false" customHeight="false" outlineLevel="0" collapsed="false">
      <c r="A931" s="7" t="n">
        <v>46120</v>
      </c>
      <c r="B931" s="8" t="s">
        <v>64</v>
      </c>
      <c r="C931" s="8" t="s">
        <v>65</v>
      </c>
      <c r="D931" s="8" t="s">
        <v>80</v>
      </c>
      <c r="E931" s="8" t="s">
        <v>81</v>
      </c>
      <c r="F931" s="8" t="s">
        <v>57</v>
      </c>
      <c r="G931" s="8" t="n">
        <v>20</v>
      </c>
      <c r="H931" s="9" t="n">
        <v>17.99</v>
      </c>
      <c r="I931" s="9" t="n">
        <v>6.5</v>
      </c>
      <c r="J931" s="10" t="n">
        <v>0.25</v>
      </c>
      <c r="K931" s="9" t="n">
        <f aca="false">G931*H931*(1-J931)</f>
        <v>269.85</v>
      </c>
      <c r="L931" s="9" t="n">
        <f aca="false">G931*I931</f>
        <v>130</v>
      </c>
      <c r="M931" s="9" t="n">
        <f aca="false">K931-L931</f>
        <v>139.85</v>
      </c>
      <c r="N931" s="11" t="n">
        <f aca="false">IF(K931=0,0,M931/K931)</f>
        <v>0.518250880118584</v>
      </c>
      <c r="O931" s="9" t="n">
        <f aca="false">(G931*H931)-K931</f>
        <v>89.95</v>
      </c>
      <c r="P931" s="8" t="s">
        <v>21</v>
      </c>
    </row>
    <row r="932" customFormat="false" ht="15" hidden="false" customHeight="false" outlineLevel="0" collapsed="false">
      <c r="A932" s="2" t="n">
        <v>46034</v>
      </c>
      <c r="B932" s="3" t="s">
        <v>37</v>
      </c>
      <c r="C932" s="3" t="s">
        <v>17</v>
      </c>
      <c r="D932" s="3" t="s">
        <v>78</v>
      </c>
      <c r="E932" s="3" t="s">
        <v>79</v>
      </c>
      <c r="F932" s="3" t="s">
        <v>20</v>
      </c>
      <c r="G932" s="3" t="n">
        <v>9</v>
      </c>
      <c r="H932" s="4" t="n">
        <v>39.99</v>
      </c>
      <c r="I932" s="4" t="n">
        <v>16</v>
      </c>
      <c r="J932" s="5" t="n">
        <v>0.1</v>
      </c>
      <c r="K932" s="4" t="n">
        <f aca="false">G932*H932*(1-J932)</f>
        <v>323.919</v>
      </c>
      <c r="L932" s="4" t="n">
        <f aca="false">G932*I932</f>
        <v>144</v>
      </c>
      <c r="M932" s="4" t="n">
        <f aca="false">K932-L932</f>
        <v>179.919</v>
      </c>
      <c r="N932" s="6" t="n">
        <f aca="false">IF(K932=0,0,M932/K932)</f>
        <v>0.555444416659721</v>
      </c>
      <c r="O932" s="4" t="n">
        <f aca="false">(G932*H932)-K932</f>
        <v>35.991</v>
      </c>
      <c r="P932" s="3" t="s">
        <v>21</v>
      </c>
    </row>
    <row r="933" customFormat="false" ht="15" hidden="false" customHeight="false" outlineLevel="0" collapsed="false">
      <c r="A933" s="7" t="n">
        <v>46110</v>
      </c>
      <c r="B933" s="8" t="s">
        <v>22</v>
      </c>
      <c r="C933" s="8" t="s">
        <v>23</v>
      </c>
      <c r="D933" s="8" t="s">
        <v>32</v>
      </c>
      <c r="E933" s="8" t="s">
        <v>33</v>
      </c>
      <c r="F933" s="8" t="s">
        <v>34</v>
      </c>
      <c r="G933" s="8" t="n">
        <v>28</v>
      </c>
      <c r="H933" s="9" t="n">
        <v>18.99</v>
      </c>
      <c r="I933" s="9" t="n">
        <v>6</v>
      </c>
      <c r="J933" s="10" t="n">
        <v>0.3</v>
      </c>
      <c r="K933" s="9" t="n">
        <f aca="false">G933*H933*(1-J933)</f>
        <v>372.204</v>
      </c>
      <c r="L933" s="9" t="n">
        <f aca="false">G933*I933</f>
        <v>168</v>
      </c>
      <c r="M933" s="9" t="n">
        <f aca="false">K933-L933</f>
        <v>204.204</v>
      </c>
      <c r="N933" s="11" t="n">
        <f aca="false">IF(K933=0,0,M933/K933)</f>
        <v>0.548634619724667</v>
      </c>
      <c r="O933" s="9" t="n">
        <f aca="false">(G933*H933)-K933</f>
        <v>159.516</v>
      </c>
      <c r="P933" s="8" t="s">
        <v>21</v>
      </c>
    </row>
    <row r="934" customFormat="false" ht="15" hidden="false" customHeight="false" outlineLevel="0" collapsed="false">
      <c r="A934" s="2" t="n">
        <v>46121</v>
      </c>
      <c r="B934" s="3" t="s">
        <v>58</v>
      </c>
      <c r="C934" s="3" t="s">
        <v>58</v>
      </c>
      <c r="D934" s="3" t="s">
        <v>76</v>
      </c>
      <c r="E934" s="3" t="s">
        <v>77</v>
      </c>
      <c r="F934" s="3" t="s">
        <v>34</v>
      </c>
      <c r="G934" s="3" t="n">
        <v>2</v>
      </c>
      <c r="H934" s="4" t="n">
        <v>49.99</v>
      </c>
      <c r="I934" s="4" t="n">
        <v>14</v>
      </c>
      <c r="J934" s="5" t="n">
        <v>0.55</v>
      </c>
      <c r="K934" s="4" t="n">
        <f aca="false">G934*H934*(1-J934)</f>
        <v>44.991</v>
      </c>
      <c r="L934" s="4" t="n">
        <f aca="false">G934*I934</f>
        <v>28</v>
      </c>
      <c r="M934" s="4" t="n">
        <f aca="false">K934-L934</f>
        <v>16.991</v>
      </c>
      <c r="N934" s="6" t="n">
        <f aca="false">IF(K934=0,0,M934/K934)</f>
        <v>0.377653308439466</v>
      </c>
      <c r="O934" s="4" t="n">
        <f aca="false">(G934*H934)-K934</f>
        <v>54.989</v>
      </c>
      <c r="P934" s="14" t="s">
        <v>97</v>
      </c>
    </row>
    <row r="935" customFormat="false" ht="15" hidden="false" customHeight="false" outlineLevel="0" collapsed="false">
      <c r="A935" s="7" t="n">
        <v>46031</v>
      </c>
      <c r="B935" s="8" t="s">
        <v>64</v>
      </c>
      <c r="C935" s="8" t="s">
        <v>65</v>
      </c>
      <c r="D935" s="8" t="s">
        <v>76</v>
      </c>
      <c r="E935" s="8" t="s">
        <v>77</v>
      </c>
      <c r="F935" s="8" t="s">
        <v>34</v>
      </c>
      <c r="G935" s="8" t="n">
        <v>9</v>
      </c>
      <c r="H935" s="9" t="n">
        <v>44.99</v>
      </c>
      <c r="I935" s="9" t="n">
        <v>14</v>
      </c>
      <c r="J935" s="10" t="n">
        <v>0.3</v>
      </c>
      <c r="K935" s="9" t="n">
        <f aca="false">G935*H935*(1-J935)</f>
        <v>283.437</v>
      </c>
      <c r="L935" s="9" t="n">
        <f aca="false">G935*I935</f>
        <v>126</v>
      </c>
      <c r="M935" s="9" t="n">
        <f aca="false">K935-L935</f>
        <v>157.437</v>
      </c>
      <c r="N935" s="11" t="n">
        <f aca="false">IF(K935=0,0,M935/K935)</f>
        <v>0.555456768170705</v>
      </c>
      <c r="O935" s="9" t="n">
        <f aca="false">(G935*H935)-K935</f>
        <v>121.473</v>
      </c>
      <c r="P935" s="8" t="s">
        <v>21</v>
      </c>
    </row>
    <row r="936" customFormat="false" ht="15" hidden="false" customHeight="false" outlineLevel="0" collapsed="false">
      <c r="A936" s="2" t="n">
        <v>46069</v>
      </c>
      <c r="B936" s="3" t="s">
        <v>41</v>
      </c>
      <c r="C936" s="3" t="s">
        <v>28</v>
      </c>
      <c r="D936" s="3" t="s">
        <v>84</v>
      </c>
      <c r="E936" s="3" t="s">
        <v>85</v>
      </c>
      <c r="F936" s="3" t="s">
        <v>20</v>
      </c>
      <c r="G936" s="3" t="n">
        <v>27</v>
      </c>
      <c r="H936" s="4" t="n">
        <v>34.99</v>
      </c>
      <c r="I936" s="4" t="n">
        <v>13</v>
      </c>
      <c r="J936" s="5" t="n">
        <v>0.15</v>
      </c>
      <c r="K936" s="4" t="n">
        <f aca="false">G936*H936*(1-J936)</f>
        <v>803.0205</v>
      </c>
      <c r="L936" s="4" t="n">
        <f aca="false">G936*I936</f>
        <v>351</v>
      </c>
      <c r="M936" s="4" t="n">
        <f aca="false">K936-L936</f>
        <v>452.0205</v>
      </c>
      <c r="N936" s="6" t="n">
        <f aca="false">IF(K936=0,0,M936/K936)</f>
        <v>0.562900324462451</v>
      </c>
      <c r="O936" s="4" t="n">
        <f aca="false">(G936*H936)-K936</f>
        <v>141.7095</v>
      </c>
      <c r="P936" s="3" t="s">
        <v>21</v>
      </c>
    </row>
    <row r="937" customFormat="false" ht="15" hidden="false" customHeight="false" outlineLevel="0" collapsed="false">
      <c r="A937" s="7" t="n">
        <v>46049</v>
      </c>
      <c r="B937" s="8" t="s">
        <v>16</v>
      </c>
      <c r="C937" s="8" t="s">
        <v>17</v>
      </c>
      <c r="D937" s="8" t="s">
        <v>59</v>
      </c>
      <c r="E937" s="8" t="s">
        <v>60</v>
      </c>
      <c r="F937" s="8" t="s">
        <v>50</v>
      </c>
      <c r="G937" s="8" t="n">
        <v>4</v>
      </c>
      <c r="H937" s="9" t="n">
        <v>24.99</v>
      </c>
      <c r="I937" s="9" t="n">
        <v>8.5</v>
      </c>
      <c r="J937" s="10" t="n">
        <v>0</v>
      </c>
      <c r="K937" s="9" t="n">
        <f aca="false">G937*H937*(1-J937)</f>
        <v>99.96</v>
      </c>
      <c r="L937" s="9" t="n">
        <f aca="false">G937*I937</f>
        <v>34</v>
      </c>
      <c r="M937" s="9" t="n">
        <f aca="false">K937-L937</f>
        <v>65.96</v>
      </c>
      <c r="N937" s="11" t="n">
        <f aca="false">IF(K937=0,0,M937/K937)</f>
        <v>0.659863945578231</v>
      </c>
      <c r="O937" s="9" t="n">
        <f aca="false">(G937*H937)-K937</f>
        <v>0</v>
      </c>
      <c r="P937" s="8" t="s">
        <v>21</v>
      </c>
    </row>
    <row r="938" customFormat="false" ht="15" hidden="false" customHeight="false" outlineLevel="0" collapsed="false">
      <c r="A938" s="2" t="n">
        <v>46109</v>
      </c>
      <c r="B938" s="3" t="s">
        <v>27</v>
      </c>
      <c r="C938" s="3" t="s">
        <v>28</v>
      </c>
      <c r="D938" s="3" t="s">
        <v>53</v>
      </c>
      <c r="E938" s="3" t="s">
        <v>54</v>
      </c>
      <c r="F938" s="3" t="s">
        <v>50</v>
      </c>
      <c r="G938" s="3" t="n">
        <v>20</v>
      </c>
      <c r="H938" s="4" t="n">
        <v>22.99</v>
      </c>
      <c r="I938" s="4" t="n">
        <v>8</v>
      </c>
      <c r="J938" s="5" t="n">
        <v>0.1</v>
      </c>
      <c r="K938" s="4" t="n">
        <f aca="false">G938*H938*(1-J938)</f>
        <v>413.82</v>
      </c>
      <c r="L938" s="4" t="n">
        <f aca="false">G938*I938</f>
        <v>160</v>
      </c>
      <c r="M938" s="4" t="n">
        <f aca="false">K938-L938</f>
        <v>253.82</v>
      </c>
      <c r="N938" s="6" t="n">
        <f aca="false">IF(K938=0,0,M938/K938)</f>
        <v>0.613358465033106</v>
      </c>
      <c r="O938" s="4" t="n">
        <f aca="false">(G938*H938)-K938</f>
        <v>45.98</v>
      </c>
      <c r="P938" s="3" t="s">
        <v>21</v>
      </c>
    </row>
    <row r="939" customFormat="false" ht="15" hidden="false" customHeight="false" outlineLevel="0" collapsed="false">
      <c r="A939" s="7" t="n">
        <v>46090</v>
      </c>
      <c r="B939" s="8" t="s">
        <v>22</v>
      </c>
      <c r="C939" s="8" t="s">
        <v>23</v>
      </c>
      <c r="D939" s="8" t="s">
        <v>66</v>
      </c>
      <c r="E939" s="8" t="s">
        <v>67</v>
      </c>
      <c r="F939" s="8" t="s">
        <v>57</v>
      </c>
      <c r="G939" s="8" t="n">
        <v>23</v>
      </c>
      <c r="H939" s="9" t="n">
        <v>14.99</v>
      </c>
      <c r="I939" s="9" t="n">
        <v>5.5</v>
      </c>
      <c r="J939" s="10" t="n">
        <v>0.2</v>
      </c>
      <c r="K939" s="9" t="n">
        <f aca="false">G939*H939*(1-J939)</f>
        <v>275.816</v>
      </c>
      <c r="L939" s="9" t="n">
        <f aca="false">G939*I939</f>
        <v>126.5</v>
      </c>
      <c r="M939" s="9" t="n">
        <f aca="false">K939-L939</f>
        <v>149.316</v>
      </c>
      <c r="N939" s="11" t="n">
        <f aca="false">IF(K939=0,0,M939/K939)</f>
        <v>0.541360907271514</v>
      </c>
      <c r="O939" s="9" t="n">
        <f aca="false">(G939*H939)-K939</f>
        <v>68.954</v>
      </c>
      <c r="P939" s="8" t="s">
        <v>21</v>
      </c>
    </row>
    <row r="940" customFormat="false" ht="15" hidden="false" customHeight="false" outlineLevel="0" collapsed="false">
      <c r="A940" s="2" t="n">
        <v>46051</v>
      </c>
      <c r="B940" s="3" t="s">
        <v>22</v>
      </c>
      <c r="C940" s="3" t="s">
        <v>23</v>
      </c>
      <c r="D940" s="3" t="s">
        <v>51</v>
      </c>
      <c r="E940" s="3" t="s">
        <v>52</v>
      </c>
      <c r="F940" s="3" t="s">
        <v>50</v>
      </c>
      <c r="G940" s="3" t="n">
        <v>28</v>
      </c>
      <c r="H940" s="4" t="n">
        <v>19.99</v>
      </c>
      <c r="I940" s="4" t="n">
        <v>7</v>
      </c>
      <c r="J940" s="5" t="n">
        <v>0.2</v>
      </c>
      <c r="K940" s="4" t="n">
        <f aca="false">G940*H940*(1-J940)</f>
        <v>447.776</v>
      </c>
      <c r="L940" s="4" t="n">
        <f aca="false">G940*I940</f>
        <v>196</v>
      </c>
      <c r="M940" s="4" t="n">
        <f aca="false">K940-L940</f>
        <v>251.776</v>
      </c>
      <c r="N940" s="6" t="n">
        <f aca="false">IF(K940=0,0,M940/K940)</f>
        <v>0.562281140570285</v>
      </c>
      <c r="O940" s="4" t="n">
        <f aca="false">(G940*H940)-K940</f>
        <v>111.944</v>
      </c>
      <c r="P940" s="3" t="s">
        <v>21</v>
      </c>
    </row>
    <row r="941" customFormat="false" ht="15" hidden="false" customHeight="false" outlineLevel="0" collapsed="false">
      <c r="A941" s="7" t="n">
        <v>46127</v>
      </c>
      <c r="B941" s="8" t="s">
        <v>16</v>
      </c>
      <c r="C941" s="8" t="s">
        <v>17</v>
      </c>
      <c r="D941" s="8" t="s">
        <v>76</v>
      </c>
      <c r="E941" s="8" t="s">
        <v>77</v>
      </c>
      <c r="F941" s="8" t="s">
        <v>34</v>
      </c>
      <c r="G941" s="8" t="n">
        <v>23</v>
      </c>
      <c r="H941" s="9" t="n">
        <v>49.99</v>
      </c>
      <c r="I941" s="9" t="n">
        <v>14</v>
      </c>
      <c r="J941" s="10" t="n">
        <v>0.3</v>
      </c>
      <c r="K941" s="9" t="n">
        <f aca="false">G941*H941*(1-J941)</f>
        <v>804.839</v>
      </c>
      <c r="L941" s="9" t="n">
        <f aca="false">G941*I941</f>
        <v>322</v>
      </c>
      <c r="M941" s="9" t="n">
        <f aca="false">K941-L941</f>
        <v>482.839</v>
      </c>
      <c r="N941" s="11" t="n">
        <f aca="false">IF(K941=0,0,M941/K941)</f>
        <v>0.599919983996799</v>
      </c>
      <c r="O941" s="9" t="n">
        <f aca="false">(G941*H941)-K941</f>
        <v>344.931</v>
      </c>
      <c r="P941" s="8" t="s">
        <v>21</v>
      </c>
    </row>
    <row r="942" customFormat="false" ht="15" hidden="false" customHeight="false" outlineLevel="0" collapsed="false">
      <c r="A942" s="2" t="n">
        <v>46046</v>
      </c>
      <c r="B942" s="3" t="s">
        <v>41</v>
      </c>
      <c r="C942" s="3" t="s">
        <v>28</v>
      </c>
      <c r="D942" s="3" t="s">
        <v>44</v>
      </c>
      <c r="E942" s="3" t="s">
        <v>45</v>
      </c>
      <c r="F942" s="3" t="s">
        <v>40</v>
      </c>
      <c r="G942" s="3" t="n">
        <v>15</v>
      </c>
      <c r="H942" s="4" t="n">
        <v>29.99</v>
      </c>
      <c r="I942" s="4" t="n">
        <v>11</v>
      </c>
      <c r="J942" s="5" t="n">
        <v>0.25</v>
      </c>
      <c r="K942" s="4" t="n">
        <f aca="false">G942*H942*(1-J942)</f>
        <v>337.3875</v>
      </c>
      <c r="L942" s="4" t="n">
        <f aca="false">G942*I942</f>
        <v>165</v>
      </c>
      <c r="M942" s="4" t="n">
        <f aca="false">K942-L942</f>
        <v>172.3875</v>
      </c>
      <c r="N942" s="6" t="n">
        <f aca="false">IF(K942=0,0,M942/K942)</f>
        <v>0.510948093809048</v>
      </c>
      <c r="O942" s="4" t="n">
        <f aca="false">(G942*H942)-K942</f>
        <v>112.4625</v>
      </c>
      <c r="P942" s="3" t="s">
        <v>21</v>
      </c>
    </row>
    <row r="943" customFormat="false" ht="15" hidden="false" customHeight="false" outlineLevel="0" collapsed="false">
      <c r="A943" s="7" t="n">
        <v>46116</v>
      </c>
      <c r="B943" s="8" t="s">
        <v>27</v>
      </c>
      <c r="C943" s="8" t="s">
        <v>28</v>
      </c>
      <c r="D943" s="8" t="s">
        <v>42</v>
      </c>
      <c r="E943" s="8" t="s">
        <v>43</v>
      </c>
      <c r="F943" s="8" t="s">
        <v>34</v>
      </c>
      <c r="G943" s="8" t="n">
        <v>15</v>
      </c>
      <c r="H943" s="9" t="n">
        <v>11.99</v>
      </c>
      <c r="I943" s="9" t="n">
        <v>3.5</v>
      </c>
      <c r="J943" s="10" t="n">
        <v>0</v>
      </c>
      <c r="K943" s="9" t="n">
        <f aca="false">G943*H943*(1-J943)</f>
        <v>179.85</v>
      </c>
      <c r="L943" s="9" t="n">
        <f aca="false">G943*I943</f>
        <v>52.5</v>
      </c>
      <c r="M943" s="9" t="n">
        <f aca="false">K943-L943</f>
        <v>127.35</v>
      </c>
      <c r="N943" s="11" t="n">
        <f aca="false">IF(K943=0,0,M943/K943)</f>
        <v>0.708090075062552</v>
      </c>
      <c r="O943" s="9" t="n">
        <f aca="false">(G943*H943)-K943</f>
        <v>0</v>
      </c>
      <c r="P943" s="8" t="s">
        <v>21</v>
      </c>
    </row>
    <row r="944" customFormat="false" ht="15" hidden="false" customHeight="false" outlineLevel="0" collapsed="false">
      <c r="A944" s="2" t="n">
        <v>46055</v>
      </c>
      <c r="B944" s="3" t="s">
        <v>16</v>
      </c>
      <c r="C944" s="3" t="s">
        <v>17</v>
      </c>
      <c r="D944" s="3" t="s">
        <v>18</v>
      </c>
      <c r="E944" s="3" t="s">
        <v>19</v>
      </c>
      <c r="F944" s="3" t="s">
        <v>20</v>
      </c>
      <c r="G944" s="3" t="n">
        <v>24</v>
      </c>
      <c r="H944" s="4" t="n">
        <v>24.99</v>
      </c>
      <c r="I944" s="4" t="n">
        <v>10.5</v>
      </c>
      <c r="J944" s="5" t="n">
        <v>0.1</v>
      </c>
      <c r="K944" s="4" t="n">
        <f aca="false">G944*H944*(1-J944)</f>
        <v>539.784</v>
      </c>
      <c r="L944" s="4" t="n">
        <f aca="false">G944*I944</f>
        <v>252</v>
      </c>
      <c r="M944" s="4" t="n">
        <f aca="false">K944-L944</f>
        <v>287.784</v>
      </c>
      <c r="N944" s="6" t="n">
        <f aca="false">IF(K944=0,0,M944/K944)</f>
        <v>0.533146591970121</v>
      </c>
      <c r="O944" s="4" t="n">
        <f aca="false">(G944*H944)-K944</f>
        <v>59.976</v>
      </c>
      <c r="P944" s="3" t="s">
        <v>21</v>
      </c>
    </row>
    <row r="945" customFormat="false" ht="15" hidden="false" customHeight="false" outlineLevel="0" collapsed="false">
      <c r="A945" s="7" t="n">
        <v>46055</v>
      </c>
      <c r="B945" s="8" t="s">
        <v>27</v>
      </c>
      <c r="C945" s="8" t="s">
        <v>28</v>
      </c>
      <c r="D945" s="8" t="s">
        <v>53</v>
      </c>
      <c r="E945" s="8" t="s">
        <v>54</v>
      </c>
      <c r="F945" s="8" t="s">
        <v>50</v>
      </c>
      <c r="G945" s="8" t="n">
        <v>22</v>
      </c>
      <c r="H945" s="9" t="n">
        <v>22.99</v>
      </c>
      <c r="I945" s="9" t="n">
        <v>8</v>
      </c>
      <c r="J945" s="10" t="n">
        <v>0</v>
      </c>
      <c r="K945" s="9" t="n">
        <f aca="false">G945*H945*(1-J945)</f>
        <v>505.78</v>
      </c>
      <c r="L945" s="9" t="n">
        <f aca="false">G945*I945</f>
        <v>176</v>
      </c>
      <c r="M945" s="9" t="n">
        <f aca="false">K945-L945</f>
        <v>329.78</v>
      </c>
      <c r="N945" s="11" t="n">
        <f aca="false">IF(K945=0,0,M945/K945)</f>
        <v>0.652022618529796</v>
      </c>
      <c r="O945" s="9" t="n">
        <f aca="false">(G945*H945)-K945</f>
        <v>0</v>
      </c>
      <c r="P945" s="8" t="s">
        <v>21</v>
      </c>
    </row>
    <row r="946" customFormat="false" ht="15" hidden="false" customHeight="false" outlineLevel="0" collapsed="false">
      <c r="A946" s="2" t="n">
        <v>46051</v>
      </c>
      <c r="B946" s="3" t="s">
        <v>64</v>
      </c>
      <c r="C946" s="3" t="s">
        <v>65</v>
      </c>
      <c r="D946" s="3" t="s">
        <v>53</v>
      </c>
      <c r="E946" s="3" t="s">
        <v>54</v>
      </c>
      <c r="F946" s="3" t="s">
        <v>50</v>
      </c>
      <c r="G946" s="3" t="n">
        <v>30</v>
      </c>
      <c r="H946" s="4" t="n">
        <v>22.99</v>
      </c>
      <c r="I946" s="4" t="n">
        <v>8</v>
      </c>
      <c r="J946" s="5" t="n">
        <v>0.15</v>
      </c>
      <c r="K946" s="4" t="n">
        <f aca="false">G946*H946*(1-J946)</f>
        <v>586.245</v>
      </c>
      <c r="L946" s="4" t="n">
        <f aca="false">G946*I946</f>
        <v>240</v>
      </c>
      <c r="M946" s="4" t="n">
        <f aca="false">K946-L946</f>
        <v>346.245</v>
      </c>
      <c r="N946" s="6" t="n">
        <f aca="false">IF(K946=0,0,M946/K946)</f>
        <v>0.590614845329171</v>
      </c>
      <c r="O946" s="4" t="n">
        <f aca="false">(G946*H946)-K946</f>
        <v>103.455</v>
      </c>
      <c r="P946" s="3" t="s">
        <v>21</v>
      </c>
    </row>
    <row r="947" customFormat="false" ht="15" hidden="false" customHeight="false" outlineLevel="0" collapsed="false">
      <c r="A947" s="7" t="n">
        <v>46130</v>
      </c>
      <c r="B947" s="8" t="s">
        <v>31</v>
      </c>
      <c r="C947" s="8" t="s">
        <v>23</v>
      </c>
      <c r="D947" s="8" t="s">
        <v>48</v>
      </c>
      <c r="E947" s="8" t="s">
        <v>49</v>
      </c>
      <c r="F947" s="8" t="s">
        <v>50</v>
      </c>
      <c r="G947" s="8" t="n">
        <v>1</v>
      </c>
      <c r="H947" s="9" t="n">
        <v>59.99</v>
      </c>
      <c r="I947" s="9" t="n">
        <v>20</v>
      </c>
      <c r="J947" s="10" t="n">
        <v>0.3</v>
      </c>
      <c r="K947" s="9" t="n">
        <f aca="false">G947*H947*(1-J947)</f>
        <v>41.993</v>
      </c>
      <c r="L947" s="9" t="n">
        <f aca="false">G947*I947</f>
        <v>20</v>
      </c>
      <c r="M947" s="9" t="n">
        <f aca="false">K947-L947</f>
        <v>21.993</v>
      </c>
      <c r="N947" s="11" t="n">
        <f aca="false">IF(K947=0,0,M947/K947)</f>
        <v>0.523730145500441</v>
      </c>
      <c r="O947" s="9" t="n">
        <f aca="false">(G947*H947)-K947</f>
        <v>17.997</v>
      </c>
      <c r="P947" s="8" t="s">
        <v>21</v>
      </c>
    </row>
    <row r="948" customFormat="false" ht="15" hidden="false" customHeight="false" outlineLevel="0" collapsed="false">
      <c r="A948" s="2" t="n">
        <v>46041</v>
      </c>
      <c r="B948" s="3" t="s">
        <v>16</v>
      </c>
      <c r="C948" s="3" t="s">
        <v>17</v>
      </c>
      <c r="D948" s="3" t="s">
        <v>29</v>
      </c>
      <c r="E948" s="3" t="s">
        <v>30</v>
      </c>
      <c r="F948" s="3" t="s">
        <v>20</v>
      </c>
      <c r="G948" s="3" t="n">
        <v>8</v>
      </c>
      <c r="H948" s="4" t="n">
        <v>89.99</v>
      </c>
      <c r="I948" s="4" t="n">
        <v>42</v>
      </c>
      <c r="J948" s="5" t="n">
        <v>0.25</v>
      </c>
      <c r="K948" s="4" t="n">
        <f aca="false">G948*H948*(1-J948)</f>
        <v>539.94</v>
      </c>
      <c r="L948" s="4" t="n">
        <f aca="false">G948*I948</f>
        <v>336</v>
      </c>
      <c r="M948" s="4" t="n">
        <f aca="false">K948-L948</f>
        <v>203.94</v>
      </c>
      <c r="N948" s="6" t="n">
        <f aca="false">IF(K948=0,0,M948/K948)</f>
        <v>0.377708634292699</v>
      </c>
      <c r="O948" s="4" t="n">
        <f aca="false">(G948*H948)-K948</f>
        <v>179.98</v>
      </c>
      <c r="P948" s="3" t="s">
        <v>21</v>
      </c>
    </row>
    <row r="949" customFormat="false" ht="15" hidden="false" customHeight="false" outlineLevel="0" collapsed="false">
      <c r="A949" s="7" t="n">
        <v>46082</v>
      </c>
      <c r="B949" s="8" t="s">
        <v>27</v>
      </c>
      <c r="C949" s="8" t="s">
        <v>28</v>
      </c>
      <c r="D949" s="8" t="s">
        <v>76</v>
      </c>
      <c r="E949" s="8" t="s">
        <v>77</v>
      </c>
      <c r="F949" s="8" t="s">
        <v>34</v>
      </c>
      <c r="G949" s="8" t="n">
        <v>17</v>
      </c>
      <c r="H949" s="9" t="n">
        <v>49.99</v>
      </c>
      <c r="I949" s="9" t="n">
        <v>14</v>
      </c>
      <c r="J949" s="10" t="n">
        <v>0.25</v>
      </c>
      <c r="K949" s="9" t="n">
        <f aca="false">G949*H949*(1-J949)</f>
        <v>637.3725</v>
      </c>
      <c r="L949" s="9" t="n">
        <f aca="false">G949*I949</f>
        <v>238</v>
      </c>
      <c r="M949" s="9" t="n">
        <f aca="false">K949-L949</f>
        <v>399.3725</v>
      </c>
      <c r="N949" s="11" t="n">
        <f aca="false">IF(K949=0,0,M949/K949)</f>
        <v>0.626591985063679</v>
      </c>
      <c r="O949" s="9" t="n">
        <f aca="false">(G949*H949)-K949</f>
        <v>212.4575</v>
      </c>
      <c r="P949" s="8" t="s">
        <v>21</v>
      </c>
    </row>
    <row r="950" customFormat="false" ht="15" hidden="false" customHeight="false" outlineLevel="0" collapsed="false">
      <c r="A950" s="2" t="n">
        <v>46075</v>
      </c>
      <c r="B950" s="3" t="s">
        <v>37</v>
      </c>
      <c r="C950" s="3" t="s">
        <v>17</v>
      </c>
      <c r="D950" s="3" t="s">
        <v>72</v>
      </c>
      <c r="E950" s="3" t="s">
        <v>73</v>
      </c>
      <c r="F950" s="3" t="s">
        <v>57</v>
      </c>
      <c r="G950" s="3" t="n">
        <v>2</v>
      </c>
      <c r="H950" s="4" t="n">
        <v>19.99</v>
      </c>
      <c r="I950" s="4" t="n">
        <v>7</v>
      </c>
      <c r="J950" s="5" t="n">
        <v>0.1</v>
      </c>
      <c r="K950" s="4" t="n">
        <f aca="false">G950*H950*(1-J950)</f>
        <v>35.982</v>
      </c>
      <c r="L950" s="4" t="n">
        <f aca="false">G950*I950</f>
        <v>14</v>
      </c>
      <c r="M950" s="4" t="n">
        <f aca="false">K950-L950</f>
        <v>21.982</v>
      </c>
      <c r="N950" s="6" t="n">
        <f aca="false">IF(K950=0,0,M950/K950)</f>
        <v>0.610916569395809</v>
      </c>
      <c r="O950" s="4" t="n">
        <f aca="false">(G950*H950)-K950</f>
        <v>3.998</v>
      </c>
      <c r="P950" s="3" t="s">
        <v>21</v>
      </c>
    </row>
    <row r="951" customFormat="false" ht="15" hidden="false" customHeight="false" outlineLevel="0" collapsed="false">
      <c r="A951" s="7" t="n">
        <v>46095</v>
      </c>
      <c r="B951" s="8" t="s">
        <v>31</v>
      </c>
      <c r="C951" s="8" t="s">
        <v>23</v>
      </c>
      <c r="D951" s="8" t="s">
        <v>84</v>
      </c>
      <c r="E951" s="8" t="s">
        <v>85</v>
      </c>
      <c r="F951" s="8" t="s">
        <v>20</v>
      </c>
      <c r="G951" s="8" t="n">
        <v>21</v>
      </c>
      <c r="H951" s="9" t="n">
        <v>34.99</v>
      </c>
      <c r="I951" s="9" t="n">
        <v>13</v>
      </c>
      <c r="J951" s="10" t="n">
        <v>0.1</v>
      </c>
      <c r="K951" s="9" t="n">
        <f aca="false">G951*H951*(1-J951)</f>
        <v>661.311</v>
      </c>
      <c r="L951" s="9" t="n">
        <f aca="false">G951*I951</f>
        <v>273</v>
      </c>
      <c r="M951" s="9" t="n">
        <f aca="false">K951-L951</f>
        <v>388.311</v>
      </c>
      <c r="N951" s="11" t="n">
        <f aca="false">IF(K951=0,0,M951/K951)</f>
        <v>0.587183639770093</v>
      </c>
      <c r="O951" s="9" t="n">
        <f aca="false">(G951*H951)-K951</f>
        <v>73.479</v>
      </c>
      <c r="P951" s="8" t="s">
        <v>21</v>
      </c>
    </row>
    <row r="952" customFormat="false" ht="15" hidden="false" customHeight="false" outlineLevel="0" collapsed="false">
      <c r="A952" s="2" t="n">
        <v>46041</v>
      </c>
      <c r="B952" s="3" t="s">
        <v>31</v>
      </c>
      <c r="C952" s="3" t="s">
        <v>23</v>
      </c>
      <c r="D952" s="3" t="s">
        <v>78</v>
      </c>
      <c r="E952" s="3" t="s">
        <v>79</v>
      </c>
      <c r="F952" s="3" t="s">
        <v>20</v>
      </c>
      <c r="G952" s="3" t="n">
        <v>8</v>
      </c>
      <c r="H952" s="4" t="n">
        <v>39.99</v>
      </c>
      <c r="I952" s="4" t="n">
        <v>16</v>
      </c>
      <c r="J952" s="5" t="n">
        <v>0.15</v>
      </c>
      <c r="K952" s="4" t="n">
        <f aca="false">G952*H952*(1-J952)</f>
        <v>271.932</v>
      </c>
      <c r="L952" s="4" t="n">
        <f aca="false">G952*I952</f>
        <v>128</v>
      </c>
      <c r="M952" s="4" t="n">
        <f aca="false">K952-L952</f>
        <v>143.932</v>
      </c>
      <c r="N952" s="6" t="n">
        <f aca="false">IF(K952=0,0,M952/K952)</f>
        <v>0.529294088227939</v>
      </c>
      <c r="O952" s="4" t="n">
        <f aca="false">(G952*H952)-K952</f>
        <v>47.988</v>
      </c>
      <c r="P952" s="3" t="s">
        <v>21</v>
      </c>
    </row>
    <row r="953" customFormat="false" ht="15" hidden="false" customHeight="false" outlineLevel="0" collapsed="false">
      <c r="A953" s="7" t="n">
        <v>46116</v>
      </c>
      <c r="B953" s="8" t="s">
        <v>27</v>
      </c>
      <c r="C953" s="8" t="s">
        <v>28</v>
      </c>
      <c r="D953" s="8" t="s">
        <v>42</v>
      </c>
      <c r="E953" s="8" t="s">
        <v>43</v>
      </c>
      <c r="F953" s="8" t="s">
        <v>34</v>
      </c>
      <c r="G953" s="8" t="n">
        <v>11</v>
      </c>
      <c r="H953" s="9" t="n">
        <v>11.99</v>
      </c>
      <c r="I953" s="9" t="n">
        <v>3.5</v>
      </c>
      <c r="J953" s="10" t="n">
        <v>0</v>
      </c>
      <c r="K953" s="9" t="n">
        <f aca="false">G953*H953*(1-J953)</f>
        <v>131.89</v>
      </c>
      <c r="L953" s="9" t="n">
        <f aca="false">G953*I953</f>
        <v>38.5</v>
      </c>
      <c r="M953" s="9" t="n">
        <f aca="false">K953-L953</f>
        <v>93.39</v>
      </c>
      <c r="N953" s="11" t="n">
        <f aca="false">IF(K953=0,0,M953/K953)</f>
        <v>0.708090075062552</v>
      </c>
      <c r="O953" s="9" t="n">
        <f aca="false">(G953*H953)-K953</f>
        <v>0</v>
      </c>
      <c r="P953" s="8" t="s">
        <v>21</v>
      </c>
    </row>
    <row r="954" customFormat="false" ht="15" hidden="false" customHeight="false" outlineLevel="0" collapsed="false">
      <c r="A954" s="2" t="n">
        <v>46123</v>
      </c>
      <c r="B954" s="3" t="s">
        <v>37</v>
      </c>
      <c r="C954" s="3" t="s">
        <v>17</v>
      </c>
      <c r="D954" s="3" t="s">
        <v>44</v>
      </c>
      <c r="E954" s="3" t="s">
        <v>45</v>
      </c>
      <c r="F954" s="3" t="s">
        <v>40</v>
      </c>
      <c r="G954" s="3" t="n">
        <v>7</v>
      </c>
      <c r="H954" s="4" t="n">
        <v>29.99</v>
      </c>
      <c r="I954" s="4" t="n">
        <v>11</v>
      </c>
      <c r="J954" s="5" t="n">
        <v>0</v>
      </c>
      <c r="K954" s="4" t="n">
        <f aca="false">G954*H954*(1-J954)</f>
        <v>209.93</v>
      </c>
      <c r="L954" s="4" t="n">
        <f aca="false">G954*I954</f>
        <v>77</v>
      </c>
      <c r="M954" s="4" t="n">
        <f aca="false">K954-L954</f>
        <v>132.93</v>
      </c>
      <c r="N954" s="6" t="n">
        <f aca="false">IF(K954=0,0,M954/K954)</f>
        <v>0.633211070356786</v>
      </c>
      <c r="O954" s="4" t="n">
        <f aca="false">(G954*H954)-K954</f>
        <v>0</v>
      </c>
      <c r="P954" s="3" t="s">
        <v>21</v>
      </c>
    </row>
    <row r="955" customFormat="false" ht="15" hidden="false" customHeight="false" outlineLevel="0" collapsed="false">
      <c r="A955" s="7" t="n">
        <v>46087</v>
      </c>
      <c r="B955" s="8" t="s">
        <v>41</v>
      </c>
      <c r="C955" s="8" t="s">
        <v>28</v>
      </c>
      <c r="D955" s="8" t="s">
        <v>32</v>
      </c>
      <c r="E955" s="8" t="s">
        <v>33</v>
      </c>
      <c r="F955" s="8" t="s">
        <v>34</v>
      </c>
      <c r="G955" s="8" t="n">
        <v>23</v>
      </c>
      <c r="H955" s="9" t="n">
        <v>18.99</v>
      </c>
      <c r="I955" s="9" t="n">
        <v>6</v>
      </c>
      <c r="J955" s="10" t="n">
        <v>0.05</v>
      </c>
      <c r="K955" s="9" t="n">
        <f aca="false">G955*H955*(1-J955)</f>
        <v>414.9315</v>
      </c>
      <c r="L955" s="9" t="n">
        <f aca="false">G955*I955</f>
        <v>138</v>
      </c>
      <c r="M955" s="9" t="n">
        <f aca="false">K955-L955</f>
        <v>276.9315</v>
      </c>
      <c r="N955" s="11" t="n">
        <f aca="false">IF(K955=0,0,M955/K955)</f>
        <v>0.667414982955018</v>
      </c>
      <c r="O955" s="9" t="n">
        <f aca="false">(G955*H955)-K955</f>
        <v>21.8385</v>
      </c>
      <c r="P955" s="8" t="s">
        <v>21</v>
      </c>
    </row>
    <row r="956" customFormat="false" ht="15" hidden="false" customHeight="false" outlineLevel="0" collapsed="false">
      <c r="A956" s="2" t="n">
        <v>46027</v>
      </c>
      <c r="B956" s="3" t="s">
        <v>16</v>
      </c>
      <c r="C956" s="3" t="s">
        <v>17</v>
      </c>
      <c r="D956" s="3" t="s">
        <v>76</v>
      </c>
      <c r="E956" s="3" t="s">
        <v>77</v>
      </c>
      <c r="F956" s="3" t="s">
        <v>34</v>
      </c>
      <c r="G956" s="3" t="n">
        <v>15</v>
      </c>
      <c r="H956" s="4" t="n">
        <v>44.99</v>
      </c>
      <c r="I956" s="4" t="n">
        <v>14</v>
      </c>
      <c r="J956" s="5" t="n">
        <v>0.1</v>
      </c>
      <c r="K956" s="4" t="n">
        <f aca="false">G956*H956*(1-J956)</f>
        <v>607.365</v>
      </c>
      <c r="L956" s="4" t="n">
        <f aca="false">G956*I956</f>
        <v>210</v>
      </c>
      <c r="M956" s="4" t="n">
        <f aca="false">K956-L956</f>
        <v>397.365</v>
      </c>
      <c r="N956" s="6" t="n">
        <f aca="false">IF(K956=0,0,M956/K956)</f>
        <v>0.654244153021659</v>
      </c>
      <c r="O956" s="4" t="n">
        <f aca="false">(G956*H956)-K956</f>
        <v>67.485</v>
      </c>
      <c r="P956" s="3" t="s">
        <v>21</v>
      </c>
    </row>
    <row r="957" customFormat="false" ht="15" hidden="false" customHeight="false" outlineLevel="0" collapsed="false">
      <c r="A957" s="7" t="n">
        <v>46035</v>
      </c>
      <c r="B957" s="8" t="s">
        <v>22</v>
      </c>
      <c r="C957" s="8" t="s">
        <v>23</v>
      </c>
      <c r="D957" s="8" t="s">
        <v>76</v>
      </c>
      <c r="E957" s="8" t="s">
        <v>77</v>
      </c>
      <c r="F957" s="8" t="s">
        <v>34</v>
      </c>
      <c r="G957" s="8" t="n">
        <v>12</v>
      </c>
      <c r="H957" s="9" t="n">
        <v>44.99</v>
      </c>
      <c r="I957" s="9" t="n">
        <v>14</v>
      </c>
      <c r="J957" s="10" t="n">
        <v>0.2</v>
      </c>
      <c r="K957" s="9" t="n">
        <f aca="false">G957*H957*(1-J957)</f>
        <v>431.904</v>
      </c>
      <c r="L957" s="9" t="n">
        <f aca="false">G957*I957</f>
        <v>168</v>
      </c>
      <c r="M957" s="9" t="n">
        <f aca="false">K957-L957</f>
        <v>263.904</v>
      </c>
      <c r="N957" s="11" t="n">
        <f aca="false">IF(K957=0,0,M957/K957)</f>
        <v>0.611024672149367</v>
      </c>
      <c r="O957" s="9" t="n">
        <f aca="false">(G957*H957)-K957</f>
        <v>107.976</v>
      </c>
      <c r="P957" s="8" t="s">
        <v>21</v>
      </c>
    </row>
    <row r="958" customFormat="false" ht="15" hidden="false" customHeight="false" outlineLevel="0" collapsed="false">
      <c r="A958" s="2" t="n">
        <v>46076</v>
      </c>
      <c r="B958" s="3" t="s">
        <v>41</v>
      </c>
      <c r="C958" s="3" t="s">
        <v>28</v>
      </c>
      <c r="D958" s="3" t="s">
        <v>72</v>
      </c>
      <c r="E958" s="3" t="s">
        <v>73</v>
      </c>
      <c r="F958" s="3" t="s">
        <v>57</v>
      </c>
      <c r="G958" s="3" t="n">
        <v>2</v>
      </c>
      <c r="H958" s="4" t="n">
        <v>19.99</v>
      </c>
      <c r="I958" s="4" t="n">
        <v>7</v>
      </c>
      <c r="J958" s="5" t="n">
        <v>0</v>
      </c>
      <c r="K958" s="4" t="n">
        <f aca="false">G958*H958*(1-J958)</f>
        <v>39.98</v>
      </c>
      <c r="L958" s="4" t="n">
        <f aca="false">G958*I958</f>
        <v>14</v>
      </c>
      <c r="M958" s="4" t="n">
        <f aca="false">K958-L958</f>
        <v>25.98</v>
      </c>
      <c r="N958" s="6" t="n">
        <f aca="false">IF(K958=0,0,M958/K958)</f>
        <v>0.649824912456228</v>
      </c>
      <c r="O958" s="4" t="n">
        <f aca="false">(G958*H958)-K958</f>
        <v>0</v>
      </c>
      <c r="P958" s="3" t="s">
        <v>21</v>
      </c>
    </row>
    <row r="959" customFormat="false" ht="15" hidden="false" customHeight="false" outlineLevel="0" collapsed="false">
      <c r="A959" s="7" t="n">
        <v>46070</v>
      </c>
      <c r="B959" s="8" t="s">
        <v>16</v>
      </c>
      <c r="C959" s="8" t="s">
        <v>17</v>
      </c>
      <c r="D959" s="8" t="s">
        <v>88</v>
      </c>
      <c r="E959" s="8" t="s">
        <v>89</v>
      </c>
      <c r="F959" s="8" t="s">
        <v>57</v>
      </c>
      <c r="G959" s="8" t="n">
        <v>9</v>
      </c>
      <c r="H959" s="9" t="n">
        <v>2.88</v>
      </c>
      <c r="I959" s="9" t="n">
        <v>4.5</v>
      </c>
      <c r="J959" s="10" t="n">
        <v>0</v>
      </c>
      <c r="K959" s="9" t="n">
        <f aca="false">G959*H959*(1-J959)</f>
        <v>25.92</v>
      </c>
      <c r="L959" s="9" t="n">
        <f aca="false">G959*I959</f>
        <v>40.5</v>
      </c>
      <c r="M959" s="9" t="n">
        <f aca="false">K959-L959</f>
        <v>-14.58</v>
      </c>
      <c r="N959" s="11" t="n">
        <f aca="false">IF(K959=0,0,M959/K959)</f>
        <v>-0.5625</v>
      </c>
      <c r="O959" s="9" t="n">
        <f aca="false">(G959*H959)-K959</f>
        <v>0</v>
      </c>
      <c r="P959" s="15" t="s">
        <v>98</v>
      </c>
    </row>
    <row r="960" customFormat="false" ht="15" hidden="false" customHeight="false" outlineLevel="0" collapsed="false">
      <c r="A960" s="2" t="n">
        <v>46130</v>
      </c>
      <c r="B960" s="3" t="s">
        <v>64</v>
      </c>
      <c r="C960" s="3" t="s">
        <v>65</v>
      </c>
      <c r="D960" s="3" t="s">
        <v>74</v>
      </c>
      <c r="E960" s="3" t="s">
        <v>75</v>
      </c>
      <c r="F960" s="3" t="s">
        <v>40</v>
      </c>
      <c r="G960" s="3" t="n">
        <v>16</v>
      </c>
      <c r="H960" s="4" t="n">
        <v>29.99</v>
      </c>
      <c r="I960" s="4" t="n">
        <v>13</v>
      </c>
      <c r="J960" s="5" t="n">
        <v>0</v>
      </c>
      <c r="K960" s="4" t="n">
        <f aca="false">G960*H960*(1-J960)</f>
        <v>479.84</v>
      </c>
      <c r="L960" s="4" t="n">
        <f aca="false">G960*I960</f>
        <v>208</v>
      </c>
      <c r="M960" s="4" t="n">
        <f aca="false">K960-L960</f>
        <v>271.84</v>
      </c>
      <c r="N960" s="6" t="n">
        <f aca="false">IF(K960=0,0,M960/K960)</f>
        <v>0.566522174058019</v>
      </c>
      <c r="O960" s="4" t="n">
        <f aca="false">(G960*H960)-K960</f>
        <v>0</v>
      </c>
      <c r="P960" s="3" t="s">
        <v>21</v>
      </c>
    </row>
    <row r="961" customFormat="false" ht="15" hidden="false" customHeight="false" outlineLevel="0" collapsed="false">
      <c r="A961" s="7" t="n">
        <v>46085</v>
      </c>
      <c r="B961" s="8" t="s">
        <v>41</v>
      </c>
      <c r="C961" s="8" t="s">
        <v>28</v>
      </c>
      <c r="D961" s="8" t="s">
        <v>51</v>
      </c>
      <c r="E961" s="8" t="s">
        <v>52</v>
      </c>
      <c r="F961" s="8" t="s">
        <v>50</v>
      </c>
      <c r="G961" s="8" t="n">
        <v>5</v>
      </c>
      <c r="H961" s="9" t="n">
        <v>19.99</v>
      </c>
      <c r="I961" s="9" t="n">
        <v>7</v>
      </c>
      <c r="J961" s="10" t="n">
        <v>0.3</v>
      </c>
      <c r="K961" s="9" t="n">
        <f aca="false">G961*H961*(1-J961)</f>
        <v>69.965</v>
      </c>
      <c r="L961" s="9" t="n">
        <f aca="false">G961*I961</f>
        <v>35</v>
      </c>
      <c r="M961" s="9" t="n">
        <f aca="false">K961-L961</f>
        <v>34.965</v>
      </c>
      <c r="N961" s="11" t="n">
        <f aca="false">IF(K961=0,0,M961/K961)</f>
        <v>0.499749874937469</v>
      </c>
      <c r="O961" s="9" t="n">
        <f aca="false">(G961*H961)-K961</f>
        <v>29.985</v>
      </c>
      <c r="P961" s="8" t="s">
        <v>21</v>
      </c>
    </row>
    <row r="962" customFormat="false" ht="15" hidden="false" customHeight="false" outlineLevel="0" collapsed="false">
      <c r="A962" s="2" t="n">
        <v>46104</v>
      </c>
      <c r="B962" s="3" t="s">
        <v>27</v>
      </c>
      <c r="C962" s="3" t="s">
        <v>28</v>
      </c>
      <c r="D962" s="3" t="s">
        <v>82</v>
      </c>
      <c r="E962" s="3" t="s">
        <v>83</v>
      </c>
      <c r="F962" s="3" t="s">
        <v>26</v>
      </c>
      <c r="G962" s="3" t="n">
        <v>9</v>
      </c>
      <c r="H962" s="4" t="n">
        <v>44.99</v>
      </c>
      <c r="I962" s="4" t="n">
        <v>18</v>
      </c>
      <c r="J962" s="5" t="n">
        <v>0.3</v>
      </c>
      <c r="K962" s="4" t="n">
        <f aca="false">G962*H962*(1-J962)</f>
        <v>283.437</v>
      </c>
      <c r="L962" s="4" t="n">
        <f aca="false">G962*I962</f>
        <v>162</v>
      </c>
      <c r="M962" s="4" t="n">
        <f aca="false">K962-L962</f>
        <v>121.437</v>
      </c>
      <c r="N962" s="6" t="n">
        <f aca="false">IF(K962=0,0,M962/K962)</f>
        <v>0.428444416219477</v>
      </c>
      <c r="O962" s="4" t="n">
        <f aca="false">(G962*H962)-K962</f>
        <v>121.473</v>
      </c>
      <c r="P962" s="3" t="s">
        <v>21</v>
      </c>
    </row>
    <row r="963" customFormat="false" ht="15" hidden="false" customHeight="false" outlineLevel="0" collapsed="false">
      <c r="A963" s="7" t="n">
        <v>46106</v>
      </c>
      <c r="B963" s="8" t="s">
        <v>64</v>
      </c>
      <c r="C963" s="8" t="s">
        <v>65</v>
      </c>
      <c r="D963" s="8" t="s">
        <v>70</v>
      </c>
      <c r="E963" s="8" t="s">
        <v>71</v>
      </c>
      <c r="F963" s="8" t="s">
        <v>20</v>
      </c>
      <c r="G963" s="8" t="n">
        <v>20</v>
      </c>
      <c r="H963" s="9" t="n">
        <v>49.99</v>
      </c>
      <c r="I963" s="9" t="n">
        <v>19</v>
      </c>
      <c r="J963" s="10" t="n">
        <v>0</v>
      </c>
      <c r="K963" s="9" t="n">
        <f aca="false">G963*H963*(1-J963)</f>
        <v>999.8</v>
      </c>
      <c r="L963" s="9" t="n">
        <f aca="false">G963*I963</f>
        <v>380</v>
      </c>
      <c r="M963" s="9" t="n">
        <f aca="false">K963-L963</f>
        <v>619.8</v>
      </c>
      <c r="N963" s="11" t="n">
        <f aca="false">IF(K963=0,0,M963/K963)</f>
        <v>0.619923984796959</v>
      </c>
      <c r="O963" s="9" t="n">
        <f aca="false">(G963*H963)-K963</f>
        <v>0</v>
      </c>
      <c r="P963" s="8" t="s">
        <v>21</v>
      </c>
    </row>
    <row r="964" customFormat="false" ht="15" hidden="false" customHeight="false" outlineLevel="0" collapsed="false">
      <c r="A964" s="2" t="n">
        <v>46126</v>
      </c>
      <c r="B964" s="3" t="s">
        <v>58</v>
      </c>
      <c r="C964" s="3" t="s">
        <v>58</v>
      </c>
      <c r="D964" s="3" t="s">
        <v>76</v>
      </c>
      <c r="E964" s="3" t="s">
        <v>77</v>
      </c>
      <c r="F964" s="3" t="s">
        <v>34</v>
      </c>
      <c r="G964" s="3" t="n">
        <v>28</v>
      </c>
      <c r="H964" s="4" t="n">
        <v>49.99</v>
      </c>
      <c r="I964" s="4" t="n">
        <v>14</v>
      </c>
      <c r="J964" s="5" t="n">
        <v>0.2</v>
      </c>
      <c r="K964" s="4" t="n">
        <f aca="false">G964*H964*(1-J964)</f>
        <v>1119.776</v>
      </c>
      <c r="L964" s="4" t="n">
        <f aca="false">G964*I964</f>
        <v>392</v>
      </c>
      <c r="M964" s="4" t="n">
        <f aca="false">K964-L964</f>
        <v>727.776</v>
      </c>
      <c r="N964" s="6" t="n">
        <f aca="false">IF(K964=0,0,M964/K964)</f>
        <v>0.649929985997199</v>
      </c>
      <c r="O964" s="4" t="n">
        <f aca="false">(G964*H964)-K964</f>
        <v>279.944</v>
      </c>
      <c r="P964" s="3" t="s">
        <v>21</v>
      </c>
    </row>
    <row r="965" customFormat="false" ht="15" hidden="false" customHeight="false" outlineLevel="0" collapsed="false">
      <c r="A965" s="7" t="n">
        <v>46109</v>
      </c>
      <c r="B965" s="8" t="s">
        <v>64</v>
      </c>
      <c r="C965" s="8" t="s">
        <v>65</v>
      </c>
      <c r="D965" s="8" t="s">
        <v>90</v>
      </c>
      <c r="E965" s="8" t="s">
        <v>91</v>
      </c>
      <c r="F965" s="8" t="s">
        <v>26</v>
      </c>
      <c r="G965" s="8" t="n">
        <v>9</v>
      </c>
      <c r="H965" s="9" t="n">
        <v>24.99</v>
      </c>
      <c r="I965" s="9" t="n">
        <v>11</v>
      </c>
      <c r="J965" s="10" t="n">
        <v>0.3</v>
      </c>
      <c r="K965" s="9" t="n">
        <f aca="false">G965*H965*(1-J965)</f>
        <v>157.437</v>
      </c>
      <c r="L965" s="9" t="n">
        <f aca="false">G965*I965</f>
        <v>99</v>
      </c>
      <c r="M965" s="9" t="n">
        <f aca="false">K965-L965</f>
        <v>58.437</v>
      </c>
      <c r="N965" s="11" t="n">
        <f aca="false">IF(K965=0,0,M965/K965)</f>
        <v>0.37117704224547</v>
      </c>
      <c r="O965" s="9" t="n">
        <f aca="false">(G965*H965)-K965</f>
        <v>67.473</v>
      </c>
      <c r="P965" s="8" t="s">
        <v>21</v>
      </c>
    </row>
    <row r="966" customFormat="false" ht="15" hidden="false" customHeight="false" outlineLevel="0" collapsed="false">
      <c r="A966" s="2" t="n">
        <v>46066</v>
      </c>
      <c r="B966" s="3" t="s">
        <v>64</v>
      </c>
      <c r="C966" s="3" t="s">
        <v>65</v>
      </c>
      <c r="D966" s="3" t="s">
        <v>32</v>
      </c>
      <c r="E966" s="3" t="s">
        <v>33</v>
      </c>
      <c r="F966" s="3" t="s">
        <v>34</v>
      </c>
      <c r="G966" s="3" t="n">
        <v>3</v>
      </c>
      <c r="H966" s="4" t="n">
        <v>18.99</v>
      </c>
      <c r="I966" s="4" t="n">
        <v>6</v>
      </c>
      <c r="J966" s="5" t="n">
        <v>0.1</v>
      </c>
      <c r="K966" s="4" t="n">
        <f aca="false">G966*H966*(1-J966)</f>
        <v>51.273</v>
      </c>
      <c r="L966" s="4" t="n">
        <f aca="false">G966*I966</f>
        <v>18</v>
      </c>
      <c r="M966" s="4" t="n">
        <f aca="false">K966-L966</f>
        <v>33.273</v>
      </c>
      <c r="N966" s="6" t="n">
        <f aca="false">IF(K966=0,0,M966/K966)</f>
        <v>0.64893803756363</v>
      </c>
      <c r="O966" s="4" t="n">
        <f aca="false">(G966*H966)-K966</f>
        <v>5.697</v>
      </c>
      <c r="P966" s="3" t="s">
        <v>21</v>
      </c>
    </row>
    <row r="967" customFormat="false" ht="15" hidden="false" customHeight="false" outlineLevel="0" collapsed="false">
      <c r="A967" s="7" t="n">
        <v>46064</v>
      </c>
      <c r="B967" s="8" t="s">
        <v>41</v>
      </c>
      <c r="C967" s="8" t="s">
        <v>28</v>
      </c>
      <c r="D967" s="8" t="s">
        <v>86</v>
      </c>
      <c r="E967" s="8" t="s">
        <v>87</v>
      </c>
      <c r="F967" s="8" t="s">
        <v>40</v>
      </c>
      <c r="G967" s="8" t="n">
        <v>9</v>
      </c>
      <c r="H967" s="9" t="n">
        <v>16.99</v>
      </c>
      <c r="I967" s="9" t="n">
        <v>5.5</v>
      </c>
      <c r="J967" s="10" t="n">
        <v>0.2</v>
      </c>
      <c r="K967" s="9" t="n">
        <f aca="false">G967*H967*(1-J967)</f>
        <v>122.328</v>
      </c>
      <c r="L967" s="9" t="n">
        <f aca="false">G967*I967</f>
        <v>49.5</v>
      </c>
      <c r="M967" s="9" t="n">
        <f aca="false">K967-L967</f>
        <v>72.828</v>
      </c>
      <c r="N967" s="11" t="n">
        <f aca="false">IF(K967=0,0,M967/K967)</f>
        <v>0.595350206003532</v>
      </c>
      <c r="O967" s="9" t="n">
        <f aca="false">(G967*H967)-K967</f>
        <v>30.582</v>
      </c>
      <c r="P967" s="8" t="s">
        <v>21</v>
      </c>
    </row>
    <row r="968" customFormat="false" ht="15" hidden="false" customHeight="false" outlineLevel="0" collapsed="false">
      <c r="A968" s="2" t="n">
        <v>46073</v>
      </c>
      <c r="B968" s="3" t="s">
        <v>41</v>
      </c>
      <c r="C968" s="3" t="s">
        <v>28</v>
      </c>
      <c r="D968" s="3" t="s">
        <v>88</v>
      </c>
      <c r="E968" s="3" t="s">
        <v>89</v>
      </c>
      <c r="F968" s="3" t="s">
        <v>57</v>
      </c>
      <c r="G968" s="3" t="n">
        <v>15</v>
      </c>
      <c r="H968" s="4" t="n">
        <v>12.99</v>
      </c>
      <c r="I968" s="4" t="n">
        <v>4.5</v>
      </c>
      <c r="J968" s="5" t="n">
        <v>0.45</v>
      </c>
      <c r="K968" s="4" t="n">
        <f aca="false">G968*H968*(1-J968)</f>
        <v>107.1675</v>
      </c>
      <c r="L968" s="4" t="n">
        <f aca="false">G968*I968</f>
        <v>67.5</v>
      </c>
      <c r="M968" s="4" t="n">
        <f aca="false">K968-L968</f>
        <v>39.6675</v>
      </c>
      <c r="N968" s="6" t="n">
        <f aca="false">IF(K968=0,0,M968/K968)</f>
        <v>0.370144866680664</v>
      </c>
      <c r="O968" s="4" t="n">
        <f aca="false">(G968*H968)-K968</f>
        <v>87.6825</v>
      </c>
      <c r="P968" s="14" t="s">
        <v>97</v>
      </c>
    </row>
    <row r="969" customFormat="false" ht="15" hidden="false" customHeight="false" outlineLevel="0" collapsed="false">
      <c r="A969" s="7" t="n">
        <v>46105</v>
      </c>
      <c r="B969" s="8" t="s">
        <v>31</v>
      </c>
      <c r="C969" s="8" t="s">
        <v>23</v>
      </c>
      <c r="D969" s="8" t="s">
        <v>70</v>
      </c>
      <c r="E969" s="8" t="s">
        <v>71</v>
      </c>
      <c r="F969" s="8" t="s">
        <v>20</v>
      </c>
      <c r="G969" s="8" t="n">
        <v>24</v>
      </c>
      <c r="H969" s="9" t="n">
        <v>49.99</v>
      </c>
      <c r="I969" s="9" t="n">
        <v>19</v>
      </c>
      <c r="J969" s="10" t="n">
        <v>0.15</v>
      </c>
      <c r="K969" s="9" t="n">
        <f aca="false">G969*H969*(1-J969)</f>
        <v>1019.796</v>
      </c>
      <c r="L969" s="9" t="n">
        <f aca="false">G969*I969</f>
        <v>456</v>
      </c>
      <c r="M969" s="9" t="n">
        <f aca="false">K969-L969</f>
        <v>563.796</v>
      </c>
      <c r="N969" s="11" t="n">
        <f aca="false">IF(K969=0,0,M969/K969)</f>
        <v>0.552851746819952</v>
      </c>
      <c r="O969" s="9" t="n">
        <f aca="false">(G969*H969)-K969</f>
        <v>179.964</v>
      </c>
      <c r="P969" s="8" t="s">
        <v>21</v>
      </c>
    </row>
    <row r="970" customFormat="false" ht="15" hidden="false" customHeight="false" outlineLevel="0" collapsed="false">
      <c r="A970" s="2" t="n">
        <v>46087</v>
      </c>
      <c r="B970" s="3" t="s">
        <v>27</v>
      </c>
      <c r="C970" s="3" t="s">
        <v>28</v>
      </c>
      <c r="D970" s="3" t="s">
        <v>68</v>
      </c>
      <c r="E970" s="3" t="s">
        <v>69</v>
      </c>
      <c r="F970" s="3" t="s">
        <v>40</v>
      </c>
      <c r="G970" s="3" t="n">
        <v>6</v>
      </c>
      <c r="H970" s="4" t="n">
        <v>24.99</v>
      </c>
      <c r="I970" s="4" t="n">
        <v>9</v>
      </c>
      <c r="J970" s="5" t="n">
        <v>0.3</v>
      </c>
      <c r="K970" s="4" t="n">
        <f aca="false">G970*H970*(1-J970)</f>
        <v>104.958</v>
      </c>
      <c r="L970" s="4" t="n">
        <f aca="false">G970*I970</f>
        <v>54</v>
      </c>
      <c r="M970" s="4" t="n">
        <f aca="false">K970-L970</f>
        <v>50.958</v>
      </c>
      <c r="N970" s="6" t="n">
        <f aca="false">IF(K970=0,0,M970/K970)</f>
        <v>0.48550848910993</v>
      </c>
      <c r="O970" s="4" t="n">
        <f aca="false">(G970*H970)-K970</f>
        <v>44.982</v>
      </c>
      <c r="P970" s="3" t="s">
        <v>21</v>
      </c>
    </row>
    <row r="971" customFormat="false" ht="15" hidden="false" customHeight="false" outlineLevel="0" collapsed="false">
      <c r="A971" s="7" t="n">
        <v>46127</v>
      </c>
      <c r="B971" s="8" t="s">
        <v>22</v>
      </c>
      <c r="C971" s="8" t="s">
        <v>23</v>
      </c>
      <c r="D971" s="8" t="s">
        <v>80</v>
      </c>
      <c r="E971" s="8" t="s">
        <v>81</v>
      </c>
      <c r="F971" s="8" t="s">
        <v>57</v>
      </c>
      <c r="G971" s="8" t="n">
        <v>21</v>
      </c>
      <c r="H971" s="9" t="n">
        <v>17.99</v>
      </c>
      <c r="I971" s="9" t="n">
        <v>6.5</v>
      </c>
      <c r="J971" s="10" t="n">
        <v>0.05</v>
      </c>
      <c r="K971" s="9" t="n">
        <f aca="false">G971*H971*(1-J971)</f>
        <v>358.9005</v>
      </c>
      <c r="L971" s="9" t="n">
        <f aca="false">G971*I971</f>
        <v>136.5</v>
      </c>
      <c r="M971" s="9" t="n">
        <f aca="false">K971-L971</f>
        <v>222.4005</v>
      </c>
      <c r="N971" s="11" t="n">
        <f aca="false">IF(K971=0,0,M971/K971)</f>
        <v>0.61967174746204</v>
      </c>
      <c r="O971" s="9" t="n">
        <f aca="false">(G971*H971)-K971</f>
        <v>18.8895</v>
      </c>
      <c r="P971" s="8" t="s">
        <v>21</v>
      </c>
    </row>
    <row r="972" customFormat="false" ht="15" hidden="false" customHeight="false" outlineLevel="0" collapsed="false">
      <c r="A972" s="2" t="n">
        <v>46076</v>
      </c>
      <c r="B972" s="3" t="s">
        <v>64</v>
      </c>
      <c r="C972" s="3" t="s">
        <v>65</v>
      </c>
      <c r="D972" s="3" t="s">
        <v>76</v>
      </c>
      <c r="E972" s="3" t="s">
        <v>77</v>
      </c>
      <c r="F972" s="3" t="s">
        <v>34</v>
      </c>
      <c r="G972" s="3" t="n">
        <v>24</v>
      </c>
      <c r="H972" s="4" t="n">
        <v>44.99</v>
      </c>
      <c r="I972" s="4" t="n">
        <v>14</v>
      </c>
      <c r="J972" s="5" t="n">
        <v>0</v>
      </c>
      <c r="K972" s="4" t="n">
        <f aca="false">G972*H972*(1-J972)</f>
        <v>1079.76</v>
      </c>
      <c r="L972" s="4" t="n">
        <f aca="false">G972*I972</f>
        <v>336</v>
      </c>
      <c r="M972" s="4" t="n">
        <f aca="false">K972-L972</f>
        <v>743.76</v>
      </c>
      <c r="N972" s="6" t="n">
        <f aca="false">IF(K972=0,0,M972/K972)</f>
        <v>0.688819737719493</v>
      </c>
      <c r="O972" s="4" t="n">
        <f aca="false">(G972*H972)-K972</f>
        <v>0</v>
      </c>
      <c r="P972" s="3" t="s">
        <v>21</v>
      </c>
    </row>
    <row r="973" customFormat="false" ht="15" hidden="false" customHeight="false" outlineLevel="0" collapsed="false">
      <c r="A973" s="7" t="n">
        <v>46111</v>
      </c>
      <c r="B973" s="8" t="s">
        <v>31</v>
      </c>
      <c r="C973" s="8" t="s">
        <v>23</v>
      </c>
      <c r="D973" s="8" t="s">
        <v>90</v>
      </c>
      <c r="E973" s="8" t="s">
        <v>91</v>
      </c>
      <c r="F973" s="8" t="s">
        <v>26</v>
      </c>
      <c r="G973" s="8" t="n">
        <v>14</v>
      </c>
      <c r="H973" s="9" t="n">
        <v>24.99</v>
      </c>
      <c r="I973" s="9" t="n">
        <v>11</v>
      </c>
      <c r="J973" s="10" t="n">
        <v>0.3</v>
      </c>
      <c r="K973" s="9" t="n">
        <f aca="false">G973*H973*(1-J973)</f>
        <v>244.902</v>
      </c>
      <c r="L973" s="9" t="n">
        <f aca="false">G973*I973</f>
        <v>154</v>
      </c>
      <c r="M973" s="9" t="n">
        <f aca="false">K973-L973</f>
        <v>90.902</v>
      </c>
      <c r="N973" s="11" t="n">
        <f aca="false">IF(K973=0,0,M973/K973)</f>
        <v>0.37117704224547</v>
      </c>
      <c r="O973" s="9" t="n">
        <f aca="false">(G973*H973)-K973</f>
        <v>104.958</v>
      </c>
      <c r="P973" s="8" t="s">
        <v>21</v>
      </c>
    </row>
    <row r="974" customFormat="false" ht="15" hidden="false" customHeight="false" outlineLevel="0" collapsed="false">
      <c r="A974" s="2" t="n">
        <v>46028</v>
      </c>
      <c r="B974" s="3" t="s">
        <v>64</v>
      </c>
      <c r="C974" s="3" t="s">
        <v>65</v>
      </c>
      <c r="D974" s="3" t="s">
        <v>84</v>
      </c>
      <c r="E974" s="3" t="s">
        <v>85</v>
      </c>
      <c r="F974" s="3" t="s">
        <v>20</v>
      </c>
      <c r="G974" s="3" t="n">
        <v>29</v>
      </c>
      <c r="H974" s="4" t="n">
        <v>34.99</v>
      </c>
      <c r="I974" s="4" t="n">
        <v>13</v>
      </c>
      <c r="J974" s="5" t="n">
        <v>0.15</v>
      </c>
      <c r="K974" s="4" t="n">
        <f aca="false">G974*H974*(1-J974)</f>
        <v>862.5035</v>
      </c>
      <c r="L974" s="4" t="n">
        <f aca="false">G974*I974</f>
        <v>377</v>
      </c>
      <c r="M974" s="4" t="n">
        <f aca="false">K974-L974</f>
        <v>485.5035</v>
      </c>
      <c r="N974" s="6" t="n">
        <f aca="false">IF(K974=0,0,M974/K974)</f>
        <v>0.562900324462451</v>
      </c>
      <c r="O974" s="4" t="n">
        <f aca="false">(G974*H974)-K974</f>
        <v>152.2065</v>
      </c>
      <c r="P974" s="3" t="s">
        <v>21</v>
      </c>
    </row>
    <row r="975" customFormat="false" ht="15" hidden="false" customHeight="false" outlineLevel="0" collapsed="false">
      <c r="A975" s="7" t="n">
        <v>46085</v>
      </c>
      <c r="B975" s="8" t="s">
        <v>37</v>
      </c>
      <c r="C975" s="8" t="s">
        <v>17</v>
      </c>
      <c r="D975" s="8" t="s">
        <v>48</v>
      </c>
      <c r="E975" s="8" t="s">
        <v>49</v>
      </c>
      <c r="F975" s="8" t="s">
        <v>50</v>
      </c>
      <c r="G975" s="8" t="n">
        <v>13</v>
      </c>
      <c r="H975" s="9" t="n">
        <v>54.99</v>
      </c>
      <c r="I975" s="9" t="n">
        <v>20</v>
      </c>
      <c r="J975" s="10" t="n">
        <v>0.05</v>
      </c>
      <c r="K975" s="9" t="n">
        <f aca="false">G975*H975*(1-J975)</f>
        <v>679.1265</v>
      </c>
      <c r="L975" s="9" t="n">
        <f aca="false">G975*I975</f>
        <v>260</v>
      </c>
      <c r="M975" s="9" t="n">
        <f aca="false">K975-L975</f>
        <v>419.1265</v>
      </c>
      <c r="N975" s="11" t="n">
        <f aca="false">IF(K975=0,0,M975/K975)</f>
        <v>0.617155272250457</v>
      </c>
      <c r="O975" s="9" t="n">
        <f aca="false">(G975*H975)-K975</f>
        <v>35.7435</v>
      </c>
      <c r="P975" s="8" t="s">
        <v>21</v>
      </c>
    </row>
    <row r="976" customFormat="false" ht="15" hidden="false" customHeight="false" outlineLevel="0" collapsed="false">
      <c r="A976" s="2" t="n">
        <v>46060</v>
      </c>
      <c r="B976" s="3" t="s">
        <v>22</v>
      </c>
      <c r="C976" s="3" t="s">
        <v>23</v>
      </c>
      <c r="D976" s="3" t="s">
        <v>55</v>
      </c>
      <c r="E976" s="3" t="s">
        <v>56</v>
      </c>
      <c r="F976" s="3" t="s">
        <v>57</v>
      </c>
      <c r="G976" s="3" t="n">
        <v>25</v>
      </c>
      <c r="H976" s="4" t="n">
        <v>29.99</v>
      </c>
      <c r="I976" s="4" t="n">
        <v>11</v>
      </c>
      <c r="J976" s="5" t="n">
        <v>0.2</v>
      </c>
      <c r="K976" s="4" t="n">
        <f aca="false">G976*H976*(1-J976)</f>
        <v>599.8</v>
      </c>
      <c r="L976" s="4" t="n">
        <f aca="false">G976*I976</f>
        <v>275</v>
      </c>
      <c r="M976" s="4" t="n">
        <f aca="false">K976-L976</f>
        <v>324.8</v>
      </c>
      <c r="N976" s="6" t="n">
        <f aca="false">IF(K976=0,0,M976/K976)</f>
        <v>0.541513837945982</v>
      </c>
      <c r="O976" s="4" t="n">
        <f aca="false">(G976*H976)-K976</f>
        <v>149.95</v>
      </c>
      <c r="P976" s="3" t="s">
        <v>21</v>
      </c>
    </row>
    <row r="977" customFormat="false" ht="15" hidden="false" customHeight="false" outlineLevel="0" collapsed="false">
      <c r="A977" s="7" t="n">
        <v>46081</v>
      </c>
      <c r="B977" s="8" t="s">
        <v>16</v>
      </c>
      <c r="C977" s="8" t="s">
        <v>17</v>
      </c>
      <c r="D977" s="8" t="s">
        <v>66</v>
      </c>
      <c r="E977" s="8" t="s">
        <v>67</v>
      </c>
      <c r="F977" s="8" t="s">
        <v>57</v>
      </c>
      <c r="G977" s="8" t="n">
        <v>1</v>
      </c>
      <c r="H977" s="9" t="n">
        <v>14.99</v>
      </c>
      <c r="I977" s="9" t="n">
        <v>5.5</v>
      </c>
      <c r="J977" s="10" t="n">
        <v>0.2</v>
      </c>
      <c r="K977" s="9" t="n">
        <f aca="false">G977*H977*(1-J977)</f>
        <v>11.992</v>
      </c>
      <c r="L977" s="9" t="n">
        <f aca="false">G977*I977</f>
        <v>5.5</v>
      </c>
      <c r="M977" s="9" t="n">
        <f aca="false">K977-L977</f>
        <v>6.492</v>
      </c>
      <c r="N977" s="11" t="n">
        <f aca="false">IF(K977=0,0,M977/K977)</f>
        <v>0.541360907271514</v>
      </c>
      <c r="O977" s="9" t="n">
        <f aca="false">(G977*H977)-K977</f>
        <v>2.998</v>
      </c>
      <c r="P977" s="8" t="s">
        <v>21</v>
      </c>
    </row>
    <row r="978" customFormat="false" ht="15" hidden="false" customHeight="false" outlineLevel="0" collapsed="false">
      <c r="A978" s="2" t="n">
        <v>46089</v>
      </c>
      <c r="B978" s="3" t="s">
        <v>16</v>
      </c>
      <c r="C978" s="3" t="s">
        <v>17</v>
      </c>
      <c r="D978" s="3" t="s">
        <v>72</v>
      </c>
      <c r="E978" s="3" t="s">
        <v>73</v>
      </c>
      <c r="F978" s="3" t="s">
        <v>57</v>
      </c>
      <c r="G978" s="3" t="n">
        <v>6</v>
      </c>
      <c r="H978" s="4" t="n">
        <v>19.99</v>
      </c>
      <c r="I978" s="4" t="n">
        <v>7</v>
      </c>
      <c r="J978" s="5" t="n">
        <v>0.1</v>
      </c>
      <c r="K978" s="4" t="n">
        <f aca="false">G978*H978*(1-J978)</f>
        <v>107.946</v>
      </c>
      <c r="L978" s="4" t="n">
        <f aca="false">G978*I978</f>
        <v>42</v>
      </c>
      <c r="M978" s="4" t="n">
        <f aca="false">K978-L978</f>
        <v>65.946</v>
      </c>
      <c r="N978" s="6" t="n">
        <f aca="false">IF(K978=0,0,M978/K978)</f>
        <v>0.610916569395809</v>
      </c>
      <c r="O978" s="4" t="n">
        <f aca="false">(G978*H978)-K978</f>
        <v>11.994</v>
      </c>
      <c r="P978" s="3" t="s">
        <v>21</v>
      </c>
    </row>
    <row r="979" customFormat="false" ht="15" hidden="false" customHeight="false" outlineLevel="0" collapsed="false">
      <c r="A979" s="7" t="n">
        <v>46063</v>
      </c>
      <c r="B979" s="8" t="s">
        <v>16</v>
      </c>
      <c r="C979" s="8" t="s">
        <v>17</v>
      </c>
      <c r="D979" s="8" t="s">
        <v>18</v>
      </c>
      <c r="E979" s="8" t="s">
        <v>19</v>
      </c>
      <c r="F979" s="8" t="s">
        <v>20</v>
      </c>
      <c r="G979" s="8" t="n">
        <v>24</v>
      </c>
      <c r="H979" s="9" t="n">
        <v>26.99</v>
      </c>
      <c r="I979" s="9" t="n">
        <v>10.5</v>
      </c>
      <c r="J979" s="10" t="n">
        <v>0.2</v>
      </c>
      <c r="K979" s="9" t="n">
        <f aca="false">G979*H979*(1-J979)</f>
        <v>518.208</v>
      </c>
      <c r="L979" s="9" t="n">
        <f aca="false">G979*I979</f>
        <v>252</v>
      </c>
      <c r="M979" s="9" t="n">
        <f aca="false">K979-L979</f>
        <v>266.208</v>
      </c>
      <c r="N979" s="11" t="n">
        <f aca="false">IF(K979=0,0,M979/K979)</f>
        <v>0.513708781030011</v>
      </c>
      <c r="O979" s="9" t="n">
        <f aca="false">(G979*H979)-K979</f>
        <v>129.552</v>
      </c>
      <c r="P979" s="8" t="s">
        <v>21</v>
      </c>
    </row>
    <row r="980" customFormat="false" ht="15" hidden="false" customHeight="false" outlineLevel="0" collapsed="false">
      <c r="A980" s="2" t="n">
        <v>46096</v>
      </c>
      <c r="B980" s="3" t="s">
        <v>16</v>
      </c>
      <c r="C980" s="3" t="s">
        <v>17</v>
      </c>
      <c r="D980" s="3" t="s">
        <v>88</v>
      </c>
      <c r="E980" s="3" t="s">
        <v>89</v>
      </c>
      <c r="F980" s="3" t="s">
        <v>57</v>
      </c>
      <c r="G980" s="3" t="n">
        <v>22</v>
      </c>
      <c r="H980" s="4" t="n">
        <v>12.99</v>
      </c>
      <c r="I980" s="4" t="n">
        <v>4.5</v>
      </c>
      <c r="J980" s="5" t="n">
        <v>0</v>
      </c>
      <c r="K980" s="4" t="n">
        <f aca="false">G980*H980*(1-J980)</f>
        <v>285.78</v>
      </c>
      <c r="L980" s="4" t="n">
        <f aca="false">G980*I980</f>
        <v>99</v>
      </c>
      <c r="M980" s="4" t="n">
        <f aca="false">K980-L980</f>
        <v>186.78</v>
      </c>
      <c r="N980" s="6" t="n">
        <f aca="false">IF(K980=0,0,M980/K980)</f>
        <v>0.653579676674365</v>
      </c>
      <c r="O980" s="4" t="n">
        <f aca="false">(G980*H980)-K980</f>
        <v>0</v>
      </c>
      <c r="P980" s="3" t="s">
        <v>21</v>
      </c>
    </row>
    <row r="981" customFormat="false" ht="15" hidden="false" customHeight="false" outlineLevel="0" collapsed="false">
      <c r="A981" s="7" t="n">
        <v>46075</v>
      </c>
      <c r="B981" s="8" t="s">
        <v>41</v>
      </c>
      <c r="C981" s="8" t="s">
        <v>28</v>
      </c>
      <c r="D981" s="8" t="s">
        <v>38</v>
      </c>
      <c r="E981" s="8" t="s">
        <v>39</v>
      </c>
      <c r="F981" s="8" t="s">
        <v>40</v>
      </c>
      <c r="G981" s="8" t="n">
        <v>30</v>
      </c>
      <c r="H981" s="9" t="n">
        <v>12.99</v>
      </c>
      <c r="I981" s="9" t="n">
        <v>4</v>
      </c>
      <c r="J981" s="10" t="n">
        <v>0</v>
      </c>
      <c r="K981" s="9" t="n">
        <f aca="false">G981*H981*(1-J981)</f>
        <v>389.7</v>
      </c>
      <c r="L981" s="9" t="n">
        <f aca="false">G981*I981</f>
        <v>120</v>
      </c>
      <c r="M981" s="9" t="n">
        <f aca="false">K981-L981</f>
        <v>269.7</v>
      </c>
      <c r="N981" s="11" t="n">
        <f aca="false">IF(K981=0,0,M981/K981)</f>
        <v>0.692070823710547</v>
      </c>
      <c r="O981" s="9" t="n">
        <f aca="false">(G981*H981)-K981</f>
        <v>0</v>
      </c>
      <c r="P981" s="8" t="s">
        <v>21</v>
      </c>
    </row>
    <row r="982" customFormat="false" ht="15" hidden="false" customHeight="false" outlineLevel="0" collapsed="false">
      <c r="A982" s="2" t="n">
        <v>46039</v>
      </c>
      <c r="B982" s="3" t="s">
        <v>37</v>
      </c>
      <c r="C982" s="3" t="s">
        <v>17</v>
      </c>
      <c r="D982" s="3" t="s">
        <v>93</v>
      </c>
      <c r="E982" s="3" t="s">
        <v>94</v>
      </c>
      <c r="F982" s="3" t="s">
        <v>34</v>
      </c>
      <c r="G982" s="3" t="n">
        <v>2</v>
      </c>
      <c r="H982" s="4" t="n">
        <v>29.99</v>
      </c>
      <c r="I982" s="4" t="n">
        <v>9</v>
      </c>
      <c r="J982" s="5" t="n">
        <v>0.15</v>
      </c>
      <c r="K982" s="4" t="n">
        <f aca="false">G982*H982*(1-J982)</f>
        <v>50.983</v>
      </c>
      <c r="L982" s="4" t="n">
        <f aca="false">G982*I982</f>
        <v>18</v>
      </c>
      <c r="M982" s="4" t="n">
        <f aca="false">K982-L982</f>
        <v>32.983</v>
      </c>
      <c r="N982" s="6" t="n">
        <f aca="false">IF(K982=0,0,M982/K982)</f>
        <v>0.646941137241826</v>
      </c>
      <c r="O982" s="4" t="n">
        <f aca="false">(G982*H982)-K982</f>
        <v>8.997</v>
      </c>
      <c r="P982" s="3" t="s">
        <v>21</v>
      </c>
    </row>
    <row r="983" customFormat="false" ht="15" hidden="false" customHeight="false" outlineLevel="0" collapsed="false">
      <c r="A983" s="7" t="n">
        <v>46050</v>
      </c>
      <c r="B983" s="8" t="s">
        <v>31</v>
      </c>
      <c r="C983" s="8" t="s">
        <v>23</v>
      </c>
      <c r="D983" s="8" t="s">
        <v>55</v>
      </c>
      <c r="E983" s="8" t="s">
        <v>56</v>
      </c>
      <c r="F983" s="8" t="s">
        <v>57</v>
      </c>
      <c r="G983" s="8" t="n">
        <v>13</v>
      </c>
      <c r="H983" s="9" t="n">
        <v>29.99</v>
      </c>
      <c r="I983" s="9" t="n">
        <v>11</v>
      </c>
      <c r="J983" s="10" t="n">
        <v>0.7</v>
      </c>
      <c r="K983" s="9" t="n">
        <f aca="false">G983*H983*(1-J983)</f>
        <v>116.961</v>
      </c>
      <c r="L983" s="9" t="n">
        <f aca="false">G983*I983</f>
        <v>143</v>
      </c>
      <c r="M983" s="9" t="n">
        <f aca="false">K983-L983</f>
        <v>-26.039</v>
      </c>
      <c r="N983" s="11" t="n">
        <f aca="false">IF(K983=0,0,M983/K983)</f>
        <v>-0.222629765477381</v>
      </c>
      <c r="O983" s="9" t="n">
        <f aca="false">(G983*H983)-K983</f>
        <v>272.909</v>
      </c>
      <c r="P983" s="14" t="s">
        <v>97</v>
      </c>
    </row>
    <row r="984" customFormat="false" ht="15" hidden="false" customHeight="false" outlineLevel="0" collapsed="false">
      <c r="A984" s="2" t="n">
        <v>46096</v>
      </c>
      <c r="B984" s="3" t="s">
        <v>64</v>
      </c>
      <c r="C984" s="3" t="s">
        <v>65</v>
      </c>
      <c r="D984" s="3" t="s">
        <v>74</v>
      </c>
      <c r="E984" s="3" t="s">
        <v>75</v>
      </c>
      <c r="F984" s="3" t="s">
        <v>40</v>
      </c>
      <c r="G984" s="3" t="n">
        <v>8</v>
      </c>
      <c r="H984" s="4" t="n">
        <v>29.99</v>
      </c>
      <c r="I984" s="4" t="n">
        <v>13</v>
      </c>
      <c r="J984" s="5" t="n">
        <v>0.25</v>
      </c>
      <c r="K984" s="4" t="n">
        <f aca="false">G984*H984*(1-J984)</f>
        <v>179.94</v>
      </c>
      <c r="L984" s="4" t="n">
        <f aca="false">G984*I984</f>
        <v>104</v>
      </c>
      <c r="M984" s="4" t="n">
        <f aca="false">K984-L984</f>
        <v>75.94</v>
      </c>
      <c r="N984" s="6" t="n">
        <f aca="false">IF(K984=0,0,M984/K984)</f>
        <v>0.422029565410692</v>
      </c>
      <c r="O984" s="4" t="n">
        <f aca="false">(G984*H984)-K984</f>
        <v>59.98</v>
      </c>
      <c r="P984" s="3" t="s">
        <v>21</v>
      </c>
    </row>
    <row r="985" customFormat="false" ht="15" hidden="false" customHeight="false" outlineLevel="0" collapsed="false">
      <c r="A985" s="7" t="n">
        <v>46068</v>
      </c>
      <c r="B985" s="8" t="s">
        <v>58</v>
      </c>
      <c r="C985" s="8" t="s">
        <v>58</v>
      </c>
      <c r="D985" s="8" t="s">
        <v>35</v>
      </c>
      <c r="E985" s="8" t="s">
        <v>36</v>
      </c>
      <c r="F985" s="8" t="s">
        <v>26</v>
      </c>
      <c r="G985" s="8" t="n">
        <v>10</v>
      </c>
      <c r="H985" s="9" t="n">
        <v>69.99</v>
      </c>
      <c r="I985" s="9" t="n">
        <v>30</v>
      </c>
      <c r="J985" s="10" t="n">
        <v>0.05</v>
      </c>
      <c r="K985" s="9" t="n">
        <f aca="false">G985*H985*(1-J985)</f>
        <v>664.905</v>
      </c>
      <c r="L985" s="9" t="n">
        <f aca="false">G985*I985</f>
        <v>300</v>
      </c>
      <c r="M985" s="9" t="n">
        <f aca="false">K985-L985</f>
        <v>364.905</v>
      </c>
      <c r="N985" s="11" t="n">
        <f aca="false">IF(K985=0,0,M985/K985)</f>
        <v>0.548807724411758</v>
      </c>
      <c r="O985" s="9" t="n">
        <f aca="false">(G985*H985)-K985</f>
        <v>34.995</v>
      </c>
      <c r="P985" s="8" t="s">
        <v>21</v>
      </c>
    </row>
    <row r="986" customFormat="false" ht="15" hidden="false" customHeight="false" outlineLevel="0" collapsed="false">
      <c r="A986" s="2" t="n">
        <v>46114</v>
      </c>
      <c r="B986" s="3" t="s">
        <v>41</v>
      </c>
      <c r="C986" s="3" t="s">
        <v>28</v>
      </c>
      <c r="D986" s="3" t="s">
        <v>24</v>
      </c>
      <c r="E986" s="3" t="s">
        <v>25</v>
      </c>
      <c r="F986" s="3" t="s">
        <v>26</v>
      </c>
      <c r="G986" s="3" t="n">
        <v>21</v>
      </c>
      <c r="H986" s="4" t="n">
        <v>54.99</v>
      </c>
      <c r="I986" s="4" t="n">
        <v>24</v>
      </c>
      <c r="J986" s="5" t="n">
        <v>0.15</v>
      </c>
      <c r="K986" s="4" t="n">
        <f aca="false">G986*H986*(1-J986)</f>
        <v>981.5715</v>
      </c>
      <c r="L986" s="4" t="n">
        <f aca="false">G986*I986</f>
        <v>504</v>
      </c>
      <c r="M986" s="4" t="n">
        <f aca="false">K986-L986</f>
        <v>477.5715</v>
      </c>
      <c r="N986" s="6" t="n">
        <f aca="false">IF(K986=0,0,M986/K986)</f>
        <v>0.486537659253554</v>
      </c>
      <c r="O986" s="4" t="n">
        <f aca="false">(G986*H986)-K986</f>
        <v>173.2185</v>
      </c>
      <c r="P986" s="3" t="s">
        <v>21</v>
      </c>
    </row>
    <row r="987" customFormat="false" ht="15" hidden="false" customHeight="false" outlineLevel="0" collapsed="false">
      <c r="A987" s="7" t="n">
        <v>46081</v>
      </c>
      <c r="B987" s="8" t="s">
        <v>64</v>
      </c>
      <c r="C987" s="8" t="s">
        <v>65</v>
      </c>
      <c r="D987" s="8" t="s">
        <v>29</v>
      </c>
      <c r="E987" s="8" t="s">
        <v>30</v>
      </c>
      <c r="F987" s="8" t="s">
        <v>20</v>
      </c>
      <c r="G987" s="8" t="n">
        <v>25</v>
      </c>
      <c r="H987" s="9" t="n">
        <v>89.99</v>
      </c>
      <c r="I987" s="9" t="n">
        <v>42</v>
      </c>
      <c r="J987" s="10" t="n">
        <v>0.1</v>
      </c>
      <c r="K987" s="9" t="n">
        <f aca="false">G987*H987*(1-J987)</f>
        <v>2024.775</v>
      </c>
      <c r="L987" s="9" t="n">
        <f aca="false">G987*I987</f>
        <v>1050</v>
      </c>
      <c r="M987" s="9" t="n">
        <f aca="false">K987-L987</f>
        <v>974.775</v>
      </c>
      <c r="N987" s="11" t="n">
        <f aca="false">IF(K987=0,0,M987/K987)</f>
        <v>0.481423861910583</v>
      </c>
      <c r="O987" s="9" t="n">
        <f aca="false">(G987*H987)-K987</f>
        <v>224.975</v>
      </c>
      <c r="P987" s="8" t="s">
        <v>21</v>
      </c>
    </row>
    <row r="988" customFormat="false" ht="15" hidden="false" customHeight="false" outlineLevel="0" collapsed="false">
      <c r="A988" s="2" t="n">
        <v>46080</v>
      </c>
      <c r="B988" s="3" t="s">
        <v>31</v>
      </c>
      <c r="C988" s="3" t="s">
        <v>23</v>
      </c>
      <c r="D988" s="3" t="s">
        <v>29</v>
      </c>
      <c r="E988" s="3" t="s">
        <v>30</v>
      </c>
      <c r="F988" s="3" t="s">
        <v>20</v>
      </c>
      <c r="G988" s="3" t="n">
        <v>15</v>
      </c>
      <c r="H988" s="4" t="n">
        <v>89.99</v>
      </c>
      <c r="I988" s="4" t="n">
        <v>42</v>
      </c>
      <c r="J988" s="5" t="n">
        <v>0.25</v>
      </c>
      <c r="K988" s="4" t="n">
        <f aca="false">G988*H988*(1-J988)</f>
        <v>1012.3875</v>
      </c>
      <c r="L988" s="4" t="n">
        <f aca="false">G988*I988</f>
        <v>630</v>
      </c>
      <c r="M988" s="4" t="n">
        <f aca="false">K988-L988</f>
        <v>382.3875</v>
      </c>
      <c r="N988" s="6" t="n">
        <f aca="false">IF(K988=0,0,M988/K988)</f>
        <v>0.377708634292699</v>
      </c>
      <c r="O988" s="4" t="n">
        <f aca="false">(G988*H988)-K988</f>
        <v>337.4625</v>
      </c>
      <c r="P988" s="3" t="s">
        <v>21</v>
      </c>
    </row>
    <row r="989" customFormat="false" ht="15" hidden="false" customHeight="false" outlineLevel="0" collapsed="false">
      <c r="A989" s="7" t="n">
        <v>46029</v>
      </c>
      <c r="B989" s="8" t="s">
        <v>16</v>
      </c>
      <c r="C989" s="8" t="s">
        <v>17</v>
      </c>
      <c r="D989" s="8" t="s">
        <v>53</v>
      </c>
      <c r="E989" s="8" t="s">
        <v>54</v>
      </c>
      <c r="F989" s="8" t="s">
        <v>50</v>
      </c>
      <c r="G989" s="8" t="n">
        <v>27</v>
      </c>
      <c r="H989" s="9" t="n">
        <v>22.99</v>
      </c>
      <c r="I989" s="9" t="n">
        <v>8</v>
      </c>
      <c r="J989" s="10" t="n">
        <v>0.3</v>
      </c>
      <c r="K989" s="9" t="n">
        <f aca="false">G989*H989*(1-J989)</f>
        <v>434.511</v>
      </c>
      <c r="L989" s="9" t="n">
        <f aca="false">G989*I989</f>
        <v>216</v>
      </c>
      <c r="M989" s="9" t="n">
        <f aca="false">K989-L989</f>
        <v>218.511</v>
      </c>
      <c r="N989" s="11" t="n">
        <f aca="false">IF(K989=0,0,M989/K989)</f>
        <v>0.502889455042565</v>
      </c>
      <c r="O989" s="9" t="n">
        <f aca="false">(G989*H989)-K989</f>
        <v>186.219</v>
      </c>
      <c r="P989" s="8" t="s">
        <v>21</v>
      </c>
    </row>
    <row r="990" customFormat="false" ht="15" hidden="false" customHeight="false" outlineLevel="0" collapsed="false">
      <c r="A990" s="2" t="n">
        <v>46076</v>
      </c>
      <c r="B990" s="3" t="s">
        <v>58</v>
      </c>
      <c r="C990" s="3" t="s">
        <v>58</v>
      </c>
      <c r="D990" s="3" t="s">
        <v>88</v>
      </c>
      <c r="E990" s="3" t="s">
        <v>89</v>
      </c>
      <c r="F990" s="3" t="s">
        <v>57</v>
      </c>
      <c r="G990" s="3" t="n">
        <v>2</v>
      </c>
      <c r="H990" s="4" t="n">
        <v>12.99</v>
      </c>
      <c r="I990" s="4" t="n">
        <v>4.5</v>
      </c>
      <c r="J990" s="5" t="n">
        <v>0.2</v>
      </c>
      <c r="K990" s="4" t="n">
        <f aca="false">G990*H990*(1-J990)</f>
        <v>20.784</v>
      </c>
      <c r="L990" s="4" t="n">
        <f aca="false">G990*I990</f>
        <v>9</v>
      </c>
      <c r="M990" s="4" t="n">
        <f aca="false">K990-L990</f>
        <v>11.784</v>
      </c>
      <c r="N990" s="6" t="n">
        <f aca="false">IF(K990=0,0,M990/K990)</f>
        <v>0.566974595842956</v>
      </c>
      <c r="O990" s="4" t="n">
        <f aca="false">(G990*H990)-K990</f>
        <v>5.196</v>
      </c>
      <c r="P990" s="3" t="s">
        <v>21</v>
      </c>
    </row>
    <row r="991" customFormat="false" ht="15" hidden="false" customHeight="false" outlineLevel="0" collapsed="false">
      <c r="A991" s="7" t="n">
        <v>46082</v>
      </c>
      <c r="B991" s="8" t="s">
        <v>37</v>
      </c>
      <c r="C991" s="8" t="s">
        <v>17</v>
      </c>
      <c r="D991" s="8" t="s">
        <v>32</v>
      </c>
      <c r="E991" s="8" t="s">
        <v>33</v>
      </c>
      <c r="F991" s="8" t="s">
        <v>34</v>
      </c>
      <c r="G991" s="8" t="n">
        <v>3</v>
      </c>
      <c r="H991" s="9" t="n">
        <v>23.61</v>
      </c>
      <c r="I991" s="9" t="n">
        <v>6</v>
      </c>
      <c r="J991" s="10" t="n">
        <v>0</v>
      </c>
      <c r="K991" s="9" t="n">
        <f aca="false">G991*H991*(1-J991)</f>
        <v>70.83</v>
      </c>
      <c r="L991" s="9" t="n">
        <f aca="false">G991*I991</f>
        <v>18</v>
      </c>
      <c r="M991" s="9" t="n">
        <f aca="false">K991-L991</f>
        <v>52.83</v>
      </c>
      <c r="N991" s="11" t="n">
        <f aca="false">IF(K991=0,0,M991/K991)</f>
        <v>0.74587039390089</v>
      </c>
      <c r="O991" s="9" t="n">
        <f aca="false">(G991*H991)-K991</f>
        <v>0</v>
      </c>
      <c r="P991" s="12" t="s">
        <v>63</v>
      </c>
    </row>
    <row r="992" customFormat="false" ht="15" hidden="false" customHeight="false" outlineLevel="0" collapsed="false">
      <c r="A992" s="2" t="n">
        <v>46087</v>
      </c>
      <c r="B992" s="3" t="s">
        <v>41</v>
      </c>
      <c r="C992" s="3" t="s">
        <v>28</v>
      </c>
      <c r="D992" s="3" t="s">
        <v>84</v>
      </c>
      <c r="E992" s="3" t="s">
        <v>85</v>
      </c>
      <c r="F992" s="3" t="s">
        <v>20</v>
      </c>
      <c r="G992" s="3" t="n">
        <v>13</v>
      </c>
      <c r="H992" s="4" t="n">
        <v>34.99</v>
      </c>
      <c r="I992" s="4" t="n">
        <v>13</v>
      </c>
      <c r="J992" s="5" t="n">
        <v>0</v>
      </c>
      <c r="K992" s="4" t="n">
        <f aca="false">G992*H992*(1-J992)</f>
        <v>454.87</v>
      </c>
      <c r="L992" s="4" t="n">
        <f aca="false">G992*I992</f>
        <v>169</v>
      </c>
      <c r="M992" s="4" t="n">
        <f aca="false">K992-L992</f>
        <v>285.87</v>
      </c>
      <c r="N992" s="6" t="n">
        <f aca="false">IF(K992=0,0,M992/K992)</f>
        <v>0.628465275793084</v>
      </c>
      <c r="O992" s="4" t="n">
        <f aca="false">(G992*H992)-K992</f>
        <v>0</v>
      </c>
      <c r="P992" s="3" t="s">
        <v>21</v>
      </c>
    </row>
    <row r="993" customFormat="false" ht="15" hidden="false" customHeight="false" outlineLevel="0" collapsed="false">
      <c r="A993" s="7" t="n">
        <v>46035</v>
      </c>
      <c r="B993" s="8" t="s">
        <v>31</v>
      </c>
      <c r="C993" s="8" t="s">
        <v>23</v>
      </c>
      <c r="D993" s="8" t="s">
        <v>55</v>
      </c>
      <c r="E993" s="8" t="s">
        <v>56</v>
      </c>
      <c r="F993" s="8" t="s">
        <v>57</v>
      </c>
      <c r="G993" s="8" t="n">
        <v>7</v>
      </c>
      <c r="H993" s="9" t="n">
        <v>29.99</v>
      </c>
      <c r="I993" s="9" t="n">
        <v>11</v>
      </c>
      <c r="J993" s="10" t="n">
        <v>0</v>
      </c>
      <c r="K993" s="9" t="n">
        <f aca="false">G993*H993*(1-J993)</f>
        <v>209.93</v>
      </c>
      <c r="L993" s="9" t="n">
        <f aca="false">G993*I993</f>
        <v>77</v>
      </c>
      <c r="M993" s="9" t="n">
        <f aca="false">K993-L993</f>
        <v>132.93</v>
      </c>
      <c r="N993" s="11" t="n">
        <f aca="false">IF(K993=0,0,M993/K993)</f>
        <v>0.633211070356786</v>
      </c>
      <c r="O993" s="9" t="n">
        <f aca="false">(G993*H993)-K993</f>
        <v>0</v>
      </c>
      <c r="P993" s="8" t="s">
        <v>21</v>
      </c>
    </row>
    <row r="994" customFormat="false" ht="15" hidden="false" customHeight="false" outlineLevel="0" collapsed="false">
      <c r="A994" s="2" t="n">
        <v>46073</v>
      </c>
      <c r="B994" s="3" t="s">
        <v>58</v>
      </c>
      <c r="C994" s="3" t="s">
        <v>58</v>
      </c>
      <c r="D994" s="3" t="s">
        <v>70</v>
      </c>
      <c r="E994" s="3" t="s">
        <v>71</v>
      </c>
      <c r="F994" s="3" t="s">
        <v>20</v>
      </c>
      <c r="G994" s="3" t="n">
        <v>19</v>
      </c>
      <c r="H994" s="4" t="n">
        <v>49.99</v>
      </c>
      <c r="I994" s="4" t="n">
        <v>19</v>
      </c>
      <c r="J994" s="5" t="n">
        <v>0.3</v>
      </c>
      <c r="K994" s="4" t="n">
        <f aca="false">G994*H994*(1-J994)</f>
        <v>664.867</v>
      </c>
      <c r="L994" s="4" t="n">
        <f aca="false">G994*I994</f>
        <v>361</v>
      </c>
      <c r="M994" s="4" t="n">
        <f aca="false">K994-L994</f>
        <v>303.867</v>
      </c>
      <c r="N994" s="6" t="n">
        <f aca="false">IF(K994=0,0,M994/K994)</f>
        <v>0.457034263995656</v>
      </c>
      <c r="O994" s="4" t="n">
        <f aca="false">(G994*H994)-K994</f>
        <v>284.943</v>
      </c>
      <c r="P994" s="3" t="s">
        <v>21</v>
      </c>
    </row>
    <row r="995" customFormat="false" ht="15" hidden="false" customHeight="false" outlineLevel="0" collapsed="false">
      <c r="A995" s="7" t="n">
        <v>46125</v>
      </c>
      <c r="B995" s="8" t="s">
        <v>58</v>
      </c>
      <c r="C995" s="8" t="s">
        <v>58</v>
      </c>
      <c r="D995" s="8" t="s">
        <v>95</v>
      </c>
      <c r="E995" s="8" t="s">
        <v>96</v>
      </c>
      <c r="F995" s="8" t="s">
        <v>50</v>
      </c>
      <c r="G995" s="8" t="n">
        <v>7</v>
      </c>
      <c r="H995" s="9" t="n">
        <v>34.99</v>
      </c>
      <c r="I995" s="9" t="n">
        <v>12</v>
      </c>
      <c r="J995" s="10" t="n">
        <v>0.1</v>
      </c>
      <c r="K995" s="9" t="n">
        <f aca="false">G995*H995*(1-J995)</f>
        <v>220.437</v>
      </c>
      <c r="L995" s="9" t="n">
        <f aca="false">G995*I995</f>
        <v>84</v>
      </c>
      <c r="M995" s="9" t="n">
        <f aca="false">K995-L995</f>
        <v>136.437</v>
      </c>
      <c r="N995" s="11" t="n">
        <f aca="false">IF(K995=0,0,M995/K995)</f>
        <v>0.618938744403163</v>
      </c>
      <c r="O995" s="9" t="n">
        <f aca="false">(G995*H995)-K995</f>
        <v>24.493</v>
      </c>
      <c r="P995" s="8" t="s">
        <v>21</v>
      </c>
    </row>
    <row r="996" customFormat="false" ht="15" hidden="false" customHeight="false" outlineLevel="0" collapsed="false">
      <c r="A996" s="2" t="n">
        <v>46103</v>
      </c>
      <c r="B996" s="3" t="s">
        <v>58</v>
      </c>
      <c r="C996" s="3" t="s">
        <v>58</v>
      </c>
      <c r="D996" s="3" t="s">
        <v>61</v>
      </c>
      <c r="E996" s="3" t="s">
        <v>62</v>
      </c>
      <c r="F996" s="3" t="s">
        <v>34</v>
      </c>
      <c r="G996" s="3" t="n">
        <v>21</v>
      </c>
      <c r="H996" s="4" t="n">
        <v>12.99</v>
      </c>
      <c r="I996" s="4" t="n">
        <v>4.5</v>
      </c>
      <c r="J996" s="5" t="n">
        <v>0</v>
      </c>
      <c r="K996" s="4" t="n">
        <f aca="false">G996*H996*(1-J996)</f>
        <v>272.79</v>
      </c>
      <c r="L996" s="4" t="n">
        <f aca="false">G996*I996</f>
        <v>94.5</v>
      </c>
      <c r="M996" s="4" t="n">
        <f aca="false">K996-L996</f>
        <v>178.29</v>
      </c>
      <c r="N996" s="6" t="n">
        <f aca="false">IF(K996=0,0,M996/K996)</f>
        <v>0.653579676674365</v>
      </c>
      <c r="O996" s="4" t="n">
        <f aca="false">(G996*H996)-K996</f>
        <v>0</v>
      </c>
      <c r="P996" s="3" t="s">
        <v>21</v>
      </c>
    </row>
    <row r="997" customFormat="false" ht="15" hidden="false" customHeight="false" outlineLevel="0" collapsed="false">
      <c r="A997" s="7" t="n">
        <v>46079</v>
      </c>
      <c r="B997" s="8" t="s">
        <v>58</v>
      </c>
      <c r="C997" s="8" t="s">
        <v>58</v>
      </c>
      <c r="D997" s="8" t="s">
        <v>46</v>
      </c>
      <c r="E997" s="8" t="s">
        <v>47</v>
      </c>
      <c r="F997" s="8" t="s">
        <v>20</v>
      </c>
      <c r="G997" s="8" t="n">
        <v>1</v>
      </c>
      <c r="H997" s="9" t="n">
        <v>44.99</v>
      </c>
      <c r="I997" s="9" t="n">
        <v>18</v>
      </c>
      <c r="J997" s="10" t="n">
        <v>0.3</v>
      </c>
      <c r="K997" s="9" t="n">
        <f aca="false">G997*H997*(1-J997)</f>
        <v>31.493</v>
      </c>
      <c r="L997" s="9" t="n">
        <f aca="false">G997*I997</f>
        <v>18</v>
      </c>
      <c r="M997" s="9" t="n">
        <f aca="false">K997-L997</f>
        <v>13.493</v>
      </c>
      <c r="N997" s="11" t="n">
        <f aca="false">IF(K997=0,0,M997/K997)</f>
        <v>0.428444416219477</v>
      </c>
      <c r="O997" s="9" t="n">
        <f aca="false">(G997*H997)-K997</f>
        <v>13.497</v>
      </c>
      <c r="P997" s="8" t="s">
        <v>21</v>
      </c>
    </row>
    <row r="998" customFormat="false" ht="15" hidden="false" customHeight="false" outlineLevel="0" collapsed="false">
      <c r="A998" s="2" t="n">
        <v>46062</v>
      </c>
      <c r="B998" s="3" t="s">
        <v>41</v>
      </c>
      <c r="C998" s="3" t="s">
        <v>28</v>
      </c>
      <c r="D998" s="3" t="s">
        <v>66</v>
      </c>
      <c r="E998" s="3" t="s">
        <v>67</v>
      </c>
      <c r="F998" s="3" t="s">
        <v>57</v>
      </c>
      <c r="G998" s="3" t="n">
        <v>18</v>
      </c>
      <c r="H998" s="4" t="n">
        <v>14.99</v>
      </c>
      <c r="I998" s="4" t="n">
        <v>5.5</v>
      </c>
      <c r="J998" s="5" t="n">
        <v>0.2</v>
      </c>
      <c r="K998" s="4" t="n">
        <f aca="false">G998*H998*(1-J998)</f>
        <v>215.856</v>
      </c>
      <c r="L998" s="4" t="n">
        <f aca="false">G998*I998</f>
        <v>99</v>
      </c>
      <c r="M998" s="4" t="n">
        <f aca="false">K998-L998</f>
        <v>116.856</v>
      </c>
      <c r="N998" s="6" t="n">
        <f aca="false">IF(K998=0,0,M998/K998)</f>
        <v>0.541360907271514</v>
      </c>
      <c r="O998" s="4" t="n">
        <f aca="false">(G998*H998)-K998</f>
        <v>53.964</v>
      </c>
      <c r="P998" s="3" t="s">
        <v>21</v>
      </c>
    </row>
    <row r="999" customFormat="false" ht="15" hidden="false" customHeight="false" outlineLevel="0" collapsed="false">
      <c r="A999" s="7" t="n">
        <v>46050</v>
      </c>
      <c r="B999" s="8" t="s">
        <v>58</v>
      </c>
      <c r="C999" s="8" t="s">
        <v>58</v>
      </c>
      <c r="D999" s="8" t="s">
        <v>53</v>
      </c>
      <c r="E999" s="8" t="s">
        <v>54</v>
      </c>
      <c r="F999" s="8" t="s">
        <v>50</v>
      </c>
      <c r="G999" s="8" t="n">
        <v>8</v>
      </c>
      <c r="H999" s="9" t="n">
        <v>22.99</v>
      </c>
      <c r="I999" s="9" t="n">
        <v>8</v>
      </c>
      <c r="J999" s="10" t="n">
        <v>0.1</v>
      </c>
      <c r="K999" s="9" t="n">
        <f aca="false">G999*H999*(1-J999)</f>
        <v>165.528</v>
      </c>
      <c r="L999" s="9" t="n">
        <f aca="false">G999*I999</f>
        <v>64</v>
      </c>
      <c r="M999" s="9" t="n">
        <f aca="false">K999-L999</f>
        <v>101.528</v>
      </c>
      <c r="N999" s="11" t="n">
        <f aca="false">IF(K999=0,0,M999/K999)</f>
        <v>0.613358465033106</v>
      </c>
      <c r="O999" s="9" t="n">
        <f aca="false">(G999*H999)-K999</f>
        <v>18.392</v>
      </c>
      <c r="P999" s="8" t="s">
        <v>21</v>
      </c>
    </row>
    <row r="1000" customFormat="false" ht="15" hidden="false" customHeight="false" outlineLevel="0" collapsed="false">
      <c r="A1000" s="2" t="n">
        <v>46099</v>
      </c>
      <c r="B1000" s="3" t="s">
        <v>31</v>
      </c>
      <c r="C1000" s="3" t="s">
        <v>23</v>
      </c>
      <c r="D1000" s="3" t="s">
        <v>55</v>
      </c>
      <c r="E1000" s="3" t="s">
        <v>56</v>
      </c>
      <c r="F1000" s="3" t="s">
        <v>57</v>
      </c>
      <c r="G1000" s="3" t="n">
        <v>5</v>
      </c>
      <c r="H1000" s="4" t="n">
        <v>29.99</v>
      </c>
      <c r="I1000" s="4" t="n">
        <v>11</v>
      </c>
      <c r="J1000" s="5" t="n">
        <v>0.05</v>
      </c>
      <c r="K1000" s="4" t="n">
        <f aca="false">G1000*H1000*(1-J1000)</f>
        <v>142.4525</v>
      </c>
      <c r="L1000" s="4" t="n">
        <f aca="false">G1000*I1000</f>
        <v>55</v>
      </c>
      <c r="M1000" s="4" t="n">
        <f aca="false">K1000-L1000</f>
        <v>87.4525</v>
      </c>
      <c r="N1000" s="6" t="n">
        <f aca="false">IF(K1000=0,0,M1000/K1000)</f>
        <v>0.613906389849248</v>
      </c>
      <c r="O1000" s="4" t="n">
        <f aca="false">(G1000*H1000)-K1000</f>
        <v>7.4975</v>
      </c>
      <c r="P1000" s="3" t="s">
        <v>21</v>
      </c>
    </row>
    <row r="1001" customFormat="false" ht="15" hidden="false" customHeight="false" outlineLevel="0" collapsed="false">
      <c r="A1001" s="7" t="n">
        <v>46093</v>
      </c>
      <c r="B1001" s="8" t="s">
        <v>64</v>
      </c>
      <c r="C1001" s="8" t="s">
        <v>65</v>
      </c>
      <c r="D1001" s="8" t="s">
        <v>35</v>
      </c>
      <c r="E1001" s="8" t="s">
        <v>36</v>
      </c>
      <c r="F1001" s="8" t="s">
        <v>26</v>
      </c>
      <c r="G1001" s="8" t="n">
        <v>3</v>
      </c>
      <c r="H1001" s="9" t="n">
        <v>69.99</v>
      </c>
      <c r="I1001" s="9" t="n">
        <v>30</v>
      </c>
      <c r="J1001" s="10" t="n">
        <v>0.1</v>
      </c>
      <c r="K1001" s="9" t="n">
        <f aca="false">G1001*H1001*(1-J1001)</f>
        <v>188.973</v>
      </c>
      <c r="L1001" s="9" t="n">
        <f aca="false">G1001*I1001</f>
        <v>90</v>
      </c>
      <c r="M1001" s="9" t="n">
        <f aca="false">K1001-L1001</f>
        <v>98.973</v>
      </c>
      <c r="N1001" s="11" t="n">
        <f aca="false">IF(K1001=0,0,M1001/K1001)</f>
        <v>0.523741486879078</v>
      </c>
      <c r="O1001" s="9" t="n">
        <f aca="false">(G1001*H1001)-K1001</f>
        <v>20.997</v>
      </c>
      <c r="P1001" s="8" t="s">
        <v>21</v>
      </c>
    </row>
    <row r="1002" customFormat="false" ht="15" hidden="false" customHeight="false" outlineLevel="0" collapsed="false">
      <c r="A1002" s="2" t="n">
        <v>46040</v>
      </c>
      <c r="B1002" s="3" t="s">
        <v>58</v>
      </c>
      <c r="C1002" s="3" t="s">
        <v>58</v>
      </c>
      <c r="D1002" s="3" t="s">
        <v>61</v>
      </c>
      <c r="E1002" s="3" t="s">
        <v>62</v>
      </c>
      <c r="F1002" s="3" t="s">
        <v>34</v>
      </c>
      <c r="G1002" s="3" t="n">
        <v>21</v>
      </c>
      <c r="H1002" s="4" t="n">
        <v>14.99</v>
      </c>
      <c r="I1002" s="4" t="n">
        <v>4.5</v>
      </c>
      <c r="J1002" s="5" t="n">
        <v>0.1</v>
      </c>
      <c r="K1002" s="4" t="n">
        <f aca="false">G1002*H1002*(1-J1002)</f>
        <v>283.311</v>
      </c>
      <c r="L1002" s="4" t="n">
        <f aca="false">G1002*I1002</f>
        <v>94.5</v>
      </c>
      <c r="M1002" s="4" t="n">
        <f aca="false">K1002-L1002</f>
        <v>188.811</v>
      </c>
      <c r="N1002" s="6" t="n">
        <f aca="false">IF(K1002=0,0,M1002/K1002)</f>
        <v>0.666444296197465</v>
      </c>
      <c r="O1002" s="4" t="n">
        <f aca="false">(G1002*H1002)-K1002</f>
        <v>31.479</v>
      </c>
      <c r="P1002" s="3" t="s">
        <v>21</v>
      </c>
    </row>
    <row r="1003" customFormat="false" ht="15" hidden="false" customHeight="false" outlineLevel="0" collapsed="false">
      <c r="A1003" s="7" t="n">
        <v>46078</v>
      </c>
      <c r="B1003" s="8" t="s">
        <v>58</v>
      </c>
      <c r="C1003" s="8" t="s">
        <v>58</v>
      </c>
      <c r="D1003" s="8" t="s">
        <v>44</v>
      </c>
      <c r="E1003" s="8" t="s">
        <v>45</v>
      </c>
      <c r="F1003" s="8" t="s">
        <v>40</v>
      </c>
      <c r="G1003" s="8" t="n">
        <v>11</v>
      </c>
      <c r="H1003" s="9" t="n">
        <v>29.99</v>
      </c>
      <c r="I1003" s="9" t="n">
        <v>11</v>
      </c>
      <c r="J1003" s="10" t="n">
        <v>0.6</v>
      </c>
      <c r="K1003" s="9" t="n">
        <f aca="false">G1003*H1003*(1-J1003)</f>
        <v>131.956</v>
      </c>
      <c r="L1003" s="9" t="n">
        <f aca="false">G1003*I1003</f>
        <v>121</v>
      </c>
      <c r="M1003" s="9" t="n">
        <f aca="false">K1003-L1003</f>
        <v>10.956</v>
      </c>
      <c r="N1003" s="11" t="n">
        <f aca="false">IF(K1003=0,0,M1003/K1003)</f>
        <v>0.0830276758919639</v>
      </c>
      <c r="O1003" s="9" t="n">
        <f aca="false">(G1003*H1003)-K1003</f>
        <v>197.934</v>
      </c>
      <c r="P1003" s="14" t="s">
        <v>97</v>
      </c>
    </row>
    <row r="1004" customFormat="false" ht="15" hidden="false" customHeight="false" outlineLevel="0" collapsed="false">
      <c r="A1004" s="2" t="n">
        <v>46080</v>
      </c>
      <c r="B1004" s="3" t="s">
        <v>41</v>
      </c>
      <c r="C1004" s="3" t="s">
        <v>28</v>
      </c>
      <c r="D1004" s="3" t="s">
        <v>93</v>
      </c>
      <c r="E1004" s="3" t="s">
        <v>94</v>
      </c>
      <c r="F1004" s="3" t="s">
        <v>34</v>
      </c>
      <c r="G1004" s="3" t="n">
        <v>12</v>
      </c>
      <c r="H1004" s="4" t="n">
        <v>29.99</v>
      </c>
      <c r="I1004" s="4" t="n">
        <v>9</v>
      </c>
      <c r="J1004" s="5" t="n">
        <v>0.7</v>
      </c>
      <c r="K1004" s="4" t="n">
        <f aca="false">G1004*H1004*(1-J1004)</f>
        <v>107.964</v>
      </c>
      <c r="L1004" s="4" t="n">
        <f aca="false">G1004*I1004</f>
        <v>108</v>
      </c>
      <c r="M1004" s="4" t="n">
        <f aca="false">K1004-L1004</f>
        <v>-0.0359999999999872</v>
      </c>
      <c r="N1004" s="6" t="n">
        <f aca="false">IF(K1004=0,0,M1004/K1004)</f>
        <v>-0.000333444481493712</v>
      </c>
      <c r="O1004" s="4" t="n">
        <f aca="false">(G1004*H1004)-K1004</f>
        <v>251.916</v>
      </c>
      <c r="P1004" s="14" t="s">
        <v>97</v>
      </c>
    </row>
    <row r="1005" customFormat="false" ht="15" hidden="false" customHeight="false" outlineLevel="0" collapsed="false">
      <c r="A1005" s="7" t="n">
        <v>46081</v>
      </c>
      <c r="B1005" s="8" t="s">
        <v>31</v>
      </c>
      <c r="C1005" s="8" t="s">
        <v>23</v>
      </c>
      <c r="D1005" s="8" t="s">
        <v>78</v>
      </c>
      <c r="E1005" s="8" t="s">
        <v>79</v>
      </c>
      <c r="F1005" s="8" t="s">
        <v>20</v>
      </c>
      <c r="G1005" s="8" t="n">
        <v>8</v>
      </c>
      <c r="H1005" s="9" t="n">
        <v>39.99</v>
      </c>
      <c r="I1005" s="9" t="n">
        <v>16</v>
      </c>
      <c r="J1005" s="10" t="n">
        <v>0.2</v>
      </c>
      <c r="K1005" s="9" t="n">
        <f aca="false">G1005*H1005*(1-J1005)</f>
        <v>255.936</v>
      </c>
      <c r="L1005" s="9" t="n">
        <f aca="false">G1005*I1005</f>
        <v>128</v>
      </c>
      <c r="M1005" s="9" t="n">
        <f aca="false">K1005-L1005</f>
        <v>127.936</v>
      </c>
      <c r="N1005" s="11" t="n">
        <f aca="false">IF(K1005=0,0,M1005/K1005)</f>
        <v>0.499874968742186</v>
      </c>
      <c r="O1005" s="9" t="n">
        <f aca="false">(G1005*H1005)-K1005</f>
        <v>63.984</v>
      </c>
      <c r="P1005" s="8" t="s">
        <v>21</v>
      </c>
    </row>
    <row r="1006" customFormat="false" ht="15" hidden="false" customHeight="false" outlineLevel="0" collapsed="false">
      <c r="A1006" s="2" t="n">
        <v>46033</v>
      </c>
      <c r="B1006" s="3" t="s">
        <v>37</v>
      </c>
      <c r="C1006" s="3" t="s">
        <v>17</v>
      </c>
      <c r="D1006" s="3" t="s">
        <v>74</v>
      </c>
      <c r="E1006" s="3" t="s">
        <v>75</v>
      </c>
      <c r="F1006" s="3" t="s">
        <v>40</v>
      </c>
      <c r="G1006" s="3" t="n">
        <v>5</v>
      </c>
      <c r="H1006" s="4" t="n">
        <v>29.99</v>
      </c>
      <c r="I1006" s="4" t="n">
        <v>13</v>
      </c>
      <c r="J1006" s="5" t="n">
        <v>0.2</v>
      </c>
      <c r="K1006" s="4" t="n">
        <f aca="false">G1006*H1006*(1-J1006)</f>
        <v>119.96</v>
      </c>
      <c r="L1006" s="4" t="n">
        <f aca="false">G1006*I1006</f>
        <v>65</v>
      </c>
      <c r="M1006" s="4" t="n">
        <f aca="false">K1006-L1006</f>
        <v>54.96</v>
      </c>
      <c r="N1006" s="6" t="n">
        <f aca="false">IF(K1006=0,0,M1006/K1006)</f>
        <v>0.458152717572524</v>
      </c>
      <c r="O1006" s="4" t="n">
        <f aca="false">(G1006*H1006)-K1006</f>
        <v>29.99</v>
      </c>
      <c r="P1006" s="3" t="s">
        <v>21</v>
      </c>
    </row>
    <row r="1007" customFormat="false" ht="15" hidden="false" customHeight="false" outlineLevel="0" collapsed="false">
      <c r="A1007" s="7" t="n">
        <v>46038</v>
      </c>
      <c r="B1007" s="8" t="s">
        <v>31</v>
      </c>
      <c r="C1007" s="8" t="s">
        <v>23</v>
      </c>
      <c r="D1007" s="8" t="s">
        <v>82</v>
      </c>
      <c r="E1007" s="8" t="s">
        <v>83</v>
      </c>
      <c r="F1007" s="8" t="s">
        <v>26</v>
      </c>
      <c r="G1007" s="8" t="n">
        <v>12</v>
      </c>
      <c r="H1007" s="9" t="n">
        <v>44.99</v>
      </c>
      <c r="I1007" s="9" t="n">
        <v>18</v>
      </c>
      <c r="J1007" s="10" t="n">
        <v>0.15</v>
      </c>
      <c r="K1007" s="9" t="n">
        <f aca="false">G1007*H1007*(1-J1007)</f>
        <v>458.898</v>
      </c>
      <c r="L1007" s="9" t="n">
        <f aca="false">G1007*I1007</f>
        <v>216</v>
      </c>
      <c r="M1007" s="9" t="n">
        <f aca="false">K1007-L1007</f>
        <v>242.898</v>
      </c>
      <c r="N1007" s="11" t="n">
        <f aca="false">IF(K1007=0,0,M1007/K1007)</f>
        <v>0.529307166298393</v>
      </c>
      <c r="O1007" s="9" t="n">
        <f aca="false">(G1007*H1007)-K1007</f>
        <v>80.982</v>
      </c>
      <c r="P1007" s="8" t="s">
        <v>21</v>
      </c>
    </row>
    <row r="1008" customFormat="false" ht="15" hidden="false" customHeight="false" outlineLevel="0" collapsed="false">
      <c r="A1008" s="2" t="n">
        <v>46072</v>
      </c>
      <c r="B1008" s="3" t="s">
        <v>37</v>
      </c>
      <c r="C1008" s="3" t="s">
        <v>17</v>
      </c>
      <c r="D1008" s="3" t="s">
        <v>35</v>
      </c>
      <c r="E1008" s="3" t="s">
        <v>36</v>
      </c>
      <c r="F1008" s="3" t="s">
        <v>26</v>
      </c>
      <c r="G1008" s="3" t="n">
        <v>7</v>
      </c>
      <c r="H1008" s="4" t="n">
        <v>69.99</v>
      </c>
      <c r="I1008" s="4" t="n">
        <v>30</v>
      </c>
      <c r="J1008" s="5" t="n">
        <v>0.1</v>
      </c>
      <c r="K1008" s="4" t="n">
        <f aca="false">G1008*H1008*(1-J1008)</f>
        <v>440.937</v>
      </c>
      <c r="L1008" s="4" t="n">
        <f aca="false">G1008*I1008</f>
        <v>210</v>
      </c>
      <c r="M1008" s="4" t="n">
        <f aca="false">K1008-L1008</f>
        <v>230.937</v>
      </c>
      <c r="N1008" s="6" t="n">
        <f aca="false">IF(K1008=0,0,M1008/K1008)</f>
        <v>0.523741486879078</v>
      </c>
      <c r="O1008" s="4" t="n">
        <f aca="false">(G1008*H1008)-K1008</f>
        <v>48.993</v>
      </c>
      <c r="P1008" s="3" t="s">
        <v>21</v>
      </c>
    </row>
    <row r="1009" customFormat="false" ht="15" hidden="false" customHeight="false" outlineLevel="0" collapsed="false">
      <c r="A1009" s="7" t="n">
        <v>46061</v>
      </c>
      <c r="B1009" s="8" t="s">
        <v>37</v>
      </c>
      <c r="C1009" s="8" t="s">
        <v>17</v>
      </c>
      <c r="D1009" s="8" t="s">
        <v>68</v>
      </c>
      <c r="E1009" s="8" t="s">
        <v>69</v>
      </c>
      <c r="F1009" s="8" t="s">
        <v>40</v>
      </c>
      <c r="G1009" s="8" t="n">
        <v>8</v>
      </c>
      <c r="H1009" s="9" t="n">
        <v>8.2</v>
      </c>
      <c r="I1009" s="9" t="n">
        <v>9</v>
      </c>
      <c r="J1009" s="10" t="n">
        <v>0</v>
      </c>
      <c r="K1009" s="9" t="n">
        <f aca="false">G1009*H1009*(1-J1009)</f>
        <v>65.6</v>
      </c>
      <c r="L1009" s="9" t="n">
        <f aca="false">G1009*I1009</f>
        <v>72</v>
      </c>
      <c r="M1009" s="9" t="n">
        <f aca="false">K1009-L1009</f>
        <v>-6.40000000000001</v>
      </c>
      <c r="N1009" s="11" t="n">
        <f aca="false">IF(K1009=0,0,M1009/K1009)</f>
        <v>-0.0975609756097562</v>
      </c>
      <c r="O1009" s="9" t="n">
        <f aca="false">(G1009*H1009)-K1009</f>
        <v>0</v>
      </c>
      <c r="P1009" s="15" t="s">
        <v>98</v>
      </c>
    </row>
    <row r="1010" customFormat="false" ht="15" hidden="false" customHeight="false" outlineLevel="0" collapsed="false">
      <c r="A1010" s="2" t="n">
        <v>46023</v>
      </c>
      <c r="B1010" s="3" t="s">
        <v>64</v>
      </c>
      <c r="C1010" s="3" t="s">
        <v>65</v>
      </c>
      <c r="D1010" s="3" t="s">
        <v>53</v>
      </c>
      <c r="E1010" s="3" t="s">
        <v>54</v>
      </c>
      <c r="F1010" s="3" t="s">
        <v>50</v>
      </c>
      <c r="G1010" s="3" t="n">
        <v>23</v>
      </c>
      <c r="H1010" s="4" t="n">
        <v>22.99</v>
      </c>
      <c r="I1010" s="4" t="n">
        <v>8</v>
      </c>
      <c r="J1010" s="5" t="n">
        <v>0.25</v>
      </c>
      <c r="K1010" s="4" t="n">
        <f aca="false">G1010*H1010*(1-J1010)</f>
        <v>396.5775</v>
      </c>
      <c r="L1010" s="4" t="n">
        <f aca="false">G1010*I1010</f>
        <v>184</v>
      </c>
      <c r="M1010" s="4" t="n">
        <f aca="false">K1010-L1010</f>
        <v>212.5775</v>
      </c>
      <c r="N1010" s="6" t="n">
        <f aca="false">IF(K1010=0,0,M1010/K1010)</f>
        <v>0.536030158039727</v>
      </c>
      <c r="O1010" s="4" t="n">
        <f aca="false">(G1010*H1010)-K1010</f>
        <v>132.1925</v>
      </c>
      <c r="P1010" s="3" t="s">
        <v>21</v>
      </c>
    </row>
    <row r="1011" customFormat="false" ht="15" hidden="false" customHeight="false" outlineLevel="0" collapsed="false">
      <c r="A1011" s="7" t="n">
        <v>46101</v>
      </c>
      <c r="B1011" s="8" t="s">
        <v>27</v>
      </c>
      <c r="C1011" s="8" t="s">
        <v>28</v>
      </c>
      <c r="D1011" s="8" t="s">
        <v>61</v>
      </c>
      <c r="E1011" s="8" t="s">
        <v>62</v>
      </c>
      <c r="F1011" s="8" t="s">
        <v>34</v>
      </c>
      <c r="G1011" s="8" t="n">
        <v>30</v>
      </c>
      <c r="H1011" s="9" t="n">
        <v>12.99</v>
      </c>
      <c r="I1011" s="9" t="n">
        <v>4.5</v>
      </c>
      <c r="J1011" s="10" t="n">
        <v>0.15</v>
      </c>
      <c r="K1011" s="9" t="n">
        <f aca="false">G1011*H1011*(1-J1011)</f>
        <v>331.245</v>
      </c>
      <c r="L1011" s="9" t="n">
        <f aca="false">G1011*I1011</f>
        <v>135</v>
      </c>
      <c r="M1011" s="9" t="n">
        <f aca="false">K1011-L1011</f>
        <v>196.245</v>
      </c>
      <c r="N1011" s="11" t="n">
        <f aca="false">IF(K1011=0,0,M1011/K1011)</f>
        <v>0.592446678440429</v>
      </c>
      <c r="O1011" s="9" t="n">
        <f aca="false">(G1011*H1011)-K1011</f>
        <v>58.455</v>
      </c>
      <c r="P1011" s="8" t="s">
        <v>21</v>
      </c>
    </row>
    <row r="1012" customFormat="false" ht="15" hidden="false" customHeight="false" outlineLevel="0" collapsed="false">
      <c r="A1012" s="2" t="n">
        <v>46088</v>
      </c>
      <c r="B1012" s="3" t="s">
        <v>22</v>
      </c>
      <c r="C1012" s="3" t="s">
        <v>23</v>
      </c>
      <c r="D1012" s="3" t="s">
        <v>55</v>
      </c>
      <c r="E1012" s="3" t="s">
        <v>56</v>
      </c>
      <c r="F1012" s="3" t="s">
        <v>57</v>
      </c>
      <c r="G1012" s="3" t="n">
        <v>2</v>
      </c>
      <c r="H1012" s="4" t="n">
        <v>35.88</v>
      </c>
      <c r="I1012" s="4" t="n">
        <v>11</v>
      </c>
      <c r="J1012" s="5" t="n">
        <v>0</v>
      </c>
      <c r="K1012" s="4" t="n">
        <f aca="false">G1012*H1012*(1-J1012)</f>
        <v>71.76</v>
      </c>
      <c r="L1012" s="4" t="n">
        <f aca="false">G1012*I1012</f>
        <v>22</v>
      </c>
      <c r="M1012" s="4" t="n">
        <f aca="false">K1012-L1012</f>
        <v>49.76</v>
      </c>
      <c r="N1012" s="6" t="n">
        <f aca="false">IF(K1012=0,0,M1012/K1012)</f>
        <v>0.693422519509476</v>
      </c>
      <c r="O1012" s="4" t="n">
        <f aca="false">(G1012*H1012)-K1012</f>
        <v>0</v>
      </c>
      <c r="P1012" s="12" t="s">
        <v>63</v>
      </c>
    </row>
    <row r="1013" customFormat="false" ht="15" hidden="false" customHeight="false" outlineLevel="0" collapsed="false">
      <c r="A1013" s="7" t="n">
        <v>46108</v>
      </c>
      <c r="B1013" s="8" t="s">
        <v>64</v>
      </c>
      <c r="C1013" s="8" t="s">
        <v>65</v>
      </c>
      <c r="D1013" s="8" t="s">
        <v>93</v>
      </c>
      <c r="E1013" s="8" t="s">
        <v>94</v>
      </c>
      <c r="F1013" s="8" t="s">
        <v>34</v>
      </c>
      <c r="G1013" s="8" t="n">
        <v>6</v>
      </c>
      <c r="H1013" s="9" t="n">
        <v>29.99</v>
      </c>
      <c r="I1013" s="9" t="n">
        <v>9</v>
      </c>
      <c r="J1013" s="10" t="n">
        <v>0.15</v>
      </c>
      <c r="K1013" s="9" t="n">
        <f aca="false">G1013*H1013*(1-J1013)</f>
        <v>152.949</v>
      </c>
      <c r="L1013" s="9" t="n">
        <f aca="false">G1013*I1013</f>
        <v>54</v>
      </c>
      <c r="M1013" s="9" t="n">
        <f aca="false">K1013-L1013</f>
        <v>98.949</v>
      </c>
      <c r="N1013" s="11" t="n">
        <f aca="false">IF(K1013=0,0,M1013/K1013)</f>
        <v>0.646941137241826</v>
      </c>
      <c r="O1013" s="9" t="n">
        <f aca="false">(G1013*H1013)-K1013</f>
        <v>26.991</v>
      </c>
      <c r="P1013" s="8" t="s">
        <v>21</v>
      </c>
    </row>
    <row r="1014" customFormat="false" ht="15" hidden="false" customHeight="false" outlineLevel="0" collapsed="false">
      <c r="A1014" s="2" t="n">
        <v>46063</v>
      </c>
      <c r="B1014" s="3" t="s">
        <v>37</v>
      </c>
      <c r="C1014" s="3" t="s">
        <v>17</v>
      </c>
      <c r="D1014" s="3" t="s">
        <v>24</v>
      </c>
      <c r="E1014" s="3" t="s">
        <v>25</v>
      </c>
      <c r="F1014" s="3" t="s">
        <v>26</v>
      </c>
      <c r="G1014" s="3" t="n">
        <v>7</v>
      </c>
      <c r="H1014" s="4" t="n">
        <v>54.99</v>
      </c>
      <c r="I1014" s="4" t="n">
        <v>24</v>
      </c>
      <c r="J1014" s="5" t="n">
        <v>0.25</v>
      </c>
      <c r="K1014" s="4" t="n">
        <f aca="false">G1014*H1014*(1-J1014)</f>
        <v>288.6975</v>
      </c>
      <c r="L1014" s="4" t="n">
        <f aca="false">G1014*I1014</f>
        <v>168</v>
      </c>
      <c r="M1014" s="4" t="n">
        <f aca="false">K1014-L1014</f>
        <v>120.6975</v>
      </c>
      <c r="N1014" s="6" t="n">
        <f aca="false">IF(K1014=0,0,M1014/K1014)</f>
        <v>0.418076013820695</v>
      </c>
      <c r="O1014" s="4" t="n">
        <f aca="false">(G1014*H1014)-K1014</f>
        <v>96.2325</v>
      </c>
      <c r="P1014" s="3" t="s">
        <v>21</v>
      </c>
    </row>
    <row r="1015" customFormat="false" ht="15" hidden="false" customHeight="false" outlineLevel="0" collapsed="false">
      <c r="A1015" s="7" t="n">
        <v>46029</v>
      </c>
      <c r="B1015" s="8" t="s">
        <v>41</v>
      </c>
      <c r="C1015" s="8" t="s">
        <v>28</v>
      </c>
      <c r="D1015" s="8" t="s">
        <v>90</v>
      </c>
      <c r="E1015" s="8" t="s">
        <v>91</v>
      </c>
      <c r="F1015" s="8" t="s">
        <v>26</v>
      </c>
      <c r="G1015" s="8" t="n">
        <v>7</v>
      </c>
      <c r="H1015" s="9" t="n">
        <v>29.99</v>
      </c>
      <c r="I1015" s="9" t="n">
        <v>11</v>
      </c>
      <c r="J1015" s="10" t="n">
        <v>0.1</v>
      </c>
      <c r="K1015" s="9" t="n">
        <f aca="false">G1015*H1015*(1-J1015)</f>
        <v>188.937</v>
      </c>
      <c r="L1015" s="9" t="n">
        <f aca="false">G1015*I1015</f>
        <v>77</v>
      </c>
      <c r="M1015" s="9" t="n">
        <f aca="false">K1015-L1015</f>
        <v>111.937</v>
      </c>
      <c r="N1015" s="11" t="n">
        <f aca="false">IF(K1015=0,0,M1015/K1015)</f>
        <v>0.592456744840873</v>
      </c>
      <c r="O1015" s="9" t="n">
        <f aca="false">(G1015*H1015)-K1015</f>
        <v>20.993</v>
      </c>
      <c r="P1015" s="8" t="s">
        <v>21</v>
      </c>
    </row>
    <row r="1016" customFormat="false" ht="15" hidden="false" customHeight="false" outlineLevel="0" collapsed="false">
      <c r="A1016" s="2" t="n">
        <v>46110</v>
      </c>
      <c r="B1016" s="3" t="s">
        <v>22</v>
      </c>
      <c r="C1016" s="3" t="s">
        <v>23</v>
      </c>
      <c r="D1016" s="3" t="s">
        <v>76</v>
      </c>
      <c r="E1016" s="3" t="s">
        <v>77</v>
      </c>
      <c r="F1016" s="3" t="s">
        <v>34</v>
      </c>
      <c r="G1016" s="3" t="n">
        <v>29</v>
      </c>
      <c r="H1016" s="4" t="n">
        <v>49.99</v>
      </c>
      <c r="I1016" s="4" t="n">
        <v>14</v>
      </c>
      <c r="J1016" s="5" t="n">
        <v>0.2</v>
      </c>
      <c r="K1016" s="4" t="n">
        <f aca="false">G1016*H1016*(1-J1016)</f>
        <v>1159.768</v>
      </c>
      <c r="L1016" s="4" t="n">
        <f aca="false">G1016*I1016</f>
        <v>406</v>
      </c>
      <c r="M1016" s="4" t="n">
        <f aca="false">K1016-L1016</f>
        <v>753.768</v>
      </c>
      <c r="N1016" s="6" t="n">
        <f aca="false">IF(K1016=0,0,M1016/K1016)</f>
        <v>0.649929985997199</v>
      </c>
      <c r="O1016" s="4" t="n">
        <f aca="false">(G1016*H1016)-K1016</f>
        <v>289.942</v>
      </c>
      <c r="P1016" s="3" t="s">
        <v>21</v>
      </c>
    </row>
    <row r="1017" customFormat="false" ht="15" hidden="false" customHeight="false" outlineLevel="0" collapsed="false">
      <c r="A1017" s="7" t="n">
        <v>46082</v>
      </c>
      <c r="B1017" s="8" t="s">
        <v>58</v>
      </c>
      <c r="C1017" s="8" t="s">
        <v>58</v>
      </c>
      <c r="D1017" s="8" t="s">
        <v>78</v>
      </c>
      <c r="E1017" s="8" t="s">
        <v>79</v>
      </c>
      <c r="F1017" s="8" t="s">
        <v>20</v>
      </c>
      <c r="G1017" s="8" t="n">
        <v>2</v>
      </c>
      <c r="H1017" s="9" t="n">
        <v>39.99</v>
      </c>
      <c r="I1017" s="9" t="n">
        <v>16</v>
      </c>
      <c r="J1017" s="10" t="n">
        <v>0.1</v>
      </c>
      <c r="K1017" s="9" t="n">
        <f aca="false">G1017*H1017*(1-J1017)</f>
        <v>71.982</v>
      </c>
      <c r="L1017" s="9" t="n">
        <f aca="false">G1017*I1017</f>
        <v>32</v>
      </c>
      <c r="M1017" s="9" t="n">
        <f aca="false">K1017-L1017</f>
        <v>39.982</v>
      </c>
      <c r="N1017" s="11" t="n">
        <f aca="false">IF(K1017=0,0,M1017/K1017)</f>
        <v>0.55544441665972</v>
      </c>
      <c r="O1017" s="9" t="n">
        <f aca="false">(G1017*H1017)-K1017</f>
        <v>7.99800000000001</v>
      </c>
      <c r="P1017" s="8" t="s">
        <v>21</v>
      </c>
    </row>
    <row r="1018" customFormat="false" ht="15" hidden="false" customHeight="false" outlineLevel="0" collapsed="false">
      <c r="A1018" s="2" t="n">
        <v>46087</v>
      </c>
      <c r="B1018" s="3" t="s">
        <v>22</v>
      </c>
      <c r="C1018" s="3" t="s">
        <v>23</v>
      </c>
      <c r="D1018" s="3" t="s">
        <v>72</v>
      </c>
      <c r="E1018" s="3" t="s">
        <v>73</v>
      </c>
      <c r="F1018" s="3" t="s">
        <v>57</v>
      </c>
      <c r="G1018" s="3" t="n">
        <v>3</v>
      </c>
      <c r="H1018" s="4" t="n">
        <v>19.99</v>
      </c>
      <c r="I1018" s="4" t="n">
        <v>7</v>
      </c>
      <c r="J1018" s="5" t="n">
        <v>0.2</v>
      </c>
      <c r="K1018" s="4" t="n">
        <f aca="false">G1018*H1018*(1-J1018)</f>
        <v>47.976</v>
      </c>
      <c r="L1018" s="4" t="n">
        <f aca="false">G1018*I1018</f>
        <v>21</v>
      </c>
      <c r="M1018" s="4" t="n">
        <f aca="false">K1018-L1018</f>
        <v>26.976</v>
      </c>
      <c r="N1018" s="6" t="n">
        <f aca="false">IF(K1018=0,0,M1018/K1018)</f>
        <v>0.562281140570285</v>
      </c>
      <c r="O1018" s="4" t="n">
        <f aca="false">(G1018*H1018)-K1018</f>
        <v>11.994</v>
      </c>
      <c r="P1018" s="3" t="s">
        <v>21</v>
      </c>
    </row>
    <row r="1019" customFormat="false" ht="15" hidden="false" customHeight="false" outlineLevel="0" collapsed="false">
      <c r="A1019" s="7" t="n">
        <v>46107</v>
      </c>
      <c r="B1019" s="8" t="s">
        <v>37</v>
      </c>
      <c r="C1019" s="8" t="s">
        <v>17</v>
      </c>
      <c r="D1019" s="8" t="s">
        <v>95</v>
      </c>
      <c r="E1019" s="8" t="s">
        <v>96</v>
      </c>
      <c r="F1019" s="8" t="s">
        <v>50</v>
      </c>
      <c r="G1019" s="8" t="n">
        <v>26</v>
      </c>
      <c r="H1019" s="9" t="n">
        <v>34.99</v>
      </c>
      <c r="I1019" s="9" t="n">
        <v>12</v>
      </c>
      <c r="J1019" s="10" t="n">
        <v>0.1</v>
      </c>
      <c r="K1019" s="9" t="n">
        <f aca="false">G1019*H1019*(1-J1019)</f>
        <v>818.766</v>
      </c>
      <c r="L1019" s="9" t="n">
        <f aca="false">G1019*I1019</f>
        <v>312</v>
      </c>
      <c r="M1019" s="9" t="n">
        <f aca="false">K1019-L1019</f>
        <v>506.766</v>
      </c>
      <c r="N1019" s="11" t="n">
        <f aca="false">IF(K1019=0,0,M1019/K1019)</f>
        <v>0.618938744403163</v>
      </c>
      <c r="O1019" s="9" t="n">
        <f aca="false">(G1019*H1019)-K1019</f>
        <v>90.9739999999999</v>
      </c>
      <c r="P1019" s="8" t="s">
        <v>21</v>
      </c>
    </row>
    <row r="1020" customFormat="false" ht="15" hidden="false" customHeight="false" outlineLevel="0" collapsed="false">
      <c r="A1020" s="2" t="n">
        <v>46097</v>
      </c>
      <c r="B1020" s="3" t="s">
        <v>37</v>
      </c>
      <c r="C1020" s="3" t="s">
        <v>17</v>
      </c>
      <c r="D1020" s="3" t="s">
        <v>82</v>
      </c>
      <c r="E1020" s="3" t="s">
        <v>83</v>
      </c>
      <c r="F1020" s="3" t="s">
        <v>26</v>
      </c>
      <c r="G1020" s="3" t="n">
        <v>9</v>
      </c>
      <c r="H1020" s="4" t="n">
        <v>44.99</v>
      </c>
      <c r="I1020" s="4" t="n">
        <v>18</v>
      </c>
      <c r="J1020" s="5" t="n">
        <v>0.05</v>
      </c>
      <c r="K1020" s="4" t="n">
        <f aca="false">G1020*H1020*(1-J1020)</f>
        <v>384.6645</v>
      </c>
      <c r="L1020" s="4" t="n">
        <f aca="false">G1020*I1020</f>
        <v>162</v>
      </c>
      <c r="M1020" s="4" t="n">
        <f aca="false">K1020-L1020</f>
        <v>222.6645</v>
      </c>
      <c r="N1020" s="6" t="n">
        <f aca="false">IF(K1020=0,0,M1020/K1020)</f>
        <v>0.578853780372247</v>
      </c>
      <c r="O1020" s="4" t="n">
        <f aca="false">(G1020*H1020)-K1020</f>
        <v>20.2455</v>
      </c>
      <c r="P1020" s="3" t="s">
        <v>21</v>
      </c>
    </row>
    <row r="1021" customFormat="false" ht="15" hidden="false" customHeight="false" outlineLevel="0" collapsed="false">
      <c r="A1021" s="7" t="n">
        <v>46058</v>
      </c>
      <c r="B1021" s="8" t="s">
        <v>31</v>
      </c>
      <c r="C1021" s="8" t="s">
        <v>23</v>
      </c>
      <c r="D1021" s="8" t="s">
        <v>42</v>
      </c>
      <c r="E1021" s="8" t="s">
        <v>43</v>
      </c>
      <c r="F1021" s="8" t="s">
        <v>34</v>
      </c>
      <c r="G1021" s="8" t="n">
        <v>26</v>
      </c>
      <c r="H1021" s="9" t="n">
        <v>11.99</v>
      </c>
      <c r="I1021" s="9" t="n">
        <v>3.5</v>
      </c>
      <c r="J1021" s="10" t="n">
        <v>0</v>
      </c>
      <c r="K1021" s="9" t="n">
        <f aca="false">G1021*H1021*(1-J1021)</f>
        <v>311.74</v>
      </c>
      <c r="L1021" s="9" t="n">
        <f aca="false">G1021*I1021</f>
        <v>91</v>
      </c>
      <c r="M1021" s="9" t="n">
        <f aca="false">K1021-L1021</f>
        <v>220.74</v>
      </c>
      <c r="N1021" s="11" t="n">
        <f aca="false">IF(K1021=0,0,M1021/K1021)</f>
        <v>0.708090075062552</v>
      </c>
      <c r="O1021" s="9" t="n">
        <f aca="false">(G1021*H1021)-K1021</f>
        <v>0</v>
      </c>
      <c r="P1021" s="8" t="s">
        <v>21</v>
      </c>
    </row>
    <row r="1022" customFormat="false" ht="15" hidden="false" customHeight="false" outlineLevel="0" collapsed="false">
      <c r="A1022" s="2" t="n">
        <v>46050</v>
      </c>
      <c r="B1022" s="3" t="s">
        <v>27</v>
      </c>
      <c r="C1022" s="3" t="s">
        <v>28</v>
      </c>
      <c r="D1022" s="3" t="s">
        <v>53</v>
      </c>
      <c r="E1022" s="3" t="s">
        <v>54</v>
      </c>
      <c r="F1022" s="3" t="s">
        <v>50</v>
      </c>
      <c r="G1022" s="3" t="n">
        <v>14</v>
      </c>
      <c r="H1022" s="4" t="n">
        <v>22.99</v>
      </c>
      <c r="I1022" s="4" t="n">
        <v>8</v>
      </c>
      <c r="J1022" s="5" t="n">
        <v>0.05</v>
      </c>
      <c r="K1022" s="4" t="n">
        <f aca="false">G1022*H1022*(1-J1022)</f>
        <v>305.767</v>
      </c>
      <c r="L1022" s="4" t="n">
        <f aca="false">G1022*I1022</f>
        <v>112</v>
      </c>
      <c r="M1022" s="4" t="n">
        <f aca="false">K1022-L1022</f>
        <v>193.767</v>
      </c>
      <c r="N1022" s="6" t="n">
        <f aca="false">IF(K1022=0,0,M1022/K1022)</f>
        <v>0.633708019505048</v>
      </c>
      <c r="O1022" s="4" t="n">
        <f aca="false">(G1022*H1022)-K1022</f>
        <v>16.093</v>
      </c>
      <c r="P1022" s="3" t="s">
        <v>21</v>
      </c>
    </row>
    <row r="1023" customFormat="false" ht="15" hidden="false" customHeight="false" outlineLevel="0" collapsed="false">
      <c r="A1023" s="7" t="n">
        <v>46100</v>
      </c>
      <c r="B1023" s="8" t="s">
        <v>37</v>
      </c>
      <c r="C1023" s="8" t="s">
        <v>17</v>
      </c>
      <c r="D1023" s="8" t="s">
        <v>88</v>
      </c>
      <c r="E1023" s="8" t="s">
        <v>89</v>
      </c>
      <c r="F1023" s="8" t="s">
        <v>57</v>
      </c>
      <c r="G1023" s="8" t="n">
        <v>18</v>
      </c>
      <c r="H1023" s="9" t="n">
        <v>12.99</v>
      </c>
      <c r="I1023" s="9" t="n">
        <v>4.5</v>
      </c>
      <c r="J1023" s="10" t="n">
        <v>0</v>
      </c>
      <c r="K1023" s="9" t="n">
        <f aca="false">G1023*H1023*(1-J1023)</f>
        <v>233.82</v>
      </c>
      <c r="L1023" s="9" t="n">
        <f aca="false">G1023*I1023</f>
        <v>81</v>
      </c>
      <c r="M1023" s="9" t="n">
        <f aca="false">K1023-L1023</f>
        <v>152.82</v>
      </c>
      <c r="N1023" s="11" t="n">
        <f aca="false">IF(K1023=0,0,M1023/K1023)</f>
        <v>0.653579676674365</v>
      </c>
      <c r="O1023" s="9" t="n">
        <f aca="false">(G1023*H1023)-K1023</f>
        <v>0</v>
      </c>
      <c r="P1023" s="8" t="s">
        <v>21</v>
      </c>
    </row>
    <row r="1024" customFormat="false" ht="15" hidden="false" customHeight="false" outlineLevel="0" collapsed="false">
      <c r="A1024" s="2" t="n">
        <v>46101</v>
      </c>
      <c r="B1024" s="3" t="s">
        <v>58</v>
      </c>
      <c r="C1024" s="3" t="s">
        <v>58</v>
      </c>
      <c r="D1024" s="3" t="s">
        <v>24</v>
      </c>
      <c r="E1024" s="3" t="s">
        <v>25</v>
      </c>
      <c r="F1024" s="3" t="s">
        <v>26</v>
      </c>
      <c r="G1024" s="3" t="n">
        <v>7</v>
      </c>
      <c r="H1024" s="4" t="n">
        <v>54.99</v>
      </c>
      <c r="I1024" s="4" t="n">
        <v>24</v>
      </c>
      <c r="J1024" s="5" t="n">
        <v>0.3</v>
      </c>
      <c r="K1024" s="4" t="n">
        <f aca="false">G1024*H1024*(1-J1024)</f>
        <v>269.451</v>
      </c>
      <c r="L1024" s="4" t="n">
        <f aca="false">G1024*I1024</f>
        <v>168</v>
      </c>
      <c r="M1024" s="4" t="n">
        <f aca="false">K1024-L1024</f>
        <v>101.451</v>
      </c>
      <c r="N1024" s="6" t="n">
        <f aca="false">IF(K1024=0,0,M1024/K1024)</f>
        <v>0.376510014807887</v>
      </c>
      <c r="O1024" s="4" t="n">
        <f aca="false">(G1024*H1024)-K1024</f>
        <v>115.479</v>
      </c>
      <c r="P1024" s="3" t="s">
        <v>21</v>
      </c>
    </row>
    <row r="1025" customFormat="false" ht="15" hidden="false" customHeight="false" outlineLevel="0" collapsed="false">
      <c r="A1025" s="7" t="n">
        <v>46040</v>
      </c>
      <c r="B1025" s="8" t="s">
        <v>64</v>
      </c>
      <c r="C1025" s="8" t="s">
        <v>65</v>
      </c>
      <c r="D1025" s="8" t="s">
        <v>84</v>
      </c>
      <c r="E1025" s="8" t="s">
        <v>85</v>
      </c>
      <c r="F1025" s="8" t="s">
        <v>20</v>
      </c>
      <c r="G1025" s="8" t="n">
        <v>19</v>
      </c>
      <c r="H1025" s="9" t="n">
        <v>34.99</v>
      </c>
      <c r="I1025" s="9" t="n">
        <v>13</v>
      </c>
      <c r="J1025" s="10" t="n">
        <v>0.25</v>
      </c>
      <c r="K1025" s="9" t="n">
        <f aca="false">G1025*H1025*(1-J1025)</f>
        <v>498.6075</v>
      </c>
      <c r="L1025" s="9" t="n">
        <f aca="false">G1025*I1025</f>
        <v>247</v>
      </c>
      <c r="M1025" s="9" t="n">
        <f aca="false">K1025-L1025</f>
        <v>251.6075</v>
      </c>
      <c r="N1025" s="11" t="n">
        <f aca="false">IF(K1025=0,0,M1025/K1025)</f>
        <v>0.504620367724112</v>
      </c>
      <c r="O1025" s="9" t="n">
        <f aca="false">(G1025*H1025)-K1025</f>
        <v>166.2025</v>
      </c>
      <c r="P1025" s="8" t="s">
        <v>21</v>
      </c>
    </row>
    <row r="1026" customFormat="false" ht="15" hidden="false" customHeight="false" outlineLevel="0" collapsed="false">
      <c r="A1026" s="2" t="n">
        <v>46037</v>
      </c>
      <c r="B1026" s="3" t="s">
        <v>64</v>
      </c>
      <c r="C1026" s="3" t="s">
        <v>65</v>
      </c>
      <c r="D1026" s="3" t="s">
        <v>90</v>
      </c>
      <c r="E1026" s="3" t="s">
        <v>91</v>
      </c>
      <c r="F1026" s="3" t="s">
        <v>26</v>
      </c>
      <c r="G1026" s="3" t="n">
        <v>15</v>
      </c>
      <c r="H1026" s="4" t="n">
        <v>29.99</v>
      </c>
      <c r="I1026" s="4" t="n">
        <v>11</v>
      </c>
      <c r="J1026" s="5" t="n">
        <v>0.25</v>
      </c>
      <c r="K1026" s="4" t="n">
        <f aca="false">G1026*H1026*(1-J1026)</f>
        <v>337.3875</v>
      </c>
      <c r="L1026" s="4" t="n">
        <f aca="false">G1026*I1026</f>
        <v>165</v>
      </c>
      <c r="M1026" s="4" t="n">
        <f aca="false">K1026-L1026</f>
        <v>172.3875</v>
      </c>
      <c r="N1026" s="6" t="n">
        <f aca="false">IF(K1026=0,0,M1026/K1026)</f>
        <v>0.510948093809048</v>
      </c>
      <c r="O1026" s="4" t="n">
        <f aca="false">(G1026*H1026)-K1026</f>
        <v>112.4625</v>
      </c>
      <c r="P1026" s="3" t="s">
        <v>21</v>
      </c>
    </row>
    <row r="1027" customFormat="false" ht="15" hidden="false" customHeight="false" outlineLevel="0" collapsed="false">
      <c r="A1027" s="7" t="n">
        <v>46099</v>
      </c>
      <c r="B1027" s="8" t="s">
        <v>58</v>
      </c>
      <c r="C1027" s="8" t="s">
        <v>58</v>
      </c>
      <c r="D1027" s="8" t="s">
        <v>38</v>
      </c>
      <c r="E1027" s="8" t="s">
        <v>39</v>
      </c>
      <c r="F1027" s="8" t="s">
        <v>40</v>
      </c>
      <c r="G1027" s="8" t="n">
        <v>12</v>
      </c>
      <c r="H1027" s="9" t="n">
        <v>12.99</v>
      </c>
      <c r="I1027" s="9" t="n">
        <v>4</v>
      </c>
      <c r="J1027" s="10" t="n">
        <v>0.1</v>
      </c>
      <c r="K1027" s="9" t="n">
        <f aca="false">G1027*H1027*(1-J1027)</f>
        <v>140.292</v>
      </c>
      <c r="L1027" s="9" t="n">
        <f aca="false">G1027*I1027</f>
        <v>48</v>
      </c>
      <c r="M1027" s="9" t="n">
        <f aca="false">K1027-L1027</f>
        <v>92.292</v>
      </c>
      <c r="N1027" s="11" t="n">
        <f aca="false">IF(K1027=0,0,M1027/K1027)</f>
        <v>0.657856470789496</v>
      </c>
      <c r="O1027" s="9" t="n">
        <f aca="false">(G1027*H1027)-K1027</f>
        <v>15.588</v>
      </c>
      <c r="P1027" s="8" t="s">
        <v>21</v>
      </c>
    </row>
    <row r="1028" customFormat="false" ht="15" hidden="false" customHeight="false" outlineLevel="0" collapsed="false">
      <c r="A1028" s="2" t="n">
        <v>46086</v>
      </c>
      <c r="B1028" s="3" t="s">
        <v>16</v>
      </c>
      <c r="C1028" s="3" t="s">
        <v>17</v>
      </c>
      <c r="D1028" s="3" t="s">
        <v>44</v>
      </c>
      <c r="E1028" s="3" t="s">
        <v>45</v>
      </c>
      <c r="F1028" s="3" t="s">
        <v>40</v>
      </c>
      <c r="G1028" s="3" t="n">
        <v>23</v>
      </c>
      <c r="H1028" s="4" t="n">
        <v>29.99</v>
      </c>
      <c r="I1028" s="4" t="n">
        <v>11</v>
      </c>
      <c r="J1028" s="5" t="n">
        <v>0.1</v>
      </c>
      <c r="K1028" s="4" t="n">
        <f aca="false">G1028*H1028*(1-J1028)</f>
        <v>620.793</v>
      </c>
      <c r="L1028" s="4" t="n">
        <f aca="false">G1028*I1028</f>
        <v>253</v>
      </c>
      <c r="M1028" s="4" t="n">
        <f aca="false">K1028-L1028</f>
        <v>367.793</v>
      </c>
      <c r="N1028" s="6" t="n">
        <f aca="false">IF(K1028=0,0,M1028/K1028)</f>
        <v>0.592456744840873</v>
      </c>
      <c r="O1028" s="4" t="n">
        <f aca="false">(G1028*H1028)-K1028</f>
        <v>68.977</v>
      </c>
      <c r="P1028" s="3" t="s">
        <v>21</v>
      </c>
    </row>
    <row r="1029" customFormat="false" ht="15" hidden="false" customHeight="false" outlineLevel="0" collapsed="false">
      <c r="A1029" s="7" t="n">
        <v>46040</v>
      </c>
      <c r="B1029" s="8" t="s">
        <v>41</v>
      </c>
      <c r="C1029" s="8" t="s">
        <v>28</v>
      </c>
      <c r="D1029" s="8" t="s">
        <v>86</v>
      </c>
      <c r="E1029" s="8" t="s">
        <v>87</v>
      </c>
      <c r="F1029" s="8" t="s">
        <v>40</v>
      </c>
      <c r="G1029" s="8" t="n">
        <v>16</v>
      </c>
      <c r="H1029" s="9" t="n">
        <v>16.99</v>
      </c>
      <c r="I1029" s="9" t="n">
        <v>5.5</v>
      </c>
      <c r="J1029" s="10" t="n">
        <v>0.1</v>
      </c>
      <c r="K1029" s="9" t="n">
        <f aca="false">G1029*H1029*(1-J1029)</f>
        <v>244.656</v>
      </c>
      <c r="L1029" s="9" t="n">
        <f aca="false">G1029*I1029</f>
        <v>88</v>
      </c>
      <c r="M1029" s="9" t="n">
        <f aca="false">K1029-L1029</f>
        <v>156.656</v>
      </c>
      <c r="N1029" s="11" t="n">
        <f aca="false">IF(K1029=0,0,M1029/K1029)</f>
        <v>0.640311294225361</v>
      </c>
      <c r="O1029" s="9" t="n">
        <f aca="false">(G1029*H1029)-K1029</f>
        <v>27.184</v>
      </c>
      <c r="P1029" s="8" t="s">
        <v>21</v>
      </c>
    </row>
    <row r="1030" customFormat="false" ht="15" hidden="false" customHeight="false" outlineLevel="0" collapsed="false">
      <c r="A1030" s="2" t="n">
        <v>46073</v>
      </c>
      <c r="B1030" s="3" t="s">
        <v>58</v>
      </c>
      <c r="C1030" s="3" t="s">
        <v>58</v>
      </c>
      <c r="D1030" s="3" t="s">
        <v>82</v>
      </c>
      <c r="E1030" s="3" t="s">
        <v>83</v>
      </c>
      <c r="F1030" s="3" t="s">
        <v>26</v>
      </c>
      <c r="G1030" s="3" t="n">
        <v>7</v>
      </c>
      <c r="H1030" s="4" t="n">
        <v>44.99</v>
      </c>
      <c r="I1030" s="4" t="n">
        <v>18</v>
      </c>
      <c r="J1030" s="5" t="n">
        <v>0.25</v>
      </c>
      <c r="K1030" s="4" t="n">
        <f aca="false">G1030*H1030*(1-J1030)</f>
        <v>236.1975</v>
      </c>
      <c r="L1030" s="4" t="n">
        <f aca="false">G1030*I1030</f>
        <v>126</v>
      </c>
      <c r="M1030" s="4" t="n">
        <f aca="false">K1030-L1030</f>
        <v>110.1975</v>
      </c>
      <c r="N1030" s="6" t="n">
        <f aca="false">IF(K1030=0,0,M1030/K1030)</f>
        <v>0.466548121804846</v>
      </c>
      <c r="O1030" s="4" t="n">
        <f aca="false">(G1030*H1030)-K1030</f>
        <v>78.7325</v>
      </c>
      <c r="P1030" s="3" t="s">
        <v>21</v>
      </c>
    </row>
    <row r="1031" customFormat="false" ht="15" hidden="false" customHeight="false" outlineLevel="0" collapsed="false">
      <c r="A1031" s="7" t="n">
        <v>46064</v>
      </c>
      <c r="B1031" s="8" t="s">
        <v>27</v>
      </c>
      <c r="C1031" s="8" t="s">
        <v>28</v>
      </c>
      <c r="D1031" s="8" t="s">
        <v>90</v>
      </c>
      <c r="E1031" s="8" t="s">
        <v>91</v>
      </c>
      <c r="F1031" s="8" t="s">
        <v>26</v>
      </c>
      <c r="G1031" s="8" t="n">
        <v>15</v>
      </c>
      <c r="H1031" s="9" t="n">
        <v>29.99</v>
      </c>
      <c r="I1031" s="9" t="n">
        <v>11</v>
      </c>
      <c r="J1031" s="10" t="n">
        <v>0.25</v>
      </c>
      <c r="K1031" s="9" t="n">
        <f aca="false">G1031*H1031*(1-J1031)</f>
        <v>337.3875</v>
      </c>
      <c r="L1031" s="9" t="n">
        <f aca="false">G1031*I1031</f>
        <v>165</v>
      </c>
      <c r="M1031" s="9" t="n">
        <f aca="false">K1031-L1031</f>
        <v>172.3875</v>
      </c>
      <c r="N1031" s="11" t="n">
        <f aca="false">IF(K1031=0,0,M1031/K1031)</f>
        <v>0.510948093809048</v>
      </c>
      <c r="O1031" s="9" t="n">
        <f aca="false">(G1031*H1031)-K1031</f>
        <v>112.4625</v>
      </c>
      <c r="P1031" s="8" t="s">
        <v>21</v>
      </c>
    </row>
    <row r="1032" customFormat="false" ht="15" hidden="false" customHeight="false" outlineLevel="0" collapsed="false">
      <c r="A1032" s="2" t="n">
        <v>46128</v>
      </c>
      <c r="B1032" s="3" t="s">
        <v>16</v>
      </c>
      <c r="C1032" s="3" t="s">
        <v>17</v>
      </c>
      <c r="D1032" s="3" t="s">
        <v>44</v>
      </c>
      <c r="E1032" s="3" t="s">
        <v>45</v>
      </c>
      <c r="F1032" s="3" t="s">
        <v>40</v>
      </c>
      <c r="G1032" s="3" t="n">
        <v>16</v>
      </c>
      <c r="H1032" s="4" t="n">
        <v>29.99</v>
      </c>
      <c r="I1032" s="4" t="n">
        <v>11</v>
      </c>
      <c r="J1032" s="5" t="n">
        <v>0.1</v>
      </c>
      <c r="K1032" s="4" t="n">
        <f aca="false">G1032*H1032*(1-J1032)</f>
        <v>431.856</v>
      </c>
      <c r="L1032" s="4" t="n">
        <f aca="false">G1032*I1032</f>
        <v>176</v>
      </c>
      <c r="M1032" s="4" t="n">
        <f aca="false">K1032-L1032</f>
        <v>255.856</v>
      </c>
      <c r="N1032" s="6" t="n">
        <f aca="false">IF(K1032=0,0,M1032/K1032)</f>
        <v>0.592456744840873</v>
      </c>
      <c r="O1032" s="4" t="n">
        <f aca="false">(G1032*H1032)-K1032</f>
        <v>47.984</v>
      </c>
      <c r="P1032" s="3" t="s">
        <v>21</v>
      </c>
    </row>
    <row r="1033" customFormat="false" ht="15" hidden="false" customHeight="false" outlineLevel="0" collapsed="false">
      <c r="A1033" s="7" t="n">
        <v>46098</v>
      </c>
      <c r="B1033" s="8" t="s">
        <v>16</v>
      </c>
      <c r="C1033" s="8" t="s">
        <v>17</v>
      </c>
      <c r="D1033" s="8" t="s">
        <v>29</v>
      </c>
      <c r="E1033" s="8" t="s">
        <v>30</v>
      </c>
      <c r="F1033" s="8" t="s">
        <v>20</v>
      </c>
      <c r="G1033" s="8" t="n">
        <v>22</v>
      </c>
      <c r="H1033" s="9" t="n">
        <v>79.99</v>
      </c>
      <c r="I1033" s="9" t="n">
        <v>42</v>
      </c>
      <c r="J1033" s="10" t="n">
        <v>0.25</v>
      </c>
      <c r="K1033" s="9" t="n">
        <f aca="false">G1033*H1033*(1-J1033)</f>
        <v>1319.835</v>
      </c>
      <c r="L1033" s="9" t="n">
        <f aca="false">G1033*I1033</f>
        <v>924</v>
      </c>
      <c r="M1033" s="9" t="n">
        <f aca="false">K1033-L1033</f>
        <v>395.835</v>
      </c>
      <c r="N1033" s="11" t="n">
        <f aca="false">IF(K1033=0,0,M1033/K1033)</f>
        <v>0.299912489061133</v>
      </c>
      <c r="O1033" s="9" t="n">
        <f aca="false">(G1033*H1033)-K1033</f>
        <v>439.945</v>
      </c>
      <c r="P1033" s="8" t="s">
        <v>21</v>
      </c>
    </row>
    <row r="1034" customFormat="false" ht="15" hidden="false" customHeight="false" outlineLevel="0" collapsed="false">
      <c r="A1034" s="2" t="n">
        <v>46051</v>
      </c>
      <c r="B1034" s="3" t="s">
        <v>22</v>
      </c>
      <c r="C1034" s="3" t="s">
        <v>23</v>
      </c>
      <c r="D1034" s="3" t="s">
        <v>24</v>
      </c>
      <c r="E1034" s="3" t="s">
        <v>25</v>
      </c>
      <c r="F1034" s="3" t="s">
        <v>26</v>
      </c>
      <c r="G1034" s="3" t="n">
        <v>26</v>
      </c>
      <c r="H1034" s="4" t="n">
        <v>54.99</v>
      </c>
      <c r="I1034" s="4" t="n">
        <v>24</v>
      </c>
      <c r="J1034" s="5" t="n">
        <v>0</v>
      </c>
      <c r="K1034" s="4" t="n">
        <f aca="false">G1034*H1034*(1-J1034)</f>
        <v>1429.74</v>
      </c>
      <c r="L1034" s="4" t="n">
        <f aca="false">G1034*I1034</f>
        <v>624</v>
      </c>
      <c r="M1034" s="4" t="n">
        <f aca="false">K1034-L1034</f>
        <v>805.74</v>
      </c>
      <c r="N1034" s="6" t="n">
        <f aca="false">IF(K1034=0,0,M1034/K1034)</f>
        <v>0.563557010365521</v>
      </c>
      <c r="O1034" s="4" t="n">
        <f aca="false">(G1034*H1034)-K1034</f>
        <v>0</v>
      </c>
      <c r="P1034" s="3" t="s">
        <v>21</v>
      </c>
    </row>
    <row r="1035" customFormat="false" ht="15" hidden="false" customHeight="false" outlineLevel="0" collapsed="false">
      <c r="A1035" s="7" t="n">
        <v>46112</v>
      </c>
      <c r="B1035" s="8" t="s">
        <v>64</v>
      </c>
      <c r="C1035" s="8" t="s">
        <v>65</v>
      </c>
      <c r="D1035" s="8" t="s">
        <v>48</v>
      </c>
      <c r="E1035" s="8" t="s">
        <v>49</v>
      </c>
      <c r="F1035" s="8" t="s">
        <v>50</v>
      </c>
      <c r="G1035" s="8" t="n">
        <v>9</v>
      </c>
      <c r="H1035" s="9" t="n">
        <v>59.99</v>
      </c>
      <c r="I1035" s="9" t="n">
        <v>20</v>
      </c>
      <c r="J1035" s="10" t="n">
        <v>0</v>
      </c>
      <c r="K1035" s="9" t="n">
        <f aca="false">G1035*H1035*(1-J1035)</f>
        <v>539.91</v>
      </c>
      <c r="L1035" s="9" t="n">
        <f aca="false">G1035*I1035</f>
        <v>180</v>
      </c>
      <c r="M1035" s="9" t="n">
        <f aca="false">K1035-L1035</f>
        <v>359.91</v>
      </c>
      <c r="N1035" s="11" t="n">
        <f aca="false">IF(K1035=0,0,M1035/K1035)</f>
        <v>0.666611101850308</v>
      </c>
      <c r="O1035" s="9" t="n">
        <f aca="false">(G1035*H1035)-K1035</f>
        <v>0</v>
      </c>
      <c r="P1035" s="8" t="s">
        <v>21</v>
      </c>
    </row>
    <row r="1036" customFormat="false" ht="15" hidden="false" customHeight="false" outlineLevel="0" collapsed="false">
      <c r="A1036" s="2" t="n">
        <v>46104</v>
      </c>
      <c r="B1036" s="3" t="s">
        <v>37</v>
      </c>
      <c r="C1036" s="3" t="s">
        <v>17</v>
      </c>
      <c r="D1036" s="3" t="s">
        <v>68</v>
      </c>
      <c r="E1036" s="3" t="s">
        <v>69</v>
      </c>
      <c r="F1036" s="3" t="s">
        <v>40</v>
      </c>
      <c r="G1036" s="3" t="n">
        <v>14</v>
      </c>
      <c r="H1036" s="4" t="n">
        <v>24.99</v>
      </c>
      <c r="I1036" s="4" t="n">
        <v>9</v>
      </c>
      <c r="J1036" s="5" t="n">
        <v>0.05</v>
      </c>
      <c r="K1036" s="4" t="n">
        <f aca="false">G1036*H1036*(1-J1036)</f>
        <v>332.367</v>
      </c>
      <c r="L1036" s="4" t="n">
        <f aca="false">G1036*I1036</f>
        <v>126</v>
      </c>
      <c r="M1036" s="4" t="n">
        <f aca="false">K1036-L1036</f>
        <v>206.367</v>
      </c>
      <c r="N1036" s="6" t="n">
        <f aca="false">IF(K1036=0,0,M1036/K1036)</f>
        <v>0.620900991975738</v>
      </c>
      <c r="O1036" s="4" t="n">
        <f aca="false">(G1036*H1036)-K1036</f>
        <v>17.493</v>
      </c>
      <c r="P1036" s="3" t="s">
        <v>21</v>
      </c>
    </row>
    <row r="1037" customFormat="false" ht="15" hidden="false" customHeight="false" outlineLevel="0" collapsed="false">
      <c r="A1037" s="7" t="n">
        <v>46033</v>
      </c>
      <c r="B1037" s="8" t="s">
        <v>31</v>
      </c>
      <c r="C1037" s="8" t="s">
        <v>23</v>
      </c>
      <c r="D1037" s="8" t="s">
        <v>66</v>
      </c>
      <c r="E1037" s="8" t="s">
        <v>67</v>
      </c>
      <c r="F1037" s="8" t="s">
        <v>57</v>
      </c>
      <c r="G1037" s="8" t="n">
        <v>3</v>
      </c>
      <c r="H1037" s="9" t="n">
        <v>14.99</v>
      </c>
      <c r="I1037" s="9" t="n">
        <v>5.5</v>
      </c>
      <c r="J1037" s="10" t="n">
        <v>0.55</v>
      </c>
      <c r="K1037" s="9" t="n">
        <f aca="false">G1037*H1037*(1-J1037)</f>
        <v>20.2365</v>
      </c>
      <c r="L1037" s="9" t="n">
        <f aca="false">G1037*I1037</f>
        <v>16.5</v>
      </c>
      <c r="M1037" s="9" t="n">
        <f aca="false">K1037-L1037</f>
        <v>3.7365</v>
      </c>
      <c r="N1037" s="11" t="n">
        <f aca="false">IF(K1037=0,0,M1037/K1037)</f>
        <v>0.184641612927136</v>
      </c>
      <c r="O1037" s="9" t="n">
        <f aca="false">(G1037*H1037)-K1037</f>
        <v>24.7335</v>
      </c>
      <c r="P1037" s="14" t="s">
        <v>97</v>
      </c>
    </row>
    <row r="1038" customFormat="false" ht="15" hidden="false" customHeight="false" outlineLevel="0" collapsed="false">
      <c r="A1038" s="2" t="n">
        <v>46121</v>
      </c>
      <c r="B1038" s="3" t="s">
        <v>16</v>
      </c>
      <c r="C1038" s="3" t="s">
        <v>17</v>
      </c>
      <c r="D1038" s="3" t="s">
        <v>32</v>
      </c>
      <c r="E1038" s="3" t="s">
        <v>33</v>
      </c>
      <c r="F1038" s="3" t="s">
        <v>34</v>
      </c>
      <c r="G1038" s="3" t="n">
        <v>9</v>
      </c>
      <c r="H1038" s="4" t="n">
        <v>18.99</v>
      </c>
      <c r="I1038" s="4" t="n">
        <v>6</v>
      </c>
      <c r="J1038" s="5" t="n">
        <v>0</v>
      </c>
      <c r="K1038" s="4" t="n">
        <f aca="false">G1038*H1038*(1-J1038)</f>
        <v>170.91</v>
      </c>
      <c r="L1038" s="4" t="n">
        <f aca="false">G1038*I1038</f>
        <v>54</v>
      </c>
      <c r="M1038" s="4" t="n">
        <f aca="false">K1038-L1038</f>
        <v>116.91</v>
      </c>
      <c r="N1038" s="6" t="n">
        <f aca="false">IF(K1038=0,0,M1038/K1038)</f>
        <v>0.684044233807267</v>
      </c>
      <c r="O1038" s="4" t="n">
        <f aca="false">(G1038*H1038)-K1038</f>
        <v>0</v>
      </c>
      <c r="P1038" s="3" t="s">
        <v>21</v>
      </c>
    </row>
    <row r="1039" customFormat="false" ht="15" hidden="false" customHeight="false" outlineLevel="0" collapsed="false">
      <c r="A1039" s="7" t="n">
        <v>46026</v>
      </c>
      <c r="B1039" s="8" t="s">
        <v>37</v>
      </c>
      <c r="C1039" s="8" t="s">
        <v>17</v>
      </c>
      <c r="D1039" s="8" t="s">
        <v>95</v>
      </c>
      <c r="E1039" s="8" t="s">
        <v>96</v>
      </c>
      <c r="F1039" s="8" t="s">
        <v>50</v>
      </c>
      <c r="G1039" s="8" t="n">
        <v>23</v>
      </c>
      <c r="H1039" s="9" t="n">
        <v>34.99</v>
      </c>
      <c r="I1039" s="9" t="n">
        <v>12</v>
      </c>
      <c r="J1039" s="10" t="n">
        <v>0.25</v>
      </c>
      <c r="K1039" s="9" t="n">
        <f aca="false">G1039*H1039*(1-J1039)</f>
        <v>603.5775</v>
      </c>
      <c r="L1039" s="9" t="n">
        <f aca="false">G1039*I1039</f>
        <v>276</v>
      </c>
      <c r="M1039" s="9" t="n">
        <f aca="false">K1039-L1039</f>
        <v>327.5775</v>
      </c>
      <c r="N1039" s="11" t="n">
        <f aca="false">IF(K1039=0,0,M1039/K1039)</f>
        <v>0.542726493283795</v>
      </c>
      <c r="O1039" s="9" t="n">
        <f aca="false">(G1039*H1039)-K1039</f>
        <v>201.1925</v>
      </c>
      <c r="P1039" s="8" t="s">
        <v>21</v>
      </c>
    </row>
    <row r="1040" customFormat="false" ht="15" hidden="false" customHeight="false" outlineLevel="0" collapsed="false">
      <c r="A1040" s="2" t="n">
        <v>46097</v>
      </c>
      <c r="B1040" s="3" t="s">
        <v>64</v>
      </c>
      <c r="C1040" s="3" t="s">
        <v>65</v>
      </c>
      <c r="D1040" s="3" t="s">
        <v>32</v>
      </c>
      <c r="E1040" s="3" t="s">
        <v>33</v>
      </c>
      <c r="F1040" s="3" t="s">
        <v>34</v>
      </c>
      <c r="G1040" s="3" t="n">
        <v>27</v>
      </c>
      <c r="H1040" s="4" t="n">
        <v>18.99</v>
      </c>
      <c r="I1040" s="4" t="n">
        <v>6</v>
      </c>
      <c r="J1040" s="5" t="n">
        <v>0.15</v>
      </c>
      <c r="K1040" s="4" t="n">
        <f aca="false">G1040*H1040*(1-J1040)</f>
        <v>435.8205</v>
      </c>
      <c r="L1040" s="4" t="n">
        <f aca="false">G1040*I1040</f>
        <v>162</v>
      </c>
      <c r="M1040" s="4" t="n">
        <f aca="false">K1040-L1040</f>
        <v>273.8205</v>
      </c>
      <c r="N1040" s="6" t="n">
        <f aca="false">IF(K1040=0,0,M1040/K1040)</f>
        <v>0.628287333890902</v>
      </c>
      <c r="O1040" s="4" t="n">
        <f aca="false">(G1040*H1040)-K1040</f>
        <v>76.9095</v>
      </c>
      <c r="P1040" s="3" t="s">
        <v>21</v>
      </c>
    </row>
    <row r="1041" customFormat="false" ht="15" hidden="false" customHeight="false" outlineLevel="0" collapsed="false">
      <c r="A1041" s="7" t="n">
        <v>46107</v>
      </c>
      <c r="B1041" s="8" t="s">
        <v>64</v>
      </c>
      <c r="C1041" s="8" t="s">
        <v>65</v>
      </c>
      <c r="D1041" s="8" t="s">
        <v>84</v>
      </c>
      <c r="E1041" s="8" t="s">
        <v>85</v>
      </c>
      <c r="F1041" s="8" t="s">
        <v>20</v>
      </c>
      <c r="G1041" s="8" t="n">
        <v>5</v>
      </c>
      <c r="H1041" s="9" t="n">
        <v>34.99</v>
      </c>
      <c r="I1041" s="9" t="n">
        <v>13</v>
      </c>
      <c r="J1041" s="10" t="n">
        <v>0.3</v>
      </c>
      <c r="K1041" s="9" t="n">
        <f aca="false">G1041*H1041*(1-J1041)</f>
        <v>122.465</v>
      </c>
      <c r="L1041" s="9" t="n">
        <f aca="false">G1041*I1041</f>
        <v>65</v>
      </c>
      <c r="M1041" s="9" t="n">
        <f aca="false">K1041-L1041</f>
        <v>57.465</v>
      </c>
      <c r="N1041" s="11" t="n">
        <f aca="false">IF(K1041=0,0,M1041/K1041)</f>
        <v>0.469236108275834</v>
      </c>
      <c r="O1041" s="9" t="n">
        <f aca="false">(G1041*H1041)-K1041</f>
        <v>52.485</v>
      </c>
      <c r="P1041" s="8" t="s">
        <v>21</v>
      </c>
    </row>
    <row r="1042" customFormat="false" ht="15" hidden="false" customHeight="false" outlineLevel="0" collapsed="false">
      <c r="A1042" s="2" t="n">
        <v>46026</v>
      </c>
      <c r="B1042" s="3" t="s">
        <v>58</v>
      </c>
      <c r="C1042" s="3" t="s">
        <v>58</v>
      </c>
      <c r="D1042" s="3" t="s">
        <v>61</v>
      </c>
      <c r="E1042" s="3" t="s">
        <v>62</v>
      </c>
      <c r="F1042" s="3" t="s">
        <v>34</v>
      </c>
      <c r="G1042" s="3" t="n">
        <v>7</v>
      </c>
      <c r="H1042" s="4" t="n">
        <v>14.99</v>
      </c>
      <c r="I1042" s="4" t="n">
        <v>4.5</v>
      </c>
      <c r="J1042" s="5" t="n">
        <v>0.15</v>
      </c>
      <c r="K1042" s="4" t="n">
        <f aca="false">G1042*H1042*(1-J1042)</f>
        <v>89.1905</v>
      </c>
      <c r="L1042" s="4" t="n">
        <f aca="false">G1042*I1042</f>
        <v>31.5</v>
      </c>
      <c r="M1042" s="4" t="n">
        <f aca="false">K1042-L1042</f>
        <v>57.6905</v>
      </c>
      <c r="N1042" s="6" t="n">
        <f aca="false">IF(K1042=0,0,M1042/K1042)</f>
        <v>0.646823372444375</v>
      </c>
      <c r="O1042" s="4" t="n">
        <f aca="false">(G1042*H1042)-K1042</f>
        <v>15.7395</v>
      </c>
      <c r="P1042" s="3" t="s">
        <v>21</v>
      </c>
    </row>
    <row r="1043" customFormat="false" ht="15" hidden="false" customHeight="false" outlineLevel="0" collapsed="false">
      <c r="A1043" s="7" t="n">
        <v>46098</v>
      </c>
      <c r="B1043" s="8" t="s">
        <v>31</v>
      </c>
      <c r="C1043" s="8" t="s">
        <v>23</v>
      </c>
      <c r="D1043" s="8" t="s">
        <v>61</v>
      </c>
      <c r="E1043" s="8" t="s">
        <v>62</v>
      </c>
      <c r="F1043" s="8" t="s">
        <v>34</v>
      </c>
      <c r="G1043" s="8" t="n">
        <v>23</v>
      </c>
      <c r="H1043" s="9" t="n">
        <v>12.99</v>
      </c>
      <c r="I1043" s="9" t="n">
        <v>4.5</v>
      </c>
      <c r="J1043" s="10" t="n">
        <v>0.1</v>
      </c>
      <c r="K1043" s="9" t="n">
        <f aca="false">G1043*H1043*(1-J1043)</f>
        <v>268.893</v>
      </c>
      <c r="L1043" s="9" t="n">
        <f aca="false">G1043*I1043</f>
        <v>103.5</v>
      </c>
      <c r="M1043" s="9" t="n">
        <f aca="false">K1043-L1043</f>
        <v>165.393</v>
      </c>
      <c r="N1043" s="11" t="n">
        <f aca="false">IF(K1043=0,0,M1043/K1043)</f>
        <v>0.615088529638183</v>
      </c>
      <c r="O1043" s="9" t="n">
        <f aca="false">(G1043*H1043)-K1043</f>
        <v>29.877</v>
      </c>
      <c r="P1043" s="8" t="s">
        <v>21</v>
      </c>
    </row>
    <row r="1044" customFormat="false" ht="15" hidden="false" customHeight="false" outlineLevel="0" collapsed="false">
      <c r="A1044" s="2" t="n">
        <v>46097</v>
      </c>
      <c r="B1044" s="3" t="s">
        <v>64</v>
      </c>
      <c r="C1044" s="3" t="s">
        <v>65</v>
      </c>
      <c r="D1044" s="3" t="s">
        <v>90</v>
      </c>
      <c r="E1044" s="3" t="s">
        <v>91</v>
      </c>
      <c r="F1044" s="3" t="s">
        <v>26</v>
      </c>
      <c r="G1044" s="3" t="n">
        <v>5</v>
      </c>
      <c r="H1044" s="4" t="n">
        <v>29.99</v>
      </c>
      <c r="I1044" s="4" t="n">
        <v>11</v>
      </c>
      <c r="J1044" s="5" t="n">
        <v>0</v>
      </c>
      <c r="K1044" s="4" t="n">
        <f aca="false">G1044*H1044*(1-J1044)</f>
        <v>149.95</v>
      </c>
      <c r="L1044" s="4" t="n">
        <f aca="false">G1044*I1044</f>
        <v>55</v>
      </c>
      <c r="M1044" s="4" t="n">
        <f aca="false">K1044-L1044</f>
        <v>94.95</v>
      </c>
      <c r="N1044" s="6" t="n">
        <f aca="false">IF(K1044=0,0,M1044/K1044)</f>
        <v>0.633211070356786</v>
      </c>
      <c r="O1044" s="4" t="n">
        <f aca="false">(G1044*H1044)-K1044</f>
        <v>0</v>
      </c>
      <c r="P1044" s="3" t="s">
        <v>21</v>
      </c>
    </row>
    <row r="1045" customFormat="false" ht="15" hidden="false" customHeight="false" outlineLevel="0" collapsed="false">
      <c r="A1045" s="7" t="n">
        <v>46037</v>
      </c>
      <c r="B1045" s="8" t="s">
        <v>16</v>
      </c>
      <c r="C1045" s="8" t="s">
        <v>17</v>
      </c>
      <c r="D1045" s="8" t="s">
        <v>51</v>
      </c>
      <c r="E1045" s="8" t="s">
        <v>52</v>
      </c>
      <c r="F1045" s="8" t="s">
        <v>50</v>
      </c>
      <c r="G1045" s="8" t="n">
        <v>10</v>
      </c>
      <c r="H1045" s="9" t="n">
        <v>19.99</v>
      </c>
      <c r="I1045" s="9" t="n">
        <v>7</v>
      </c>
      <c r="J1045" s="10" t="n">
        <v>0.1</v>
      </c>
      <c r="K1045" s="9" t="n">
        <f aca="false">G1045*H1045*(1-J1045)</f>
        <v>179.91</v>
      </c>
      <c r="L1045" s="9" t="n">
        <f aca="false">G1045*I1045</f>
        <v>70</v>
      </c>
      <c r="M1045" s="9" t="n">
        <f aca="false">K1045-L1045</f>
        <v>109.91</v>
      </c>
      <c r="N1045" s="11" t="n">
        <f aca="false">IF(K1045=0,0,M1045/K1045)</f>
        <v>0.610916569395809</v>
      </c>
      <c r="O1045" s="9" t="n">
        <f aca="false">(G1045*H1045)-K1045</f>
        <v>19.99</v>
      </c>
      <c r="P1045" s="8" t="s">
        <v>21</v>
      </c>
    </row>
    <row r="1046" customFormat="false" ht="15" hidden="false" customHeight="false" outlineLevel="0" collapsed="false">
      <c r="A1046" s="2" t="n">
        <v>46080</v>
      </c>
      <c r="B1046" s="3" t="s">
        <v>58</v>
      </c>
      <c r="C1046" s="3" t="s">
        <v>58</v>
      </c>
      <c r="D1046" s="3" t="s">
        <v>88</v>
      </c>
      <c r="E1046" s="3" t="s">
        <v>89</v>
      </c>
      <c r="F1046" s="3" t="s">
        <v>57</v>
      </c>
      <c r="G1046" s="3" t="n">
        <v>13</v>
      </c>
      <c r="H1046" s="4" t="n">
        <v>12.99</v>
      </c>
      <c r="I1046" s="4" t="n">
        <v>4.5</v>
      </c>
      <c r="J1046" s="5" t="n">
        <v>0.2</v>
      </c>
      <c r="K1046" s="4" t="n">
        <f aca="false">G1046*H1046*(1-J1046)</f>
        <v>135.096</v>
      </c>
      <c r="L1046" s="4" t="n">
        <f aca="false">G1046*I1046</f>
        <v>58.5</v>
      </c>
      <c r="M1046" s="4" t="n">
        <f aca="false">K1046-L1046</f>
        <v>76.596</v>
      </c>
      <c r="N1046" s="6" t="n">
        <f aca="false">IF(K1046=0,0,M1046/K1046)</f>
        <v>0.566974595842956</v>
      </c>
      <c r="O1046" s="4" t="n">
        <f aca="false">(G1046*H1046)-K1046</f>
        <v>33.774</v>
      </c>
      <c r="P1046" s="3" t="s">
        <v>21</v>
      </c>
    </row>
    <row r="1047" customFormat="false" ht="15" hidden="false" customHeight="false" outlineLevel="0" collapsed="false">
      <c r="A1047" s="7" t="n">
        <v>46110</v>
      </c>
      <c r="B1047" s="8" t="s">
        <v>58</v>
      </c>
      <c r="C1047" s="8" t="s">
        <v>58</v>
      </c>
      <c r="D1047" s="8" t="s">
        <v>38</v>
      </c>
      <c r="E1047" s="8" t="s">
        <v>39</v>
      </c>
      <c r="F1047" s="8" t="s">
        <v>40</v>
      </c>
      <c r="G1047" s="8" t="n">
        <v>22</v>
      </c>
      <c r="H1047" s="9" t="n">
        <v>12.99</v>
      </c>
      <c r="I1047" s="9" t="n">
        <v>4</v>
      </c>
      <c r="J1047" s="10" t="n">
        <v>0.1</v>
      </c>
      <c r="K1047" s="9" t="n">
        <f aca="false">G1047*H1047*(1-J1047)</f>
        <v>257.202</v>
      </c>
      <c r="L1047" s="9" t="n">
        <f aca="false">G1047*I1047</f>
        <v>88</v>
      </c>
      <c r="M1047" s="9" t="n">
        <f aca="false">K1047-L1047</f>
        <v>169.202</v>
      </c>
      <c r="N1047" s="11" t="n">
        <f aca="false">IF(K1047=0,0,M1047/K1047)</f>
        <v>0.657856470789496</v>
      </c>
      <c r="O1047" s="9" t="n">
        <f aca="false">(G1047*H1047)-K1047</f>
        <v>28.578</v>
      </c>
      <c r="P1047" s="8" t="s">
        <v>21</v>
      </c>
    </row>
    <row r="1048" customFormat="false" ht="15" hidden="false" customHeight="false" outlineLevel="0" collapsed="false">
      <c r="A1048" s="2" t="n">
        <v>46042</v>
      </c>
      <c r="B1048" s="3" t="s">
        <v>41</v>
      </c>
      <c r="C1048" s="3" t="s">
        <v>28</v>
      </c>
      <c r="D1048" s="3" t="s">
        <v>86</v>
      </c>
      <c r="E1048" s="3" t="s">
        <v>87</v>
      </c>
      <c r="F1048" s="3" t="s">
        <v>40</v>
      </c>
      <c r="G1048" s="3" t="n">
        <v>13</v>
      </c>
      <c r="H1048" s="4" t="n">
        <v>16.99</v>
      </c>
      <c r="I1048" s="4" t="n">
        <v>5.5</v>
      </c>
      <c r="J1048" s="5" t="n">
        <v>0.3</v>
      </c>
      <c r="K1048" s="4" t="n">
        <f aca="false">G1048*H1048*(1-J1048)</f>
        <v>154.609</v>
      </c>
      <c r="L1048" s="4" t="n">
        <f aca="false">G1048*I1048</f>
        <v>71.5</v>
      </c>
      <c r="M1048" s="4" t="n">
        <f aca="false">K1048-L1048</f>
        <v>83.109</v>
      </c>
      <c r="N1048" s="6" t="n">
        <f aca="false">IF(K1048=0,0,M1048/K1048)</f>
        <v>0.537543092575465</v>
      </c>
      <c r="O1048" s="4" t="n">
        <f aca="false">(G1048*H1048)-K1048</f>
        <v>66.261</v>
      </c>
      <c r="P1048" s="3" t="s">
        <v>21</v>
      </c>
    </row>
    <row r="1049" customFormat="false" ht="15" hidden="false" customHeight="false" outlineLevel="0" collapsed="false">
      <c r="A1049" s="7" t="n">
        <v>46120</v>
      </c>
      <c r="B1049" s="8" t="s">
        <v>41</v>
      </c>
      <c r="C1049" s="8" t="s">
        <v>28</v>
      </c>
      <c r="D1049" s="8" t="s">
        <v>29</v>
      </c>
      <c r="E1049" s="8" t="s">
        <v>30</v>
      </c>
      <c r="F1049" s="8" t="s">
        <v>20</v>
      </c>
      <c r="G1049" s="8" t="n">
        <v>23</v>
      </c>
      <c r="H1049" s="9" t="n">
        <v>79.99</v>
      </c>
      <c r="I1049" s="9" t="n">
        <v>42</v>
      </c>
      <c r="J1049" s="10" t="n">
        <v>0.05</v>
      </c>
      <c r="K1049" s="9" t="n">
        <f aca="false">G1049*H1049*(1-J1049)</f>
        <v>1747.7815</v>
      </c>
      <c r="L1049" s="9" t="n">
        <f aca="false">G1049*I1049</f>
        <v>966</v>
      </c>
      <c r="M1049" s="9" t="n">
        <f aca="false">K1049-L1049</f>
        <v>781.7815</v>
      </c>
      <c r="N1049" s="11" t="n">
        <f aca="false">IF(K1049=0,0,M1049/K1049)</f>
        <v>0.447299333469315</v>
      </c>
      <c r="O1049" s="9" t="n">
        <f aca="false">(G1049*H1049)-K1049</f>
        <v>91.9885000000002</v>
      </c>
      <c r="P1049" s="8" t="s">
        <v>21</v>
      </c>
    </row>
    <row r="1050" customFormat="false" ht="15" hidden="false" customHeight="false" outlineLevel="0" collapsed="false">
      <c r="A1050" s="2" t="n">
        <v>46096</v>
      </c>
      <c r="B1050" s="3" t="s">
        <v>64</v>
      </c>
      <c r="C1050" s="3" t="s">
        <v>65</v>
      </c>
      <c r="D1050" s="3" t="s">
        <v>68</v>
      </c>
      <c r="E1050" s="3" t="s">
        <v>69</v>
      </c>
      <c r="F1050" s="3" t="s">
        <v>40</v>
      </c>
      <c r="G1050" s="3" t="n">
        <v>30</v>
      </c>
      <c r="H1050" s="4" t="n">
        <v>24.99</v>
      </c>
      <c r="I1050" s="4" t="n">
        <v>9</v>
      </c>
      <c r="J1050" s="5" t="n">
        <v>0</v>
      </c>
      <c r="K1050" s="4" t="n">
        <f aca="false">G1050*H1050*(1-J1050)</f>
        <v>749.7</v>
      </c>
      <c r="L1050" s="4" t="n">
        <f aca="false">G1050*I1050</f>
        <v>270</v>
      </c>
      <c r="M1050" s="4" t="n">
        <f aca="false">K1050-L1050</f>
        <v>479.7</v>
      </c>
      <c r="N1050" s="6" t="n">
        <f aca="false">IF(K1050=0,0,M1050/K1050)</f>
        <v>0.639855942376951</v>
      </c>
      <c r="O1050" s="4" t="n">
        <f aca="false">(G1050*H1050)-K1050</f>
        <v>0</v>
      </c>
      <c r="P1050" s="3" t="s">
        <v>21</v>
      </c>
    </row>
    <row r="1051" customFormat="false" ht="15" hidden="false" customHeight="false" outlineLevel="0" collapsed="false">
      <c r="A1051" s="7" t="n">
        <v>46072</v>
      </c>
      <c r="B1051" s="8" t="s">
        <v>31</v>
      </c>
      <c r="C1051" s="8" t="s">
        <v>23</v>
      </c>
      <c r="D1051" s="8" t="s">
        <v>68</v>
      </c>
      <c r="E1051" s="8" t="s">
        <v>69</v>
      </c>
      <c r="F1051" s="8" t="s">
        <v>40</v>
      </c>
      <c r="G1051" s="8" t="n">
        <v>29</v>
      </c>
      <c r="H1051" s="9" t="n">
        <v>24.99</v>
      </c>
      <c r="I1051" s="9" t="n">
        <v>9</v>
      </c>
      <c r="J1051" s="10" t="n">
        <v>0.25</v>
      </c>
      <c r="K1051" s="9" t="n">
        <f aca="false">G1051*H1051*(1-J1051)</f>
        <v>543.5325</v>
      </c>
      <c r="L1051" s="9" t="n">
        <f aca="false">G1051*I1051</f>
        <v>261</v>
      </c>
      <c r="M1051" s="9" t="n">
        <f aca="false">K1051-L1051</f>
        <v>282.5325</v>
      </c>
      <c r="N1051" s="11" t="n">
        <f aca="false">IF(K1051=0,0,M1051/K1051)</f>
        <v>0.519807923169268</v>
      </c>
      <c r="O1051" s="9" t="n">
        <f aca="false">(G1051*H1051)-K1051</f>
        <v>181.1775</v>
      </c>
      <c r="P1051" s="8" t="s">
        <v>21</v>
      </c>
    </row>
    <row r="1052" customFormat="false" ht="15" hidden="false" customHeight="false" outlineLevel="0" collapsed="false">
      <c r="A1052" s="2" t="n">
        <v>46029</v>
      </c>
      <c r="B1052" s="3" t="s">
        <v>37</v>
      </c>
      <c r="C1052" s="3" t="s">
        <v>17</v>
      </c>
      <c r="D1052" s="3" t="s">
        <v>29</v>
      </c>
      <c r="E1052" s="3" t="s">
        <v>30</v>
      </c>
      <c r="F1052" s="3" t="s">
        <v>20</v>
      </c>
      <c r="G1052" s="3" t="n">
        <v>1</v>
      </c>
      <c r="H1052" s="4" t="n">
        <v>89.99</v>
      </c>
      <c r="I1052" s="4" t="n">
        <v>42</v>
      </c>
      <c r="J1052" s="5" t="n">
        <v>0.6</v>
      </c>
      <c r="K1052" s="4" t="n">
        <f aca="false">G1052*H1052*(1-J1052)</f>
        <v>35.996</v>
      </c>
      <c r="L1052" s="4" t="n">
        <f aca="false">G1052*I1052</f>
        <v>42</v>
      </c>
      <c r="M1052" s="4" t="n">
        <f aca="false">K1052-L1052</f>
        <v>-6.004</v>
      </c>
      <c r="N1052" s="6" t="n">
        <f aca="false">IF(K1052=0,0,M1052/K1052)</f>
        <v>-0.166796310701189</v>
      </c>
      <c r="O1052" s="4" t="n">
        <f aca="false">(G1052*H1052)-K1052</f>
        <v>53.994</v>
      </c>
      <c r="P1052" s="14" t="s">
        <v>97</v>
      </c>
    </row>
    <row r="1053" customFormat="false" ht="15" hidden="false" customHeight="false" outlineLevel="0" collapsed="false">
      <c r="A1053" s="7" t="n">
        <v>46033</v>
      </c>
      <c r="B1053" s="8" t="s">
        <v>31</v>
      </c>
      <c r="C1053" s="8" t="s">
        <v>23</v>
      </c>
      <c r="D1053" s="8" t="s">
        <v>35</v>
      </c>
      <c r="E1053" s="8" t="s">
        <v>36</v>
      </c>
      <c r="F1053" s="8" t="s">
        <v>26</v>
      </c>
      <c r="G1053" s="8" t="n">
        <v>7</v>
      </c>
      <c r="H1053" s="9" t="n">
        <v>69.99</v>
      </c>
      <c r="I1053" s="9" t="n">
        <v>30</v>
      </c>
      <c r="J1053" s="10" t="n">
        <v>0</v>
      </c>
      <c r="K1053" s="9" t="n">
        <f aca="false">G1053*H1053*(1-J1053)</f>
        <v>489.93</v>
      </c>
      <c r="L1053" s="9" t="n">
        <f aca="false">G1053*I1053</f>
        <v>210</v>
      </c>
      <c r="M1053" s="9" t="n">
        <f aca="false">K1053-L1053</f>
        <v>279.93</v>
      </c>
      <c r="N1053" s="11" t="n">
        <f aca="false">IF(K1053=0,0,M1053/K1053)</f>
        <v>0.57136733819117</v>
      </c>
      <c r="O1053" s="9" t="n">
        <f aca="false">(G1053*H1053)-K1053</f>
        <v>0</v>
      </c>
      <c r="P1053" s="8" t="s">
        <v>21</v>
      </c>
    </row>
    <row r="1054" customFormat="false" ht="15" hidden="false" customHeight="false" outlineLevel="0" collapsed="false">
      <c r="A1054" s="2" t="n">
        <v>46036</v>
      </c>
      <c r="B1054" s="3" t="s">
        <v>22</v>
      </c>
      <c r="C1054" s="3" t="s">
        <v>23</v>
      </c>
      <c r="D1054" s="3" t="s">
        <v>90</v>
      </c>
      <c r="E1054" s="3" t="s">
        <v>91</v>
      </c>
      <c r="F1054" s="3" t="s">
        <v>26</v>
      </c>
      <c r="G1054" s="3" t="n">
        <v>3</v>
      </c>
      <c r="H1054" s="4" t="n">
        <v>29.99</v>
      </c>
      <c r="I1054" s="4" t="n">
        <v>11</v>
      </c>
      <c r="J1054" s="5" t="n">
        <v>0</v>
      </c>
      <c r="K1054" s="4" t="n">
        <f aca="false">G1054*H1054*(1-J1054)</f>
        <v>89.97</v>
      </c>
      <c r="L1054" s="4" t="n">
        <f aca="false">G1054*I1054</f>
        <v>33</v>
      </c>
      <c r="M1054" s="4" t="n">
        <f aca="false">K1054-L1054</f>
        <v>56.97</v>
      </c>
      <c r="N1054" s="6" t="n">
        <f aca="false">IF(K1054=0,0,M1054/K1054)</f>
        <v>0.633211070356786</v>
      </c>
      <c r="O1054" s="4" t="n">
        <f aca="false">(G1054*H1054)-K1054</f>
        <v>0</v>
      </c>
      <c r="P1054" s="3" t="s">
        <v>21</v>
      </c>
    </row>
    <row r="1055" customFormat="false" ht="15" hidden="false" customHeight="false" outlineLevel="0" collapsed="false">
      <c r="A1055" s="7" t="n">
        <v>46101</v>
      </c>
      <c r="B1055" s="8" t="s">
        <v>22</v>
      </c>
      <c r="C1055" s="8" t="s">
        <v>23</v>
      </c>
      <c r="D1055" s="8" t="s">
        <v>32</v>
      </c>
      <c r="E1055" s="8" t="s">
        <v>33</v>
      </c>
      <c r="F1055" s="8" t="s">
        <v>34</v>
      </c>
      <c r="G1055" s="8" t="n">
        <v>27</v>
      </c>
      <c r="H1055" s="9" t="n">
        <v>18.99</v>
      </c>
      <c r="I1055" s="9" t="n">
        <v>6</v>
      </c>
      <c r="J1055" s="10" t="n">
        <v>0.05</v>
      </c>
      <c r="K1055" s="9" t="n">
        <f aca="false">G1055*H1055*(1-J1055)</f>
        <v>487.0935</v>
      </c>
      <c r="L1055" s="9" t="n">
        <f aca="false">G1055*I1055</f>
        <v>162</v>
      </c>
      <c r="M1055" s="9" t="n">
        <f aca="false">K1055-L1055</f>
        <v>325.0935</v>
      </c>
      <c r="N1055" s="11" t="n">
        <f aca="false">IF(K1055=0,0,M1055/K1055)</f>
        <v>0.667414982955018</v>
      </c>
      <c r="O1055" s="9" t="n">
        <f aca="false">(G1055*H1055)-K1055</f>
        <v>25.6365</v>
      </c>
      <c r="P1055" s="8" t="s">
        <v>21</v>
      </c>
    </row>
    <row r="1056" customFormat="false" ht="15" hidden="false" customHeight="false" outlineLevel="0" collapsed="false">
      <c r="A1056" s="2" t="n">
        <v>46124</v>
      </c>
      <c r="B1056" s="3" t="s">
        <v>31</v>
      </c>
      <c r="C1056" s="3" t="s">
        <v>23</v>
      </c>
      <c r="D1056" s="3" t="s">
        <v>35</v>
      </c>
      <c r="E1056" s="3" t="s">
        <v>36</v>
      </c>
      <c r="F1056" s="3" t="s">
        <v>26</v>
      </c>
      <c r="G1056" s="3" t="n">
        <v>8</v>
      </c>
      <c r="H1056" s="4" t="n">
        <v>27.1</v>
      </c>
      <c r="I1056" s="4" t="n">
        <v>30</v>
      </c>
      <c r="J1056" s="5" t="n">
        <v>0</v>
      </c>
      <c r="K1056" s="4" t="n">
        <f aca="false">G1056*H1056*(1-J1056)</f>
        <v>216.8</v>
      </c>
      <c r="L1056" s="4" t="n">
        <f aca="false">G1056*I1056</f>
        <v>240</v>
      </c>
      <c r="M1056" s="4" t="n">
        <f aca="false">K1056-L1056</f>
        <v>-23.2</v>
      </c>
      <c r="N1056" s="6" t="n">
        <f aca="false">IF(K1056=0,0,M1056/K1056)</f>
        <v>-0.107011070110701</v>
      </c>
      <c r="O1056" s="4" t="n">
        <f aca="false">(G1056*H1056)-K1056</f>
        <v>0</v>
      </c>
      <c r="P1056" s="15" t="s">
        <v>98</v>
      </c>
    </row>
    <row r="1057" customFormat="false" ht="15" hidden="false" customHeight="false" outlineLevel="0" collapsed="false">
      <c r="A1057" s="7" t="n">
        <v>46037</v>
      </c>
      <c r="B1057" s="8" t="s">
        <v>16</v>
      </c>
      <c r="C1057" s="8" t="s">
        <v>17</v>
      </c>
      <c r="D1057" s="8" t="s">
        <v>76</v>
      </c>
      <c r="E1057" s="8" t="s">
        <v>77</v>
      </c>
      <c r="F1057" s="8" t="s">
        <v>34</v>
      </c>
      <c r="G1057" s="8" t="n">
        <v>28</v>
      </c>
      <c r="H1057" s="9" t="n">
        <v>44.99</v>
      </c>
      <c r="I1057" s="9" t="n">
        <v>14</v>
      </c>
      <c r="J1057" s="10" t="n">
        <v>0.15</v>
      </c>
      <c r="K1057" s="9" t="n">
        <f aca="false">G1057*H1057*(1-J1057)</f>
        <v>1070.762</v>
      </c>
      <c r="L1057" s="9" t="n">
        <f aca="false">G1057*I1057</f>
        <v>392</v>
      </c>
      <c r="M1057" s="9" t="n">
        <f aca="false">K1057-L1057</f>
        <v>678.762</v>
      </c>
      <c r="N1057" s="11" t="n">
        <f aca="false">IF(K1057=0,0,M1057/K1057)</f>
        <v>0.633905573787639</v>
      </c>
      <c r="O1057" s="9" t="n">
        <f aca="false">(G1057*H1057)-K1057</f>
        <v>188.958</v>
      </c>
      <c r="P1057" s="8" t="s">
        <v>21</v>
      </c>
    </row>
    <row r="1058" customFormat="false" ht="15" hidden="false" customHeight="false" outlineLevel="0" collapsed="false">
      <c r="A1058" s="2" t="n">
        <v>46083</v>
      </c>
      <c r="B1058" s="3" t="s">
        <v>22</v>
      </c>
      <c r="C1058" s="3" t="s">
        <v>23</v>
      </c>
      <c r="D1058" s="3" t="s">
        <v>32</v>
      </c>
      <c r="E1058" s="3" t="s">
        <v>33</v>
      </c>
      <c r="F1058" s="3" t="s">
        <v>34</v>
      </c>
      <c r="G1058" s="3" t="n">
        <v>22</v>
      </c>
      <c r="H1058" s="4" t="n">
        <v>18.99</v>
      </c>
      <c r="I1058" s="4" t="n">
        <v>6</v>
      </c>
      <c r="J1058" s="5" t="n">
        <v>0.05</v>
      </c>
      <c r="K1058" s="4" t="n">
        <f aca="false">G1058*H1058*(1-J1058)</f>
        <v>396.891</v>
      </c>
      <c r="L1058" s="4" t="n">
        <f aca="false">G1058*I1058</f>
        <v>132</v>
      </c>
      <c r="M1058" s="4" t="n">
        <f aca="false">K1058-L1058</f>
        <v>264.891</v>
      </c>
      <c r="N1058" s="6" t="n">
        <f aca="false">IF(K1058=0,0,M1058/K1058)</f>
        <v>0.667414982955018</v>
      </c>
      <c r="O1058" s="4" t="n">
        <f aca="false">(G1058*H1058)-K1058</f>
        <v>20.889</v>
      </c>
      <c r="P1058" s="3" t="s">
        <v>21</v>
      </c>
    </row>
    <row r="1059" customFormat="false" ht="15" hidden="false" customHeight="false" outlineLevel="0" collapsed="false">
      <c r="A1059" s="7" t="n">
        <v>46127</v>
      </c>
      <c r="B1059" s="8" t="s">
        <v>41</v>
      </c>
      <c r="C1059" s="8" t="s">
        <v>28</v>
      </c>
      <c r="D1059" s="8" t="s">
        <v>38</v>
      </c>
      <c r="E1059" s="8" t="s">
        <v>39</v>
      </c>
      <c r="F1059" s="8" t="s">
        <v>40</v>
      </c>
      <c r="G1059" s="8" t="n">
        <v>19</v>
      </c>
      <c r="H1059" s="9" t="n">
        <v>12.99</v>
      </c>
      <c r="I1059" s="9" t="n">
        <v>4</v>
      </c>
      <c r="J1059" s="10" t="n">
        <v>0.1</v>
      </c>
      <c r="K1059" s="9" t="n">
        <f aca="false">G1059*H1059*(1-J1059)</f>
        <v>222.129</v>
      </c>
      <c r="L1059" s="9" t="n">
        <f aca="false">G1059*I1059</f>
        <v>76</v>
      </c>
      <c r="M1059" s="9" t="n">
        <f aca="false">K1059-L1059</f>
        <v>146.129</v>
      </c>
      <c r="N1059" s="11" t="n">
        <f aca="false">IF(K1059=0,0,M1059/K1059)</f>
        <v>0.657856470789496</v>
      </c>
      <c r="O1059" s="9" t="n">
        <f aca="false">(G1059*H1059)-K1059</f>
        <v>24.681</v>
      </c>
      <c r="P1059" s="8" t="s">
        <v>21</v>
      </c>
    </row>
    <row r="1060" customFormat="false" ht="15" hidden="false" customHeight="false" outlineLevel="0" collapsed="false">
      <c r="A1060" s="2" t="n">
        <v>46109</v>
      </c>
      <c r="B1060" s="3" t="s">
        <v>37</v>
      </c>
      <c r="C1060" s="3" t="s">
        <v>17</v>
      </c>
      <c r="D1060" s="3" t="s">
        <v>55</v>
      </c>
      <c r="E1060" s="3" t="s">
        <v>56</v>
      </c>
      <c r="F1060" s="3" t="s">
        <v>57</v>
      </c>
      <c r="G1060" s="3" t="n">
        <v>16</v>
      </c>
      <c r="H1060" s="4" t="n">
        <v>29.99</v>
      </c>
      <c r="I1060" s="4" t="n">
        <v>11</v>
      </c>
      <c r="J1060" s="5" t="n">
        <v>0</v>
      </c>
      <c r="K1060" s="4" t="n">
        <f aca="false">G1060*H1060*(1-J1060)</f>
        <v>479.84</v>
      </c>
      <c r="L1060" s="4" t="n">
        <f aca="false">G1060*I1060</f>
        <v>176</v>
      </c>
      <c r="M1060" s="4" t="n">
        <f aca="false">K1060-L1060</f>
        <v>303.84</v>
      </c>
      <c r="N1060" s="6" t="n">
        <f aca="false">IF(K1060=0,0,M1060/K1060)</f>
        <v>0.633211070356786</v>
      </c>
      <c r="O1060" s="4" t="n">
        <f aca="false">(G1060*H1060)-K1060</f>
        <v>0</v>
      </c>
      <c r="P1060" s="3" t="s">
        <v>21</v>
      </c>
    </row>
    <row r="1061" customFormat="false" ht="15" hidden="false" customHeight="false" outlineLevel="0" collapsed="false">
      <c r="A1061" s="7" t="n">
        <v>46031</v>
      </c>
      <c r="B1061" s="8" t="s">
        <v>37</v>
      </c>
      <c r="C1061" s="8" t="s">
        <v>17</v>
      </c>
      <c r="D1061" s="8" t="s">
        <v>88</v>
      </c>
      <c r="E1061" s="8" t="s">
        <v>89</v>
      </c>
      <c r="F1061" s="8" t="s">
        <v>57</v>
      </c>
      <c r="G1061" s="8" t="n">
        <v>7</v>
      </c>
      <c r="H1061" s="9" t="n">
        <v>12.99</v>
      </c>
      <c r="I1061" s="9" t="n">
        <v>4.5</v>
      </c>
      <c r="J1061" s="10" t="n">
        <v>0</v>
      </c>
      <c r="K1061" s="9" t="n">
        <f aca="false">G1061*H1061*(1-J1061)</f>
        <v>90.93</v>
      </c>
      <c r="L1061" s="9" t="n">
        <f aca="false">G1061*I1061</f>
        <v>31.5</v>
      </c>
      <c r="M1061" s="9" t="n">
        <f aca="false">K1061-L1061</f>
        <v>59.43</v>
      </c>
      <c r="N1061" s="11" t="n">
        <f aca="false">IF(K1061=0,0,M1061/K1061)</f>
        <v>0.653579676674365</v>
      </c>
      <c r="O1061" s="9" t="n">
        <f aca="false">(G1061*H1061)-K1061</f>
        <v>0</v>
      </c>
      <c r="P1061" s="8" t="s">
        <v>21</v>
      </c>
    </row>
    <row r="1062" customFormat="false" ht="15" hidden="false" customHeight="false" outlineLevel="0" collapsed="false">
      <c r="A1062" s="2" t="n">
        <v>46101</v>
      </c>
      <c r="B1062" s="3" t="s">
        <v>31</v>
      </c>
      <c r="C1062" s="3" t="s">
        <v>23</v>
      </c>
      <c r="D1062" s="3" t="s">
        <v>80</v>
      </c>
      <c r="E1062" s="3" t="s">
        <v>81</v>
      </c>
      <c r="F1062" s="3" t="s">
        <v>57</v>
      </c>
      <c r="G1062" s="3" t="n">
        <v>6</v>
      </c>
      <c r="H1062" s="4" t="n">
        <v>17.99</v>
      </c>
      <c r="I1062" s="4" t="n">
        <v>6.5</v>
      </c>
      <c r="J1062" s="5" t="n">
        <v>0.15</v>
      </c>
      <c r="K1062" s="4" t="n">
        <f aca="false">G1062*H1062*(1-J1062)</f>
        <v>91.749</v>
      </c>
      <c r="L1062" s="4" t="n">
        <f aca="false">G1062*I1062</f>
        <v>39</v>
      </c>
      <c r="M1062" s="4" t="n">
        <f aca="false">K1062-L1062</f>
        <v>52.749</v>
      </c>
      <c r="N1062" s="6" t="n">
        <f aca="false">IF(K1062=0,0,M1062/K1062)</f>
        <v>0.574927247163457</v>
      </c>
      <c r="O1062" s="4" t="n">
        <f aca="false">(G1062*H1062)-K1062</f>
        <v>16.191</v>
      </c>
      <c r="P1062" s="3" t="s">
        <v>21</v>
      </c>
    </row>
    <row r="1063" customFormat="false" ht="15" hidden="false" customHeight="false" outlineLevel="0" collapsed="false">
      <c r="A1063" s="7" t="n">
        <v>46113</v>
      </c>
      <c r="B1063" s="8" t="s">
        <v>22</v>
      </c>
      <c r="C1063" s="8" t="s">
        <v>23</v>
      </c>
      <c r="D1063" s="8" t="s">
        <v>18</v>
      </c>
      <c r="E1063" s="8" t="s">
        <v>19</v>
      </c>
      <c r="F1063" s="8" t="s">
        <v>20</v>
      </c>
      <c r="G1063" s="8" t="n">
        <v>7</v>
      </c>
      <c r="H1063" s="9" t="n">
        <v>26.99</v>
      </c>
      <c r="I1063" s="9" t="n">
        <v>10.5</v>
      </c>
      <c r="J1063" s="10" t="n">
        <v>0.15</v>
      </c>
      <c r="K1063" s="9" t="n">
        <f aca="false">G1063*H1063*(1-J1063)</f>
        <v>160.5905</v>
      </c>
      <c r="L1063" s="9" t="n">
        <f aca="false">G1063*I1063</f>
        <v>73.5</v>
      </c>
      <c r="M1063" s="9" t="n">
        <f aca="false">K1063-L1063</f>
        <v>87.0905</v>
      </c>
      <c r="N1063" s="11" t="n">
        <f aca="false">IF(K1063=0,0,M1063/K1063)</f>
        <v>0.542314146851775</v>
      </c>
      <c r="O1063" s="9" t="n">
        <f aca="false">(G1063*H1063)-K1063</f>
        <v>28.3395</v>
      </c>
      <c r="P1063" s="8" t="s">
        <v>21</v>
      </c>
    </row>
    <row r="1064" customFormat="false" ht="15" hidden="false" customHeight="false" outlineLevel="0" collapsed="false">
      <c r="A1064" s="2" t="n">
        <v>46053</v>
      </c>
      <c r="B1064" s="3" t="s">
        <v>37</v>
      </c>
      <c r="C1064" s="3" t="s">
        <v>17</v>
      </c>
      <c r="D1064" s="3" t="s">
        <v>90</v>
      </c>
      <c r="E1064" s="3" t="s">
        <v>91</v>
      </c>
      <c r="F1064" s="3" t="s">
        <v>26</v>
      </c>
      <c r="G1064" s="3" t="n">
        <v>28</v>
      </c>
      <c r="H1064" s="4" t="n">
        <v>29.99</v>
      </c>
      <c r="I1064" s="4" t="n">
        <v>11</v>
      </c>
      <c r="J1064" s="5" t="n">
        <v>0</v>
      </c>
      <c r="K1064" s="4" t="n">
        <f aca="false">G1064*H1064*(1-J1064)</f>
        <v>839.72</v>
      </c>
      <c r="L1064" s="4" t="n">
        <f aca="false">G1064*I1064</f>
        <v>308</v>
      </c>
      <c r="M1064" s="4" t="n">
        <f aca="false">K1064-L1064</f>
        <v>531.72</v>
      </c>
      <c r="N1064" s="6" t="n">
        <f aca="false">IF(K1064=0,0,M1064/K1064)</f>
        <v>0.633211070356786</v>
      </c>
      <c r="O1064" s="4" t="n">
        <f aca="false">(G1064*H1064)-K1064</f>
        <v>0</v>
      </c>
      <c r="P1064" s="3" t="s">
        <v>21</v>
      </c>
    </row>
    <row r="1065" customFormat="false" ht="15" hidden="false" customHeight="false" outlineLevel="0" collapsed="false">
      <c r="A1065" s="7" t="n">
        <v>46090</v>
      </c>
      <c r="B1065" s="8" t="s">
        <v>41</v>
      </c>
      <c r="C1065" s="8" t="s">
        <v>28</v>
      </c>
      <c r="D1065" s="8" t="s">
        <v>80</v>
      </c>
      <c r="E1065" s="8" t="s">
        <v>81</v>
      </c>
      <c r="F1065" s="8" t="s">
        <v>57</v>
      </c>
      <c r="G1065" s="8" t="n">
        <v>13</v>
      </c>
      <c r="H1065" s="9" t="n">
        <v>17.99</v>
      </c>
      <c r="I1065" s="9" t="n">
        <v>6.5</v>
      </c>
      <c r="J1065" s="10" t="n">
        <v>0.25</v>
      </c>
      <c r="K1065" s="9" t="n">
        <f aca="false">G1065*H1065*(1-J1065)</f>
        <v>175.4025</v>
      </c>
      <c r="L1065" s="9" t="n">
        <f aca="false">G1065*I1065</f>
        <v>84.5</v>
      </c>
      <c r="M1065" s="9" t="n">
        <f aca="false">K1065-L1065</f>
        <v>90.9025</v>
      </c>
      <c r="N1065" s="11" t="n">
        <f aca="false">IF(K1065=0,0,M1065/K1065)</f>
        <v>0.518250880118584</v>
      </c>
      <c r="O1065" s="9" t="n">
        <f aca="false">(G1065*H1065)-K1065</f>
        <v>58.4675</v>
      </c>
      <c r="P1065" s="8" t="s">
        <v>21</v>
      </c>
    </row>
    <row r="1066" customFormat="false" ht="15" hidden="false" customHeight="false" outlineLevel="0" collapsed="false">
      <c r="A1066" s="2" t="n">
        <v>46052</v>
      </c>
      <c r="B1066" s="3" t="s">
        <v>37</v>
      </c>
      <c r="C1066" s="3" t="s">
        <v>17</v>
      </c>
      <c r="D1066" s="3" t="s">
        <v>82</v>
      </c>
      <c r="E1066" s="3" t="s">
        <v>83</v>
      </c>
      <c r="F1066" s="3" t="s">
        <v>26</v>
      </c>
      <c r="G1066" s="3" t="n">
        <v>22</v>
      </c>
      <c r="H1066" s="4" t="n">
        <v>44.99</v>
      </c>
      <c r="I1066" s="4" t="n">
        <v>18</v>
      </c>
      <c r="J1066" s="5" t="n">
        <v>0</v>
      </c>
      <c r="K1066" s="4" t="n">
        <f aca="false">G1066*H1066*(1-J1066)</f>
        <v>989.78</v>
      </c>
      <c r="L1066" s="4" t="n">
        <f aca="false">G1066*I1066</f>
        <v>396</v>
      </c>
      <c r="M1066" s="4" t="n">
        <f aca="false">K1066-L1066</f>
        <v>593.78</v>
      </c>
      <c r="N1066" s="6" t="n">
        <f aca="false">IF(K1066=0,0,M1066/K1066)</f>
        <v>0.599911091353634</v>
      </c>
      <c r="O1066" s="4" t="n">
        <f aca="false">(G1066*H1066)-K1066</f>
        <v>0</v>
      </c>
      <c r="P1066" s="3" t="s">
        <v>21</v>
      </c>
    </row>
    <row r="1067" customFormat="false" ht="15" hidden="false" customHeight="false" outlineLevel="0" collapsed="false">
      <c r="A1067" s="7" t="n">
        <v>46105</v>
      </c>
      <c r="B1067" s="8" t="s">
        <v>31</v>
      </c>
      <c r="C1067" s="8" t="s">
        <v>23</v>
      </c>
      <c r="D1067" s="8" t="s">
        <v>24</v>
      </c>
      <c r="E1067" s="8" t="s">
        <v>25</v>
      </c>
      <c r="F1067" s="8" t="s">
        <v>26</v>
      </c>
      <c r="G1067" s="8" t="n">
        <v>6</v>
      </c>
      <c r="H1067" s="9" t="n">
        <v>54.99</v>
      </c>
      <c r="I1067" s="9" t="n">
        <v>24</v>
      </c>
      <c r="J1067" s="10" t="n">
        <v>0.05</v>
      </c>
      <c r="K1067" s="9" t="n">
        <f aca="false">G1067*H1067*(1-J1067)</f>
        <v>313.443</v>
      </c>
      <c r="L1067" s="9" t="n">
        <f aca="false">G1067*I1067</f>
        <v>144</v>
      </c>
      <c r="M1067" s="9" t="n">
        <f aca="false">K1067-L1067</f>
        <v>169.443</v>
      </c>
      <c r="N1067" s="11" t="n">
        <f aca="false">IF(K1067=0,0,M1067/K1067)</f>
        <v>0.540586326700548</v>
      </c>
      <c r="O1067" s="9" t="n">
        <f aca="false">(G1067*H1067)-K1067</f>
        <v>16.497</v>
      </c>
      <c r="P1067" s="8" t="s">
        <v>21</v>
      </c>
    </row>
    <row r="1068" customFormat="false" ht="15" hidden="false" customHeight="false" outlineLevel="0" collapsed="false">
      <c r="A1068" s="2" t="n">
        <v>46124</v>
      </c>
      <c r="B1068" s="3" t="s">
        <v>37</v>
      </c>
      <c r="C1068" s="3" t="s">
        <v>17</v>
      </c>
      <c r="D1068" s="3" t="s">
        <v>88</v>
      </c>
      <c r="E1068" s="3" t="s">
        <v>89</v>
      </c>
      <c r="F1068" s="3" t="s">
        <v>57</v>
      </c>
      <c r="G1068" s="3" t="n">
        <v>11</v>
      </c>
      <c r="H1068" s="4" t="n">
        <v>14.99</v>
      </c>
      <c r="I1068" s="4" t="n">
        <v>4.5</v>
      </c>
      <c r="J1068" s="5" t="n">
        <v>0</v>
      </c>
      <c r="K1068" s="4" t="n">
        <f aca="false">G1068*H1068*(1-J1068)</f>
        <v>164.89</v>
      </c>
      <c r="L1068" s="4" t="n">
        <f aca="false">G1068*I1068</f>
        <v>49.5</v>
      </c>
      <c r="M1068" s="4" t="n">
        <f aca="false">K1068-L1068</f>
        <v>115.39</v>
      </c>
      <c r="N1068" s="6" t="n">
        <f aca="false">IF(K1068=0,0,M1068/K1068)</f>
        <v>0.699799866577719</v>
      </c>
      <c r="O1068" s="4" t="n">
        <f aca="false">(G1068*H1068)-K1068</f>
        <v>0</v>
      </c>
      <c r="P1068" s="3" t="s">
        <v>21</v>
      </c>
    </row>
    <row r="1069" customFormat="false" ht="15" hidden="false" customHeight="false" outlineLevel="0" collapsed="false">
      <c r="A1069" s="7" t="n">
        <v>46113</v>
      </c>
      <c r="B1069" s="8" t="s">
        <v>64</v>
      </c>
      <c r="C1069" s="8" t="s">
        <v>65</v>
      </c>
      <c r="D1069" s="8" t="s">
        <v>29</v>
      </c>
      <c r="E1069" s="8" t="s">
        <v>30</v>
      </c>
      <c r="F1069" s="8" t="s">
        <v>20</v>
      </c>
      <c r="G1069" s="8" t="n">
        <v>26</v>
      </c>
      <c r="H1069" s="9" t="n">
        <v>79.99</v>
      </c>
      <c r="I1069" s="9" t="n">
        <v>42</v>
      </c>
      <c r="J1069" s="10" t="n">
        <v>0.1</v>
      </c>
      <c r="K1069" s="9" t="n">
        <f aca="false">G1069*H1069*(1-J1069)</f>
        <v>1871.766</v>
      </c>
      <c r="L1069" s="9" t="n">
        <f aca="false">G1069*I1069</f>
        <v>1092</v>
      </c>
      <c r="M1069" s="9" t="n">
        <f aca="false">K1069-L1069</f>
        <v>779.766</v>
      </c>
      <c r="N1069" s="11" t="n">
        <f aca="false">IF(K1069=0,0,M1069/K1069)</f>
        <v>0.416593740884277</v>
      </c>
      <c r="O1069" s="9" t="n">
        <f aca="false">(G1069*H1069)-K1069</f>
        <v>207.974</v>
      </c>
      <c r="P1069" s="8" t="s">
        <v>21</v>
      </c>
    </row>
    <row r="1070" customFormat="false" ht="15" hidden="false" customHeight="false" outlineLevel="0" collapsed="false">
      <c r="A1070" s="2" t="n">
        <v>46110</v>
      </c>
      <c r="B1070" s="3" t="s">
        <v>27</v>
      </c>
      <c r="C1070" s="3" t="s">
        <v>28</v>
      </c>
      <c r="D1070" s="3" t="s">
        <v>86</v>
      </c>
      <c r="E1070" s="3" t="s">
        <v>87</v>
      </c>
      <c r="F1070" s="3" t="s">
        <v>40</v>
      </c>
      <c r="G1070" s="3" t="n">
        <v>18</v>
      </c>
      <c r="H1070" s="4" t="n">
        <v>16.99</v>
      </c>
      <c r="I1070" s="4" t="n">
        <v>5.5</v>
      </c>
      <c r="J1070" s="5" t="n">
        <v>0.25</v>
      </c>
      <c r="K1070" s="4" t="n">
        <f aca="false">G1070*H1070*(1-J1070)</f>
        <v>229.365</v>
      </c>
      <c r="L1070" s="4" t="n">
        <f aca="false">G1070*I1070</f>
        <v>99</v>
      </c>
      <c r="M1070" s="4" t="n">
        <f aca="false">K1070-L1070</f>
        <v>130.365</v>
      </c>
      <c r="N1070" s="6" t="n">
        <f aca="false">IF(K1070=0,0,M1070/K1070)</f>
        <v>0.568373553070434</v>
      </c>
      <c r="O1070" s="4" t="n">
        <f aca="false">(G1070*H1070)-K1070</f>
        <v>76.455</v>
      </c>
      <c r="P1070" s="3" t="s">
        <v>21</v>
      </c>
    </row>
    <row r="1071" customFormat="false" ht="15" hidden="false" customHeight="false" outlineLevel="0" collapsed="false">
      <c r="A1071" s="7" t="n">
        <v>46025</v>
      </c>
      <c r="B1071" s="8" t="s">
        <v>41</v>
      </c>
      <c r="C1071" s="8" t="s">
        <v>28</v>
      </c>
      <c r="D1071" s="8" t="s">
        <v>76</v>
      </c>
      <c r="E1071" s="8" t="s">
        <v>77</v>
      </c>
      <c r="F1071" s="8" t="s">
        <v>34</v>
      </c>
      <c r="G1071" s="8" t="n">
        <v>12</v>
      </c>
      <c r="H1071" s="9" t="n">
        <v>44.99</v>
      </c>
      <c r="I1071" s="9" t="n">
        <v>14</v>
      </c>
      <c r="J1071" s="10" t="n">
        <v>0.1</v>
      </c>
      <c r="K1071" s="9" t="n">
        <f aca="false">G1071*H1071*(1-J1071)</f>
        <v>485.892</v>
      </c>
      <c r="L1071" s="9" t="n">
        <f aca="false">G1071*I1071</f>
        <v>168</v>
      </c>
      <c r="M1071" s="9" t="n">
        <f aca="false">K1071-L1071</f>
        <v>317.892</v>
      </c>
      <c r="N1071" s="11" t="n">
        <f aca="false">IF(K1071=0,0,M1071/K1071)</f>
        <v>0.654244153021659</v>
      </c>
      <c r="O1071" s="9" t="n">
        <f aca="false">(G1071*H1071)-K1071</f>
        <v>53.988</v>
      </c>
      <c r="P1071" s="8" t="s">
        <v>21</v>
      </c>
    </row>
    <row r="1072" customFormat="false" ht="15" hidden="false" customHeight="false" outlineLevel="0" collapsed="false">
      <c r="A1072" s="2" t="n">
        <v>46117</v>
      </c>
      <c r="B1072" s="3" t="s">
        <v>31</v>
      </c>
      <c r="C1072" s="3" t="s">
        <v>23</v>
      </c>
      <c r="D1072" s="3" t="s">
        <v>72</v>
      </c>
      <c r="E1072" s="3" t="s">
        <v>73</v>
      </c>
      <c r="F1072" s="3" t="s">
        <v>57</v>
      </c>
      <c r="G1072" s="3" t="n">
        <v>30</v>
      </c>
      <c r="H1072" s="4" t="n">
        <v>19.99</v>
      </c>
      <c r="I1072" s="4" t="n">
        <v>7</v>
      </c>
      <c r="J1072" s="5" t="n">
        <v>0.1</v>
      </c>
      <c r="K1072" s="4" t="n">
        <f aca="false">G1072*H1072*(1-J1072)</f>
        <v>539.73</v>
      </c>
      <c r="L1072" s="4" t="n">
        <f aca="false">G1072*I1072</f>
        <v>210</v>
      </c>
      <c r="M1072" s="4" t="n">
        <f aca="false">K1072-L1072</f>
        <v>329.73</v>
      </c>
      <c r="N1072" s="6" t="n">
        <f aca="false">IF(K1072=0,0,M1072/K1072)</f>
        <v>0.610916569395809</v>
      </c>
      <c r="O1072" s="4" t="n">
        <f aca="false">(G1072*H1072)-K1072</f>
        <v>59.97</v>
      </c>
      <c r="P1072" s="3" t="s">
        <v>21</v>
      </c>
    </row>
    <row r="1073" customFormat="false" ht="15" hidden="false" customHeight="false" outlineLevel="0" collapsed="false">
      <c r="A1073" s="7" t="n">
        <v>46125</v>
      </c>
      <c r="B1073" s="8" t="s">
        <v>58</v>
      </c>
      <c r="C1073" s="8" t="s">
        <v>58</v>
      </c>
      <c r="D1073" s="8" t="s">
        <v>90</v>
      </c>
      <c r="E1073" s="8" t="s">
        <v>91</v>
      </c>
      <c r="F1073" s="8" t="s">
        <v>26</v>
      </c>
      <c r="G1073" s="8" t="n">
        <v>3</v>
      </c>
      <c r="H1073" s="9" t="n">
        <v>28.66</v>
      </c>
      <c r="I1073" s="9" t="n">
        <v>11</v>
      </c>
      <c r="J1073" s="10" t="n">
        <v>0</v>
      </c>
      <c r="K1073" s="9" t="n">
        <f aca="false">G1073*H1073*(1-J1073)</f>
        <v>85.98</v>
      </c>
      <c r="L1073" s="9" t="n">
        <f aca="false">G1073*I1073</f>
        <v>33</v>
      </c>
      <c r="M1073" s="9" t="n">
        <f aca="false">K1073-L1073</f>
        <v>52.98</v>
      </c>
      <c r="N1073" s="11" t="n">
        <f aca="false">IF(K1073=0,0,M1073/K1073)</f>
        <v>0.616189811584089</v>
      </c>
      <c r="O1073" s="9" t="n">
        <f aca="false">(G1073*H1073)-K1073</f>
        <v>0</v>
      </c>
      <c r="P1073" s="12" t="s">
        <v>63</v>
      </c>
    </row>
    <row r="1074" customFormat="false" ht="15" hidden="false" customHeight="false" outlineLevel="0" collapsed="false">
      <c r="A1074" s="2" t="n">
        <v>46107</v>
      </c>
      <c r="B1074" s="3" t="s">
        <v>31</v>
      </c>
      <c r="C1074" s="3" t="s">
        <v>23</v>
      </c>
      <c r="D1074" s="3" t="s">
        <v>29</v>
      </c>
      <c r="E1074" s="3" t="s">
        <v>30</v>
      </c>
      <c r="F1074" s="3" t="s">
        <v>20</v>
      </c>
      <c r="G1074" s="3" t="n">
        <v>30</v>
      </c>
      <c r="H1074" s="4" t="n">
        <v>79.99</v>
      </c>
      <c r="I1074" s="4" t="n">
        <v>42</v>
      </c>
      <c r="J1074" s="5" t="n">
        <v>0.1</v>
      </c>
      <c r="K1074" s="4" t="n">
        <f aca="false">G1074*H1074*(1-J1074)</f>
        <v>2159.73</v>
      </c>
      <c r="L1074" s="4" t="n">
        <f aca="false">G1074*I1074</f>
        <v>1260</v>
      </c>
      <c r="M1074" s="4" t="n">
        <f aca="false">K1074-L1074</f>
        <v>899.73</v>
      </c>
      <c r="N1074" s="6" t="n">
        <f aca="false">IF(K1074=0,0,M1074/K1074)</f>
        <v>0.416593740884277</v>
      </c>
      <c r="O1074" s="4" t="n">
        <f aca="false">(G1074*H1074)-K1074</f>
        <v>239.97</v>
      </c>
      <c r="P1074" s="3" t="s">
        <v>21</v>
      </c>
    </row>
    <row r="1075" customFormat="false" ht="15" hidden="false" customHeight="false" outlineLevel="0" collapsed="false">
      <c r="A1075" s="7" t="n">
        <v>46050</v>
      </c>
      <c r="B1075" s="8" t="s">
        <v>64</v>
      </c>
      <c r="C1075" s="8" t="s">
        <v>65</v>
      </c>
      <c r="D1075" s="8" t="s">
        <v>86</v>
      </c>
      <c r="E1075" s="8" t="s">
        <v>87</v>
      </c>
      <c r="F1075" s="8" t="s">
        <v>40</v>
      </c>
      <c r="G1075" s="8" t="n">
        <v>21</v>
      </c>
      <c r="H1075" s="9" t="n">
        <v>16.99</v>
      </c>
      <c r="I1075" s="9" t="n">
        <v>5.5</v>
      </c>
      <c r="J1075" s="10" t="n">
        <v>0.2</v>
      </c>
      <c r="K1075" s="9" t="n">
        <f aca="false">G1075*H1075*(1-J1075)</f>
        <v>285.432</v>
      </c>
      <c r="L1075" s="9" t="n">
        <f aca="false">G1075*I1075</f>
        <v>115.5</v>
      </c>
      <c r="M1075" s="9" t="n">
        <f aca="false">K1075-L1075</f>
        <v>169.932</v>
      </c>
      <c r="N1075" s="11" t="n">
        <f aca="false">IF(K1075=0,0,M1075/K1075)</f>
        <v>0.595350206003531</v>
      </c>
      <c r="O1075" s="9" t="n">
        <f aca="false">(G1075*H1075)-K1075</f>
        <v>71.358</v>
      </c>
      <c r="P1075" s="8" t="s">
        <v>21</v>
      </c>
    </row>
    <row r="1076" customFormat="false" ht="15" hidden="false" customHeight="false" outlineLevel="0" collapsed="false">
      <c r="A1076" s="2" t="n">
        <v>46029</v>
      </c>
      <c r="B1076" s="3" t="s">
        <v>31</v>
      </c>
      <c r="C1076" s="3" t="s">
        <v>23</v>
      </c>
      <c r="D1076" s="3" t="s">
        <v>29</v>
      </c>
      <c r="E1076" s="3" t="s">
        <v>30</v>
      </c>
      <c r="F1076" s="3" t="s">
        <v>20</v>
      </c>
      <c r="G1076" s="3" t="n">
        <v>4</v>
      </c>
      <c r="H1076" s="4" t="n">
        <v>89.99</v>
      </c>
      <c r="I1076" s="4" t="n">
        <v>42</v>
      </c>
      <c r="J1076" s="5" t="n">
        <v>0.05</v>
      </c>
      <c r="K1076" s="4" t="n">
        <f aca="false">G1076*H1076*(1-J1076)</f>
        <v>341.962</v>
      </c>
      <c r="L1076" s="4" t="n">
        <f aca="false">G1076*I1076</f>
        <v>168</v>
      </c>
      <c r="M1076" s="4" t="n">
        <f aca="false">K1076-L1076</f>
        <v>173.962</v>
      </c>
      <c r="N1076" s="6" t="n">
        <f aca="false">IF(K1076=0,0,M1076/K1076)</f>
        <v>0.508717342862657</v>
      </c>
      <c r="O1076" s="4" t="n">
        <f aca="false">(G1076*H1076)-K1076</f>
        <v>17.998</v>
      </c>
      <c r="P1076" s="3" t="s">
        <v>21</v>
      </c>
    </row>
    <row r="1077" customFormat="false" ht="15" hidden="false" customHeight="false" outlineLevel="0" collapsed="false">
      <c r="A1077" s="7" t="n">
        <v>46093</v>
      </c>
      <c r="B1077" s="8" t="s">
        <v>16</v>
      </c>
      <c r="C1077" s="8" t="s">
        <v>17</v>
      </c>
      <c r="D1077" s="8" t="s">
        <v>95</v>
      </c>
      <c r="E1077" s="8" t="s">
        <v>96</v>
      </c>
      <c r="F1077" s="8" t="s">
        <v>50</v>
      </c>
      <c r="G1077" s="8" t="n">
        <v>5</v>
      </c>
      <c r="H1077" s="9" t="n">
        <v>34.99</v>
      </c>
      <c r="I1077" s="9" t="n">
        <v>12</v>
      </c>
      <c r="J1077" s="10" t="n">
        <v>0</v>
      </c>
      <c r="K1077" s="9" t="n">
        <f aca="false">G1077*H1077*(1-J1077)</f>
        <v>174.95</v>
      </c>
      <c r="L1077" s="9" t="n">
        <f aca="false">G1077*I1077</f>
        <v>60</v>
      </c>
      <c r="M1077" s="9" t="n">
        <f aca="false">K1077-L1077</f>
        <v>114.95</v>
      </c>
      <c r="N1077" s="11" t="n">
        <f aca="false">IF(K1077=0,0,M1077/K1077)</f>
        <v>0.657044869962847</v>
      </c>
      <c r="O1077" s="9" t="n">
        <f aca="false">(G1077*H1077)-K1077</f>
        <v>0</v>
      </c>
      <c r="P1077" s="8" t="s">
        <v>21</v>
      </c>
    </row>
    <row r="1078" customFormat="false" ht="15" hidden="false" customHeight="false" outlineLevel="0" collapsed="false">
      <c r="A1078" s="2" t="n">
        <v>46026</v>
      </c>
      <c r="B1078" s="3" t="s">
        <v>41</v>
      </c>
      <c r="C1078" s="3" t="s">
        <v>28</v>
      </c>
      <c r="D1078" s="3" t="s">
        <v>38</v>
      </c>
      <c r="E1078" s="3" t="s">
        <v>39</v>
      </c>
      <c r="F1078" s="3" t="s">
        <v>40</v>
      </c>
      <c r="G1078" s="3" t="n">
        <v>20</v>
      </c>
      <c r="H1078" s="4" t="n">
        <v>12.99</v>
      </c>
      <c r="I1078" s="4" t="n">
        <v>4</v>
      </c>
      <c r="J1078" s="5" t="n">
        <v>0</v>
      </c>
      <c r="K1078" s="4" t="n">
        <f aca="false">G1078*H1078*(1-J1078)</f>
        <v>259.8</v>
      </c>
      <c r="L1078" s="4" t="n">
        <f aca="false">G1078*I1078</f>
        <v>80</v>
      </c>
      <c r="M1078" s="4" t="n">
        <f aca="false">K1078-L1078</f>
        <v>179.8</v>
      </c>
      <c r="N1078" s="6" t="n">
        <f aca="false">IF(K1078=0,0,M1078/K1078)</f>
        <v>0.692070823710547</v>
      </c>
      <c r="O1078" s="4" t="n">
        <f aca="false">(G1078*H1078)-K1078</f>
        <v>0</v>
      </c>
      <c r="P1078" s="3" t="s">
        <v>21</v>
      </c>
    </row>
    <row r="1079" customFormat="false" ht="15" hidden="false" customHeight="false" outlineLevel="0" collapsed="false">
      <c r="A1079" s="7" t="n">
        <v>46128</v>
      </c>
      <c r="B1079" s="8" t="s">
        <v>22</v>
      </c>
      <c r="C1079" s="8" t="s">
        <v>23</v>
      </c>
      <c r="D1079" s="8" t="s">
        <v>70</v>
      </c>
      <c r="E1079" s="8" t="s">
        <v>71</v>
      </c>
      <c r="F1079" s="8" t="s">
        <v>20</v>
      </c>
      <c r="G1079" s="8" t="n">
        <v>4</v>
      </c>
      <c r="H1079" s="9" t="n">
        <v>49.99</v>
      </c>
      <c r="I1079" s="9" t="n">
        <v>19</v>
      </c>
      <c r="J1079" s="10" t="n">
        <v>0.1</v>
      </c>
      <c r="K1079" s="9" t="n">
        <f aca="false">G1079*H1079*(1-J1079)</f>
        <v>179.964</v>
      </c>
      <c r="L1079" s="9" t="n">
        <f aca="false">G1079*I1079</f>
        <v>76</v>
      </c>
      <c r="M1079" s="9" t="n">
        <f aca="false">K1079-L1079</f>
        <v>103.964</v>
      </c>
      <c r="N1079" s="11" t="n">
        <f aca="false">IF(K1079=0,0,M1079/K1079)</f>
        <v>0.577693316441066</v>
      </c>
      <c r="O1079" s="9" t="n">
        <f aca="false">(G1079*H1079)-K1079</f>
        <v>19.996</v>
      </c>
      <c r="P1079" s="8" t="s">
        <v>21</v>
      </c>
    </row>
    <row r="1080" customFormat="false" ht="15" hidden="false" customHeight="false" outlineLevel="0" collapsed="false">
      <c r="A1080" s="2" t="n">
        <v>46107</v>
      </c>
      <c r="B1080" s="3" t="s">
        <v>16</v>
      </c>
      <c r="C1080" s="3" t="s">
        <v>17</v>
      </c>
      <c r="D1080" s="3" t="s">
        <v>38</v>
      </c>
      <c r="E1080" s="3" t="s">
        <v>39</v>
      </c>
      <c r="F1080" s="3" t="s">
        <v>40</v>
      </c>
      <c r="G1080" s="3" t="n">
        <v>12</v>
      </c>
      <c r="H1080" s="4" t="n">
        <v>12.99</v>
      </c>
      <c r="I1080" s="4" t="n">
        <v>4</v>
      </c>
      <c r="J1080" s="5" t="n">
        <v>0.05</v>
      </c>
      <c r="K1080" s="4" t="n">
        <f aca="false">G1080*H1080*(1-J1080)</f>
        <v>148.086</v>
      </c>
      <c r="L1080" s="4" t="n">
        <f aca="false">G1080*I1080</f>
        <v>48</v>
      </c>
      <c r="M1080" s="4" t="n">
        <f aca="false">K1080-L1080</f>
        <v>100.086</v>
      </c>
      <c r="N1080" s="6" t="n">
        <f aca="false">IF(K1080=0,0,M1080/K1080)</f>
        <v>0.67586402495847</v>
      </c>
      <c r="O1080" s="4" t="n">
        <f aca="false">(G1080*H1080)-K1080</f>
        <v>7.79400000000001</v>
      </c>
      <c r="P1080" s="3" t="s">
        <v>21</v>
      </c>
    </row>
    <row r="1081" customFormat="false" ht="15" hidden="false" customHeight="false" outlineLevel="0" collapsed="false">
      <c r="A1081" s="7" t="n">
        <v>46033</v>
      </c>
      <c r="B1081" s="8" t="s">
        <v>64</v>
      </c>
      <c r="C1081" s="8" t="s">
        <v>65</v>
      </c>
      <c r="D1081" s="8" t="s">
        <v>80</v>
      </c>
      <c r="E1081" s="8" t="s">
        <v>81</v>
      </c>
      <c r="F1081" s="8" t="s">
        <v>57</v>
      </c>
      <c r="G1081" s="8" t="n">
        <v>10</v>
      </c>
      <c r="H1081" s="9" t="n">
        <v>17.99</v>
      </c>
      <c r="I1081" s="9" t="n">
        <v>6.5</v>
      </c>
      <c r="J1081" s="10" t="n">
        <v>0.15</v>
      </c>
      <c r="K1081" s="9" t="n">
        <f aca="false">G1081*H1081*(1-J1081)</f>
        <v>152.915</v>
      </c>
      <c r="L1081" s="9" t="n">
        <f aca="false">G1081*I1081</f>
        <v>65</v>
      </c>
      <c r="M1081" s="9" t="n">
        <f aca="false">K1081-L1081</f>
        <v>87.915</v>
      </c>
      <c r="N1081" s="11" t="n">
        <f aca="false">IF(K1081=0,0,M1081/K1081)</f>
        <v>0.574927247163457</v>
      </c>
      <c r="O1081" s="9" t="n">
        <f aca="false">(G1081*H1081)-K1081</f>
        <v>26.985</v>
      </c>
      <c r="P1081" s="8" t="s">
        <v>21</v>
      </c>
    </row>
    <row r="1082" customFormat="false" ht="15" hidden="false" customHeight="false" outlineLevel="0" collapsed="false">
      <c r="A1082" s="2" t="n">
        <v>46029</v>
      </c>
      <c r="B1082" s="3" t="s">
        <v>22</v>
      </c>
      <c r="C1082" s="3" t="s">
        <v>23</v>
      </c>
      <c r="D1082" s="3" t="s">
        <v>95</v>
      </c>
      <c r="E1082" s="3" t="s">
        <v>96</v>
      </c>
      <c r="F1082" s="3" t="s">
        <v>50</v>
      </c>
      <c r="G1082" s="3" t="n">
        <v>6</v>
      </c>
      <c r="H1082" s="4" t="n">
        <v>34.99</v>
      </c>
      <c r="I1082" s="4" t="n">
        <v>12</v>
      </c>
      <c r="J1082" s="5" t="n">
        <v>0</v>
      </c>
      <c r="K1082" s="4" t="n">
        <f aca="false">G1082*H1082*(1-J1082)</f>
        <v>209.94</v>
      </c>
      <c r="L1082" s="4" t="n">
        <f aca="false">G1082*I1082</f>
        <v>72</v>
      </c>
      <c r="M1082" s="4" t="n">
        <f aca="false">K1082-L1082</f>
        <v>137.94</v>
      </c>
      <c r="N1082" s="6" t="n">
        <f aca="false">IF(K1082=0,0,M1082/K1082)</f>
        <v>0.657044869962847</v>
      </c>
      <c r="O1082" s="4" t="n">
        <f aca="false">(G1082*H1082)-K1082</f>
        <v>0</v>
      </c>
      <c r="P1082" s="3" t="s">
        <v>21</v>
      </c>
    </row>
    <row r="1083" customFormat="false" ht="15" hidden="false" customHeight="false" outlineLevel="0" collapsed="false">
      <c r="A1083" s="7" t="n">
        <v>46048</v>
      </c>
      <c r="B1083" s="8" t="s">
        <v>16</v>
      </c>
      <c r="C1083" s="8" t="s">
        <v>17</v>
      </c>
      <c r="D1083" s="8" t="s">
        <v>48</v>
      </c>
      <c r="E1083" s="8" t="s">
        <v>49</v>
      </c>
      <c r="F1083" s="8" t="s">
        <v>50</v>
      </c>
      <c r="G1083" s="8" t="n">
        <v>23</v>
      </c>
      <c r="H1083" s="9" t="n">
        <v>54.99</v>
      </c>
      <c r="I1083" s="9" t="n">
        <v>20</v>
      </c>
      <c r="J1083" s="10" t="n">
        <v>0</v>
      </c>
      <c r="K1083" s="9" t="n">
        <f aca="false">G1083*H1083*(1-J1083)</f>
        <v>1264.77</v>
      </c>
      <c r="L1083" s="9" t="n">
        <f aca="false">G1083*I1083</f>
        <v>460</v>
      </c>
      <c r="M1083" s="9" t="n">
        <f aca="false">K1083-L1083</f>
        <v>804.77</v>
      </c>
      <c r="N1083" s="11" t="n">
        <f aca="false">IF(K1083=0,0,M1083/K1083)</f>
        <v>0.636297508637934</v>
      </c>
      <c r="O1083" s="9" t="n">
        <f aca="false">(G1083*H1083)-K1083</f>
        <v>0</v>
      </c>
      <c r="P1083" s="8" t="s">
        <v>21</v>
      </c>
    </row>
    <row r="1084" customFormat="false" ht="15" hidden="false" customHeight="false" outlineLevel="0" collapsed="false">
      <c r="A1084" s="2" t="n">
        <v>46049</v>
      </c>
      <c r="B1084" s="3" t="s">
        <v>37</v>
      </c>
      <c r="C1084" s="3" t="s">
        <v>17</v>
      </c>
      <c r="D1084" s="3" t="s">
        <v>29</v>
      </c>
      <c r="E1084" s="3" t="s">
        <v>30</v>
      </c>
      <c r="F1084" s="3" t="s">
        <v>20</v>
      </c>
      <c r="G1084" s="3" t="n">
        <v>22</v>
      </c>
      <c r="H1084" s="4" t="n">
        <v>89.99</v>
      </c>
      <c r="I1084" s="4" t="n">
        <v>42</v>
      </c>
      <c r="J1084" s="5" t="n">
        <v>0.1</v>
      </c>
      <c r="K1084" s="4" t="n">
        <f aca="false">G1084*H1084*(1-J1084)</f>
        <v>1781.802</v>
      </c>
      <c r="L1084" s="4" t="n">
        <f aca="false">G1084*I1084</f>
        <v>924</v>
      </c>
      <c r="M1084" s="4" t="n">
        <f aca="false">K1084-L1084</f>
        <v>857.802</v>
      </c>
      <c r="N1084" s="6" t="n">
        <f aca="false">IF(K1084=0,0,M1084/K1084)</f>
        <v>0.481423861910583</v>
      </c>
      <c r="O1084" s="4" t="n">
        <f aca="false">(G1084*H1084)-K1084</f>
        <v>197.978</v>
      </c>
      <c r="P1084" s="3" t="s">
        <v>21</v>
      </c>
    </row>
    <row r="1085" customFormat="false" ht="15" hidden="false" customHeight="false" outlineLevel="0" collapsed="false">
      <c r="A1085" s="7" t="n">
        <v>46059</v>
      </c>
      <c r="B1085" s="8" t="s">
        <v>22</v>
      </c>
      <c r="C1085" s="8" t="s">
        <v>23</v>
      </c>
      <c r="D1085" s="8" t="s">
        <v>88</v>
      </c>
      <c r="E1085" s="8" t="s">
        <v>89</v>
      </c>
      <c r="F1085" s="8" t="s">
        <v>57</v>
      </c>
      <c r="G1085" s="8" t="n">
        <v>22</v>
      </c>
      <c r="H1085" s="9" t="n">
        <v>12.99</v>
      </c>
      <c r="I1085" s="9" t="n">
        <v>4.5</v>
      </c>
      <c r="J1085" s="10" t="n">
        <v>0.2</v>
      </c>
      <c r="K1085" s="9" t="n">
        <f aca="false">G1085*H1085*(1-J1085)</f>
        <v>228.624</v>
      </c>
      <c r="L1085" s="9" t="n">
        <f aca="false">G1085*I1085</f>
        <v>99</v>
      </c>
      <c r="M1085" s="9" t="n">
        <f aca="false">K1085-L1085</f>
        <v>129.624</v>
      </c>
      <c r="N1085" s="11" t="n">
        <f aca="false">IF(K1085=0,0,M1085/K1085)</f>
        <v>0.566974595842956</v>
      </c>
      <c r="O1085" s="9" t="n">
        <f aca="false">(G1085*H1085)-K1085</f>
        <v>57.156</v>
      </c>
      <c r="P1085" s="8" t="s">
        <v>21</v>
      </c>
    </row>
    <row r="1086" customFormat="false" ht="15" hidden="false" customHeight="false" outlineLevel="0" collapsed="false">
      <c r="A1086" s="2" t="n">
        <v>46125</v>
      </c>
      <c r="B1086" s="3" t="s">
        <v>27</v>
      </c>
      <c r="C1086" s="3" t="s">
        <v>28</v>
      </c>
      <c r="D1086" s="3" t="s">
        <v>72</v>
      </c>
      <c r="E1086" s="3" t="s">
        <v>73</v>
      </c>
      <c r="F1086" s="3" t="s">
        <v>57</v>
      </c>
      <c r="G1086" s="3" t="n">
        <v>17</v>
      </c>
      <c r="H1086" s="4" t="n">
        <v>19.99</v>
      </c>
      <c r="I1086" s="4" t="n">
        <v>7</v>
      </c>
      <c r="J1086" s="5" t="n">
        <v>0.1</v>
      </c>
      <c r="K1086" s="4" t="n">
        <f aca="false">G1086*H1086*(1-J1086)</f>
        <v>305.847</v>
      </c>
      <c r="L1086" s="4" t="n">
        <f aca="false">G1086*I1086</f>
        <v>119</v>
      </c>
      <c r="M1086" s="4" t="n">
        <f aca="false">K1086-L1086</f>
        <v>186.847</v>
      </c>
      <c r="N1086" s="6" t="n">
        <f aca="false">IF(K1086=0,0,M1086/K1086)</f>
        <v>0.610916569395809</v>
      </c>
      <c r="O1086" s="4" t="n">
        <f aca="false">(G1086*H1086)-K1086</f>
        <v>33.983</v>
      </c>
      <c r="P1086" s="3" t="s">
        <v>21</v>
      </c>
    </row>
    <row r="1087" customFormat="false" ht="15" hidden="false" customHeight="false" outlineLevel="0" collapsed="false">
      <c r="A1087" s="7" t="n">
        <v>46038</v>
      </c>
      <c r="B1087" s="8" t="s">
        <v>41</v>
      </c>
      <c r="C1087" s="8" t="s">
        <v>28</v>
      </c>
      <c r="D1087" s="8" t="s">
        <v>48</v>
      </c>
      <c r="E1087" s="8" t="s">
        <v>49</v>
      </c>
      <c r="F1087" s="8" t="s">
        <v>50</v>
      </c>
      <c r="G1087" s="8" t="n">
        <v>22</v>
      </c>
      <c r="H1087" s="9" t="n">
        <v>54.99</v>
      </c>
      <c r="I1087" s="9" t="n">
        <v>20</v>
      </c>
      <c r="J1087" s="10" t="n">
        <v>0.05</v>
      </c>
      <c r="K1087" s="9" t="n">
        <f aca="false">G1087*H1087*(1-J1087)</f>
        <v>1149.291</v>
      </c>
      <c r="L1087" s="9" t="n">
        <f aca="false">G1087*I1087</f>
        <v>440</v>
      </c>
      <c r="M1087" s="9" t="n">
        <f aca="false">K1087-L1087</f>
        <v>709.291</v>
      </c>
      <c r="N1087" s="11" t="n">
        <f aca="false">IF(K1087=0,0,M1087/K1087)</f>
        <v>0.617155272250457</v>
      </c>
      <c r="O1087" s="9" t="n">
        <f aca="false">(G1087*H1087)-K1087</f>
        <v>60.489</v>
      </c>
      <c r="P1087" s="8" t="s">
        <v>21</v>
      </c>
    </row>
    <row r="1088" customFormat="false" ht="15" hidden="false" customHeight="false" outlineLevel="0" collapsed="false">
      <c r="A1088" s="2" t="n">
        <v>46048</v>
      </c>
      <c r="B1088" s="3" t="s">
        <v>31</v>
      </c>
      <c r="C1088" s="3" t="s">
        <v>23</v>
      </c>
      <c r="D1088" s="3" t="s">
        <v>84</v>
      </c>
      <c r="E1088" s="3" t="s">
        <v>85</v>
      </c>
      <c r="F1088" s="3" t="s">
        <v>20</v>
      </c>
      <c r="G1088" s="3" t="n">
        <v>18</v>
      </c>
      <c r="H1088" s="4" t="n">
        <v>34.99</v>
      </c>
      <c r="I1088" s="4" t="n">
        <v>13</v>
      </c>
      <c r="J1088" s="5" t="n">
        <v>0.15</v>
      </c>
      <c r="K1088" s="4" t="n">
        <f aca="false">G1088*H1088*(1-J1088)</f>
        <v>535.347</v>
      </c>
      <c r="L1088" s="4" t="n">
        <f aca="false">G1088*I1088</f>
        <v>234</v>
      </c>
      <c r="M1088" s="4" t="n">
        <f aca="false">K1088-L1088</f>
        <v>301.347</v>
      </c>
      <c r="N1088" s="6" t="n">
        <f aca="false">IF(K1088=0,0,M1088/K1088)</f>
        <v>0.562900324462451</v>
      </c>
      <c r="O1088" s="4" t="n">
        <f aca="false">(G1088*H1088)-K1088</f>
        <v>94.4730000000001</v>
      </c>
      <c r="P1088" s="3" t="s">
        <v>21</v>
      </c>
    </row>
    <row r="1089" customFormat="false" ht="15" hidden="false" customHeight="false" outlineLevel="0" collapsed="false">
      <c r="A1089" s="7" t="n">
        <v>46105</v>
      </c>
      <c r="B1089" s="8" t="s">
        <v>22</v>
      </c>
      <c r="C1089" s="8" t="s">
        <v>23</v>
      </c>
      <c r="D1089" s="8" t="s">
        <v>18</v>
      </c>
      <c r="E1089" s="8" t="s">
        <v>19</v>
      </c>
      <c r="F1089" s="8" t="s">
        <v>20</v>
      </c>
      <c r="G1089" s="8" t="n">
        <v>16</v>
      </c>
      <c r="H1089" s="9" t="n">
        <v>26.99</v>
      </c>
      <c r="I1089" s="9" t="n">
        <v>10.5</v>
      </c>
      <c r="J1089" s="10" t="n">
        <v>0.3</v>
      </c>
      <c r="K1089" s="9" t="n">
        <f aca="false">G1089*H1089*(1-J1089)</f>
        <v>302.288</v>
      </c>
      <c r="L1089" s="9" t="n">
        <f aca="false">G1089*I1089</f>
        <v>168</v>
      </c>
      <c r="M1089" s="9" t="n">
        <f aca="false">K1089-L1089</f>
        <v>134.288</v>
      </c>
      <c r="N1089" s="11" t="n">
        <f aca="false">IF(K1089=0,0,M1089/K1089)</f>
        <v>0.444238606891441</v>
      </c>
      <c r="O1089" s="9" t="n">
        <f aca="false">(G1089*H1089)-K1089</f>
        <v>129.552</v>
      </c>
      <c r="P1089" s="8" t="s">
        <v>21</v>
      </c>
    </row>
    <row r="1090" customFormat="false" ht="15" hidden="false" customHeight="false" outlineLevel="0" collapsed="false">
      <c r="A1090" s="2" t="n">
        <v>46097</v>
      </c>
      <c r="B1090" s="3" t="s">
        <v>64</v>
      </c>
      <c r="C1090" s="3" t="s">
        <v>65</v>
      </c>
      <c r="D1090" s="3" t="s">
        <v>51</v>
      </c>
      <c r="E1090" s="3" t="s">
        <v>52</v>
      </c>
      <c r="F1090" s="3" t="s">
        <v>50</v>
      </c>
      <c r="G1090" s="3" t="n">
        <v>8</v>
      </c>
      <c r="H1090" s="4" t="n">
        <v>19.99</v>
      </c>
      <c r="I1090" s="4" t="n">
        <v>7</v>
      </c>
      <c r="J1090" s="5" t="n">
        <v>0</v>
      </c>
      <c r="K1090" s="4" t="n">
        <f aca="false">G1090*H1090*(1-J1090)</f>
        <v>159.92</v>
      </c>
      <c r="L1090" s="4" t="n">
        <f aca="false">G1090*I1090</f>
        <v>56</v>
      </c>
      <c r="M1090" s="4" t="n">
        <f aca="false">K1090-L1090</f>
        <v>103.92</v>
      </c>
      <c r="N1090" s="6" t="n">
        <f aca="false">IF(K1090=0,0,M1090/K1090)</f>
        <v>0.649824912456228</v>
      </c>
      <c r="O1090" s="4" t="n">
        <f aca="false">(G1090*H1090)-K1090</f>
        <v>0</v>
      </c>
      <c r="P1090" s="3" t="s">
        <v>21</v>
      </c>
    </row>
    <row r="1091" customFormat="false" ht="15" hidden="false" customHeight="false" outlineLevel="0" collapsed="false">
      <c r="A1091" s="7" t="n">
        <v>46039</v>
      </c>
      <c r="B1091" s="8" t="s">
        <v>31</v>
      </c>
      <c r="C1091" s="8" t="s">
        <v>23</v>
      </c>
      <c r="D1091" s="8" t="s">
        <v>88</v>
      </c>
      <c r="E1091" s="8" t="s">
        <v>89</v>
      </c>
      <c r="F1091" s="8" t="s">
        <v>57</v>
      </c>
      <c r="G1091" s="8" t="n">
        <v>3</v>
      </c>
      <c r="H1091" s="9" t="n">
        <v>12.99</v>
      </c>
      <c r="I1091" s="9" t="n">
        <v>4.5</v>
      </c>
      <c r="J1091" s="10" t="n">
        <v>0.55</v>
      </c>
      <c r="K1091" s="9" t="n">
        <f aca="false">G1091*H1091*(1-J1091)</f>
        <v>17.5365</v>
      </c>
      <c r="L1091" s="9" t="n">
        <f aca="false">G1091*I1091</f>
        <v>13.5</v>
      </c>
      <c r="M1091" s="9" t="n">
        <f aca="false">K1091-L1091</f>
        <v>4.0365</v>
      </c>
      <c r="N1091" s="11" t="n">
        <f aca="false">IF(K1091=0,0,M1091/K1091)</f>
        <v>0.230177059276366</v>
      </c>
      <c r="O1091" s="9" t="n">
        <f aca="false">(G1091*H1091)-K1091</f>
        <v>21.4335</v>
      </c>
      <c r="P1091" s="14" t="s">
        <v>97</v>
      </c>
    </row>
    <row r="1092" customFormat="false" ht="15" hidden="false" customHeight="false" outlineLevel="0" collapsed="false">
      <c r="A1092" s="2" t="n">
        <v>46082</v>
      </c>
      <c r="B1092" s="3" t="s">
        <v>64</v>
      </c>
      <c r="C1092" s="3" t="s">
        <v>65</v>
      </c>
      <c r="D1092" s="3" t="s">
        <v>78</v>
      </c>
      <c r="E1092" s="3" t="s">
        <v>79</v>
      </c>
      <c r="F1092" s="3" t="s">
        <v>20</v>
      </c>
      <c r="G1092" s="3" t="n">
        <v>7</v>
      </c>
      <c r="H1092" s="4" t="n">
        <v>39.99</v>
      </c>
      <c r="I1092" s="4" t="n">
        <v>16</v>
      </c>
      <c r="J1092" s="5" t="n">
        <v>0.2</v>
      </c>
      <c r="K1092" s="4" t="n">
        <f aca="false">G1092*H1092*(1-J1092)</f>
        <v>223.944</v>
      </c>
      <c r="L1092" s="4" t="n">
        <f aca="false">G1092*I1092</f>
        <v>112</v>
      </c>
      <c r="M1092" s="4" t="n">
        <f aca="false">K1092-L1092</f>
        <v>111.944</v>
      </c>
      <c r="N1092" s="6" t="n">
        <f aca="false">IF(K1092=0,0,M1092/K1092)</f>
        <v>0.499874968742186</v>
      </c>
      <c r="O1092" s="4" t="n">
        <f aca="false">(G1092*H1092)-K1092</f>
        <v>55.986</v>
      </c>
      <c r="P1092" s="3" t="s">
        <v>21</v>
      </c>
    </row>
    <row r="1093" customFormat="false" ht="15" hidden="false" customHeight="false" outlineLevel="0" collapsed="false">
      <c r="A1093" s="7" t="n">
        <v>46106</v>
      </c>
      <c r="B1093" s="8" t="s">
        <v>16</v>
      </c>
      <c r="C1093" s="8" t="s">
        <v>17</v>
      </c>
      <c r="D1093" s="8" t="s">
        <v>48</v>
      </c>
      <c r="E1093" s="8" t="s">
        <v>49</v>
      </c>
      <c r="F1093" s="8" t="s">
        <v>50</v>
      </c>
      <c r="G1093" s="8" t="n">
        <v>3</v>
      </c>
      <c r="H1093" s="9" t="n">
        <v>59.99</v>
      </c>
      <c r="I1093" s="9" t="n">
        <v>20</v>
      </c>
      <c r="J1093" s="10" t="n">
        <v>0.2</v>
      </c>
      <c r="K1093" s="9" t="n">
        <f aca="false">G1093*H1093*(1-J1093)</f>
        <v>143.976</v>
      </c>
      <c r="L1093" s="9" t="n">
        <f aca="false">G1093*I1093</f>
        <v>60</v>
      </c>
      <c r="M1093" s="9" t="n">
        <f aca="false">K1093-L1093</f>
        <v>83.976</v>
      </c>
      <c r="N1093" s="11" t="n">
        <f aca="false">IF(K1093=0,0,M1093/K1093)</f>
        <v>0.583263877312885</v>
      </c>
      <c r="O1093" s="9" t="n">
        <f aca="false">(G1093*H1093)-K1093</f>
        <v>35.994</v>
      </c>
      <c r="P1093" s="8" t="s">
        <v>21</v>
      </c>
    </row>
    <row r="1094" customFormat="false" ht="15" hidden="false" customHeight="false" outlineLevel="0" collapsed="false">
      <c r="A1094" s="2" t="n">
        <v>46104</v>
      </c>
      <c r="B1094" s="3" t="s">
        <v>41</v>
      </c>
      <c r="C1094" s="3" t="s">
        <v>28</v>
      </c>
      <c r="D1094" s="3" t="s">
        <v>84</v>
      </c>
      <c r="E1094" s="3" t="s">
        <v>85</v>
      </c>
      <c r="F1094" s="3" t="s">
        <v>20</v>
      </c>
      <c r="G1094" s="3" t="n">
        <v>17</v>
      </c>
      <c r="H1094" s="4" t="n">
        <v>34.99</v>
      </c>
      <c r="I1094" s="4" t="n">
        <v>13</v>
      </c>
      <c r="J1094" s="5" t="n">
        <v>0.1</v>
      </c>
      <c r="K1094" s="4" t="n">
        <f aca="false">G1094*H1094*(1-J1094)</f>
        <v>535.347</v>
      </c>
      <c r="L1094" s="4" t="n">
        <f aca="false">G1094*I1094</f>
        <v>221</v>
      </c>
      <c r="M1094" s="4" t="n">
        <f aca="false">K1094-L1094</f>
        <v>314.347</v>
      </c>
      <c r="N1094" s="6" t="n">
        <f aca="false">IF(K1094=0,0,M1094/K1094)</f>
        <v>0.587183639770093</v>
      </c>
      <c r="O1094" s="4" t="n">
        <f aca="false">(G1094*H1094)-K1094</f>
        <v>59.483</v>
      </c>
      <c r="P1094" s="3" t="s">
        <v>21</v>
      </c>
    </row>
    <row r="1095" customFormat="false" ht="15" hidden="false" customHeight="false" outlineLevel="0" collapsed="false">
      <c r="A1095" s="7" t="n">
        <v>46051</v>
      </c>
      <c r="B1095" s="8" t="s">
        <v>64</v>
      </c>
      <c r="C1095" s="8" t="s">
        <v>65</v>
      </c>
      <c r="D1095" s="8" t="s">
        <v>80</v>
      </c>
      <c r="E1095" s="8" t="s">
        <v>81</v>
      </c>
      <c r="F1095" s="8" t="s">
        <v>57</v>
      </c>
      <c r="G1095" s="8" t="n">
        <v>5</v>
      </c>
      <c r="H1095" s="9" t="n">
        <v>17.99</v>
      </c>
      <c r="I1095" s="9" t="n">
        <v>6.5</v>
      </c>
      <c r="J1095" s="10" t="n">
        <v>0.25</v>
      </c>
      <c r="K1095" s="9" t="n">
        <f aca="false">G1095*H1095*(1-J1095)</f>
        <v>67.4625</v>
      </c>
      <c r="L1095" s="9" t="n">
        <f aca="false">G1095*I1095</f>
        <v>32.5</v>
      </c>
      <c r="M1095" s="9" t="n">
        <f aca="false">K1095-L1095</f>
        <v>34.9625</v>
      </c>
      <c r="N1095" s="11" t="n">
        <f aca="false">IF(K1095=0,0,M1095/K1095)</f>
        <v>0.518250880118584</v>
      </c>
      <c r="O1095" s="9" t="n">
        <f aca="false">(G1095*H1095)-K1095</f>
        <v>22.4875</v>
      </c>
      <c r="P1095" s="8" t="s">
        <v>21</v>
      </c>
    </row>
    <row r="1096" customFormat="false" ht="15" hidden="false" customHeight="false" outlineLevel="0" collapsed="false">
      <c r="A1096" s="2" t="n">
        <v>46035</v>
      </c>
      <c r="B1096" s="3" t="s">
        <v>64</v>
      </c>
      <c r="C1096" s="3" t="s">
        <v>65</v>
      </c>
      <c r="D1096" s="3" t="s">
        <v>70</v>
      </c>
      <c r="E1096" s="3" t="s">
        <v>71</v>
      </c>
      <c r="F1096" s="3" t="s">
        <v>20</v>
      </c>
      <c r="G1096" s="3" t="n">
        <v>9</v>
      </c>
      <c r="H1096" s="4" t="n">
        <v>49.99</v>
      </c>
      <c r="I1096" s="4" t="n">
        <v>19</v>
      </c>
      <c r="J1096" s="5" t="n">
        <v>0.15</v>
      </c>
      <c r="K1096" s="4" t="n">
        <f aca="false">G1096*H1096*(1-J1096)</f>
        <v>382.4235</v>
      </c>
      <c r="L1096" s="4" t="n">
        <f aca="false">G1096*I1096</f>
        <v>171</v>
      </c>
      <c r="M1096" s="4" t="n">
        <f aca="false">K1096-L1096</f>
        <v>211.4235</v>
      </c>
      <c r="N1096" s="6" t="n">
        <f aca="false">IF(K1096=0,0,M1096/K1096)</f>
        <v>0.552851746819952</v>
      </c>
      <c r="O1096" s="4" t="n">
        <f aca="false">(G1096*H1096)-K1096</f>
        <v>67.4865</v>
      </c>
      <c r="P1096" s="3" t="s">
        <v>21</v>
      </c>
    </row>
    <row r="1097" customFormat="false" ht="15" hidden="false" customHeight="false" outlineLevel="0" collapsed="false">
      <c r="A1097" s="7" t="n">
        <v>46082</v>
      </c>
      <c r="B1097" s="8" t="s">
        <v>31</v>
      </c>
      <c r="C1097" s="8" t="s">
        <v>23</v>
      </c>
      <c r="D1097" s="8" t="s">
        <v>76</v>
      </c>
      <c r="E1097" s="8" t="s">
        <v>77</v>
      </c>
      <c r="F1097" s="8" t="s">
        <v>34</v>
      </c>
      <c r="G1097" s="8" t="n">
        <v>21</v>
      </c>
      <c r="H1097" s="9" t="n">
        <v>49.99</v>
      </c>
      <c r="I1097" s="9" t="n">
        <v>14</v>
      </c>
      <c r="J1097" s="10" t="n">
        <v>0.3</v>
      </c>
      <c r="K1097" s="9" t="n">
        <f aca="false">G1097*H1097*(1-J1097)</f>
        <v>734.853</v>
      </c>
      <c r="L1097" s="9" t="n">
        <f aca="false">G1097*I1097</f>
        <v>294</v>
      </c>
      <c r="M1097" s="9" t="n">
        <f aca="false">K1097-L1097</f>
        <v>440.853</v>
      </c>
      <c r="N1097" s="11" t="n">
        <f aca="false">IF(K1097=0,0,M1097/K1097)</f>
        <v>0.599919983996799</v>
      </c>
      <c r="O1097" s="9" t="n">
        <f aca="false">(G1097*H1097)-K1097</f>
        <v>314.937</v>
      </c>
      <c r="P1097" s="8" t="s">
        <v>21</v>
      </c>
    </row>
    <row r="1098" customFormat="false" ht="15" hidden="false" customHeight="false" outlineLevel="0" collapsed="false">
      <c r="A1098" s="2" t="n">
        <v>46103</v>
      </c>
      <c r="B1098" s="3" t="s">
        <v>16</v>
      </c>
      <c r="C1098" s="3" t="s">
        <v>17</v>
      </c>
      <c r="D1098" s="3" t="s">
        <v>29</v>
      </c>
      <c r="E1098" s="3" t="s">
        <v>30</v>
      </c>
      <c r="F1098" s="3" t="s">
        <v>20</v>
      </c>
      <c r="G1098" s="3" t="n">
        <v>21</v>
      </c>
      <c r="H1098" s="4" t="n">
        <v>79.99</v>
      </c>
      <c r="I1098" s="4" t="n">
        <v>42</v>
      </c>
      <c r="J1098" s="5" t="n">
        <v>0.3</v>
      </c>
      <c r="K1098" s="4" t="n">
        <f aca="false">G1098*H1098*(1-J1098)</f>
        <v>1175.853</v>
      </c>
      <c r="L1098" s="4" t="n">
        <f aca="false">G1098*I1098</f>
        <v>882</v>
      </c>
      <c r="M1098" s="4" t="n">
        <f aca="false">K1098-L1098</f>
        <v>293.853</v>
      </c>
      <c r="N1098" s="6" t="n">
        <f aca="false">IF(K1098=0,0,M1098/K1098)</f>
        <v>0.249906238279785</v>
      </c>
      <c r="O1098" s="4" t="n">
        <f aca="false">(G1098*H1098)-K1098</f>
        <v>503.937</v>
      </c>
      <c r="P1098" s="3" t="s">
        <v>21</v>
      </c>
    </row>
    <row r="1099" customFormat="false" ht="15" hidden="false" customHeight="false" outlineLevel="0" collapsed="false">
      <c r="A1099" s="7" t="n">
        <v>46112</v>
      </c>
      <c r="B1099" s="8" t="s">
        <v>58</v>
      </c>
      <c r="C1099" s="8" t="s">
        <v>58</v>
      </c>
      <c r="D1099" s="8" t="s">
        <v>24</v>
      </c>
      <c r="E1099" s="8" t="s">
        <v>25</v>
      </c>
      <c r="F1099" s="8" t="s">
        <v>26</v>
      </c>
      <c r="G1099" s="8" t="n">
        <v>19</v>
      </c>
      <c r="H1099" s="9" t="n">
        <v>54.99</v>
      </c>
      <c r="I1099" s="9" t="n">
        <v>24</v>
      </c>
      <c r="J1099" s="10" t="n">
        <v>0</v>
      </c>
      <c r="K1099" s="9" t="n">
        <f aca="false">G1099*H1099*(1-J1099)</f>
        <v>1044.81</v>
      </c>
      <c r="L1099" s="9" t="n">
        <f aca="false">G1099*I1099</f>
        <v>456</v>
      </c>
      <c r="M1099" s="9" t="n">
        <f aca="false">K1099-L1099</f>
        <v>588.81</v>
      </c>
      <c r="N1099" s="11" t="n">
        <f aca="false">IF(K1099=0,0,M1099/K1099)</f>
        <v>0.563557010365521</v>
      </c>
      <c r="O1099" s="9" t="n">
        <f aca="false">(G1099*H1099)-K1099</f>
        <v>0</v>
      </c>
      <c r="P1099" s="8" t="s">
        <v>21</v>
      </c>
    </row>
    <row r="1100" customFormat="false" ht="15" hidden="false" customHeight="false" outlineLevel="0" collapsed="false">
      <c r="A1100" s="2" t="n">
        <v>46034</v>
      </c>
      <c r="B1100" s="3" t="s">
        <v>41</v>
      </c>
      <c r="C1100" s="3" t="s">
        <v>28</v>
      </c>
      <c r="D1100" s="3" t="s">
        <v>53</v>
      </c>
      <c r="E1100" s="3" t="s">
        <v>54</v>
      </c>
      <c r="F1100" s="3" t="s">
        <v>50</v>
      </c>
      <c r="G1100" s="3" t="n">
        <v>1</v>
      </c>
      <c r="H1100" s="4" t="n">
        <v>22.99</v>
      </c>
      <c r="I1100" s="4" t="n">
        <v>8</v>
      </c>
      <c r="J1100" s="5" t="n">
        <v>0.05</v>
      </c>
      <c r="K1100" s="4" t="n">
        <f aca="false">G1100*H1100*(1-J1100)</f>
        <v>21.8405</v>
      </c>
      <c r="L1100" s="4" t="n">
        <f aca="false">G1100*I1100</f>
        <v>8</v>
      </c>
      <c r="M1100" s="4" t="n">
        <f aca="false">K1100-L1100</f>
        <v>13.8405</v>
      </c>
      <c r="N1100" s="6" t="n">
        <f aca="false">IF(K1100=0,0,M1100/K1100)</f>
        <v>0.633708019505048</v>
      </c>
      <c r="O1100" s="4" t="n">
        <f aca="false">(G1100*H1100)-K1100</f>
        <v>1.1495</v>
      </c>
      <c r="P1100" s="3" t="s">
        <v>21</v>
      </c>
    </row>
    <row r="1101" customFormat="false" ht="15" hidden="false" customHeight="false" outlineLevel="0" collapsed="false">
      <c r="A1101" s="7" t="n">
        <v>46084</v>
      </c>
      <c r="B1101" s="8" t="s">
        <v>22</v>
      </c>
      <c r="C1101" s="8" t="s">
        <v>23</v>
      </c>
      <c r="D1101" s="8" t="s">
        <v>48</v>
      </c>
      <c r="E1101" s="8" t="s">
        <v>49</v>
      </c>
      <c r="F1101" s="8" t="s">
        <v>50</v>
      </c>
      <c r="G1101" s="8" t="n">
        <v>9</v>
      </c>
      <c r="H1101" s="9" t="n">
        <v>54.99</v>
      </c>
      <c r="I1101" s="9" t="n">
        <v>20</v>
      </c>
      <c r="J1101" s="10" t="n">
        <v>0.3</v>
      </c>
      <c r="K1101" s="9" t="n">
        <f aca="false">G1101*H1101*(1-J1101)</f>
        <v>346.437</v>
      </c>
      <c r="L1101" s="9" t="n">
        <f aca="false">G1101*I1101</f>
        <v>180</v>
      </c>
      <c r="M1101" s="9" t="n">
        <f aca="false">K1101-L1101</f>
        <v>166.437</v>
      </c>
      <c r="N1101" s="11" t="n">
        <f aca="false">IF(K1101=0,0,M1101/K1101)</f>
        <v>0.480425012339906</v>
      </c>
      <c r="O1101" s="9" t="n">
        <f aca="false">(G1101*H1101)-K1101</f>
        <v>148.473</v>
      </c>
      <c r="P1101" s="8" t="s">
        <v>21</v>
      </c>
    </row>
    <row r="1102" customFormat="false" ht="15" hidden="false" customHeight="false" outlineLevel="0" collapsed="false">
      <c r="A1102" s="2" t="n">
        <v>46116</v>
      </c>
      <c r="B1102" s="3" t="s">
        <v>37</v>
      </c>
      <c r="C1102" s="3" t="s">
        <v>17</v>
      </c>
      <c r="D1102" s="3" t="s">
        <v>78</v>
      </c>
      <c r="E1102" s="3" t="s">
        <v>79</v>
      </c>
      <c r="F1102" s="3" t="s">
        <v>20</v>
      </c>
      <c r="G1102" s="3" t="n">
        <v>8</v>
      </c>
      <c r="H1102" s="4" t="n">
        <v>39.99</v>
      </c>
      <c r="I1102" s="4" t="n">
        <v>16</v>
      </c>
      <c r="J1102" s="5" t="n">
        <v>0</v>
      </c>
      <c r="K1102" s="4" t="n">
        <f aca="false">G1102*H1102*(1-J1102)</f>
        <v>319.92</v>
      </c>
      <c r="L1102" s="4" t="n">
        <f aca="false">G1102*I1102</f>
        <v>128</v>
      </c>
      <c r="M1102" s="4" t="n">
        <f aca="false">K1102-L1102</f>
        <v>191.92</v>
      </c>
      <c r="N1102" s="6" t="n">
        <f aca="false">IF(K1102=0,0,M1102/K1102)</f>
        <v>0.599899974993749</v>
      </c>
      <c r="O1102" s="4" t="n">
        <f aca="false">(G1102*H1102)-K1102</f>
        <v>0</v>
      </c>
      <c r="P1102" s="3" t="s">
        <v>21</v>
      </c>
    </row>
    <row r="1103" customFormat="false" ht="15" hidden="false" customHeight="false" outlineLevel="0" collapsed="false">
      <c r="A1103" s="7" t="n">
        <v>46107</v>
      </c>
      <c r="B1103" s="8" t="s">
        <v>58</v>
      </c>
      <c r="C1103" s="8" t="s">
        <v>58</v>
      </c>
      <c r="D1103" s="8" t="s">
        <v>51</v>
      </c>
      <c r="E1103" s="8" t="s">
        <v>52</v>
      </c>
      <c r="F1103" s="8" t="s">
        <v>50</v>
      </c>
      <c r="G1103" s="8" t="n">
        <v>26</v>
      </c>
      <c r="H1103" s="9" t="n">
        <v>19.99</v>
      </c>
      <c r="I1103" s="9" t="n">
        <v>7</v>
      </c>
      <c r="J1103" s="10" t="n">
        <v>0</v>
      </c>
      <c r="K1103" s="9" t="n">
        <f aca="false">G1103*H1103*(1-J1103)</f>
        <v>519.74</v>
      </c>
      <c r="L1103" s="9" t="n">
        <f aca="false">G1103*I1103</f>
        <v>182</v>
      </c>
      <c r="M1103" s="9" t="n">
        <f aca="false">K1103-L1103</f>
        <v>337.74</v>
      </c>
      <c r="N1103" s="11" t="n">
        <f aca="false">IF(K1103=0,0,M1103/K1103)</f>
        <v>0.649824912456228</v>
      </c>
      <c r="O1103" s="9" t="n">
        <f aca="false">(G1103*H1103)-K1103</f>
        <v>0</v>
      </c>
      <c r="P1103" s="8" t="s">
        <v>21</v>
      </c>
    </row>
    <row r="1104" customFormat="false" ht="15" hidden="false" customHeight="false" outlineLevel="0" collapsed="false">
      <c r="A1104" s="2" t="n">
        <v>46057</v>
      </c>
      <c r="B1104" s="3" t="s">
        <v>22</v>
      </c>
      <c r="C1104" s="3" t="s">
        <v>23</v>
      </c>
      <c r="D1104" s="3" t="s">
        <v>24</v>
      </c>
      <c r="E1104" s="3" t="s">
        <v>25</v>
      </c>
      <c r="F1104" s="3" t="s">
        <v>26</v>
      </c>
      <c r="G1104" s="3" t="n">
        <v>30</v>
      </c>
      <c r="H1104" s="4" t="n">
        <v>54.99</v>
      </c>
      <c r="I1104" s="4" t="n">
        <v>24</v>
      </c>
      <c r="J1104" s="5" t="n">
        <v>0.25</v>
      </c>
      <c r="K1104" s="4" t="n">
        <f aca="false">G1104*H1104*(1-J1104)</f>
        <v>1237.275</v>
      </c>
      <c r="L1104" s="4" t="n">
        <f aca="false">G1104*I1104</f>
        <v>720</v>
      </c>
      <c r="M1104" s="4" t="n">
        <f aca="false">K1104-L1104</f>
        <v>517.275</v>
      </c>
      <c r="N1104" s="6" t="n">
        <f aca="false">IF(K1104=0,0,M1104/K1104)</f>
        <v>0.418076013820695</v>
      </c>
      <c r="O1104" s="4" t="n">
        <f aca="false">(G1104*H1104)-K1104</f>
        <v>412.425</v>
      </c>
      <c r="P1104" s="3" t="s">
        <v>21</v>
      </c>
    </row>
    <row r="1105" customFormat="false" ht="15" hidden="false" customHeight="false" outlineLevel="0" collapsed="false">
      <c r="A1105" s="7" t="n">
        <v>46054</v>
      </c>
      <c r="B1105" s="8" t="s">
        <v>64</v>
      </c>
      <c r="C1105" s="8" t="s">
        <v>65</v>
      </c>
      <c r="D1105" s="8" t="s">
        <v>90</v>
      </c>
      <c r="E1105" s="8" t="s">
        <v>91</v>
      </c>
      <c r="F1105" s="8" t="s">
        <v>26</v>
      </c>
      <c r="G1105" s="8" t="n">
        <v>15</v>
      </c>
      <c r="H1105" s="9" t="n">
        <v>29.99</v>
      </c>
      <c r="I1105" s="9" t="n">
        <v>11</v>
      </c>
      <c r="J1105" s="10" t="n">
        <v>0</v>
      </c>
      <c r="K1105" s="9" t="n">
        <f aca="false">G1105*H1105*(1-J1105)</f>
        <v>449.85</v>
      </c>
      <c r="L1105" s="9" t="n">
        <f aca="false">G1105*I1105</f>
        <v>165</v>
      </c>
      <c r="M1105" s="9" t="n">
        <f aca="false">K1105-L1105</f>
        <v>284.85</v>
      </c>
      <c r="N1105" s="11" t="n">
        <f aca="false">IF(K1105=0,0,M1105/K1105)</f>
        <v>0.633211070356786</v>
      </c>
      <c r="O1105" s="9" t="n">
        <f aca="false">(G1105*H1105)-K1105</f>
        <v>0</v>
      </c>
      <c r="P1105" s="8" t="s">
        <v>21</v>
      </c>
    </row>
    <row r="1106" customFormat="false" ht="15" hidden="false" customHeight="false" outlineLevel="0" collapsed="false">
      <c r="A1106" s="2" t="n">
        <v>46110</v>
      </c>
      <c r="B1106" s="3" t="s">
        <v>64</v>
      </c>
      <c r="C1106" s="3" t="s">
        <v>65</v>
      </c>
      <c r="D1106" s="3" t="s">
        <v>29</v>
      </c>
      <c r="E1106" s="3" t="s">
        <v>30</v>
      </c>
      <c r="F1106" s="3" t="s">
        <v>20</v>
      </c>
      <c r="G1106" s="3" t="n">
        <v>12</v>
      </c>
      <c r="H1106" s="4" t="n">
        <v>79.99</v>
      </c>
      <c r="I1106" s="4" t="n">
        <v>42</v>
      </c>
      <c r="J1106" s="5" t="n">
        <v>0</v>
      </c>
      <c r="K1106" s="4" t="n">
        <f aca="false">G1106*H1106*(1-J1106)</f>
        <v>959.88</v>
      </c>
      <c r="L1106" s="4" t="n">
        <f aca="false">G1106*I1106</f>
        <v>504</v>
      </c>
      <c r="M1106" s="4" t="n">
        <f aca="false">K1106-L1106</f>
        <v>455.88</v>
      </c>
      <c r="N1106" s="6" t="n">
        <f aca="false">IF(K1106=0,0,M1106/K1106)</f>
        <v>0.474934366795849</v>
      </c>
      <c r="O1106" s="4" t="n">
        <f aca="false">(G1106*H1106)-K1106</f>
        <v>0</v>
      </c>
      <c r="P1106" s="3" t="s">
        <v>21</v>
      </c>
    </row>
    <row r="1107" customFormat="false" ht="15" hidden="false" customHeight="false" outlineLevel="0" collapsed="false">
      <c r="A1107" s="7" t="n">
        <v>46030</v>
      </c>
      <c r="B1107" s="8" t="s">
        <v>22</v>
      </c>
      <c r="C1107" s="8" t="s">
        <v>23</v>
      </c>
      <c r="D1107" s="8" t="s">
        <v>42</v>
      </c>
      <c r="E1107" s="8" t="s">
        <v>43</v>
      </c>
      <c r="F1107" s="8" t="s">
        <v>34</v>
      </c>
      <c r="G1107" s="8" t="n">
        <v>7</v>
      </c>
      <c r="H1107" s="9" t="n">
        <v>11.99</v>
      </c>
      <c r="I1107" s="9" t="n">
        <v>3.5</v>
      </c>
      <c r="J1107" s="10" t="n">
        <v>0.3</v>
      </c>
      <c r="K1107" s="9" t="n">
        <f aca="false">G1107*H1107*(1-J1107)</f>
        <v>58.751</v>
      </c>
      <c r="L1107" s="9" t="n">
        <f aca="false">G1107*I1107</f>
        <v>24.5</v>
      </c>
      <c r="M1107" s="9" t="n">
        <f aca="false">K1107-L1107</f>
        <v>34.251</v>
      </c>
      <c r="N1107" s="11" t="n">
        <f aca="false">IF(K1107=0,0,M1107/K1107)</f>
        <v>0.582985821517932</v>
      </c>
      <c r="O1107" s="9" t="n">
        <f aca="false">(G1107*H1107)-K1107</f>
        <v>25.179</v>
      </c>
      <c r="P1107" s="8" t="s">
        <v>21</v>
      </c>
    </row>
    <row r="1108" customFormat="false" ht="15" hidden="false" customHeight="false" outlineLevel="0" collapsed="false">
      <c r="A1108" s="2" t="n">
        <v>46119</v>
      </c>
      <c r="B1108" s="3" t="s">
        <v>27</v>
      </c>
      <c r="C1108" s="3" t="s">
        <v>28</v>
      </c>
      <c r="D1108" s="3" t="s">
        <v>72</v>
      </c>
      <c r="E1108" s="3" t="s">
        <v>73</v>
      </c>
      <c r="F1108" s="3" t="s">
        <v>57</v>
      </c>
      <c r="G1108" s="3" t="n">
        <v>16</v>
      </c>
      <c r="H1108" s="4" t="n">
        <v>19.99</v>
      </c>
      <c r="I1108" s="4" t="n">
        <v>7</v>
      </c>
      <c r="J1108" s="5" t="n">
        <v>0.25</v>
      </c>
      <c r="K1108" s="4" t="n">
        <f aca="false">G1108*H1108*(1-J1108)</f>
        <v>239.88</v>
      </c>
      <c r="L1108" s="4" t="n">
        <f aca="false">G1108*I1108</f>
        <v>112</v>
      </c>
      <c r="M1108" s="4" t="n">
        <f aca="false">K1108-L1108</f>
        <v>127.88</v>
      </c>
      <c r="N1108" s="6" t="n">
        <f aca="false">IF(K1108=0,0,M1108/K1108)</f>
        <v>0.533099883274971</v>
      </c>
      <c r="O1108" s="4" t="n">
        <f aca="false">(G1108*H1108)-K1108</f>
        <v>79.96</v>
      </c>
      <c r="P1108" s="3" t="s">
        <v>21</v>
      </c>
    </row>
    <row r="1109" customFormat="false" ht="15" hidden="false" customHeight="false" outlineLevel="0" collapsed="false">
      <c r="A1109" s="7" t="n">
        <v>46059</v>
      </c>
      <c r="B1109" s="8" t="s">
        <v>64</v>
      </c>
      <c r="C1109" s="8" t="s">
        <v>65</v>
      </c>
      <c r="D1109" s="8" t="s">
        <v>95</v>
      </c>
      <c r="E1109" s="8" t="s">
        <v>96</v>
      </c>
      <c r="F1109" s="8" t="s">
        <v>50</v>
      </c>
      <c r="G1109" s="8" t="n">
        <v>23</v>
      </c>
      <c r="H1109" s="9" t="n">
        <v>34.99</v>
      </c>
      <c r="I1109" s="9" t="n">
        <v>12</v>
      </c>
      <c r="J1109" s="10" t="n">
        <v>0.1</v>
      </c>
      <c r="K1109" s="9" t="n">
        <f aca="false">G1109*H1109*(1-J1109)</f>
        <v>724.293</v>
      </c>
      <c r="L1109" s="9" t="n">
        <f aca="false">G1109*I1109</f>
        <v>276</v>
      </c>
      <c r="M1109" s="9" t="n">
        <f aca="false">K1109-L1109</f>
        <v>448.293</v>
      </c>
      <c r="N1109" s="11" t="n">
        <f aca="false">IF(K1109=0,0,M1109/K1109)</f>
        <v>0.618938744403163</v>
      </c>
      <c r="O1109" s="9" t="n">
        <f aca="false">(G1109*H1109)-K1109</f>
        <v>80.477</v>
      </c>
      <c r="P1109" s="8" t="s">
        <v>21</v>
      </c>
    </row>
    <row r="1110" customFormat="false" ht="15" hidden="false" customHeight="false" outlineLevel="0" collapsed="false">
      <c r="A1110" s="2" t="n">
        <v>46094</v>
      </c>
      <c r="B1110" s="3" t="s">
        <v>58</v>
      </c>
      <c r="C1110" s="3" t="s">
        <v>58</v>
      </c>
      <c r="D1110" s="3" t="s">
        <v>78</v>
      </c>
      <c r="E1110" s="3" t="s">
        <v>79</v>
      </c>
      <c r="F1110" s="3" t="s">
        <v>20</v>
      </c>
      <c r="G1110" s="3" t="n">
        <v>4</v>
      </c>
      <c r="H1110" s="4" t="n">
        <v>39.99</v>
      </c>
      <c r="I1110" s="4" t="n">
        <v>16</v>
      </c>
      <c r="J1110" s="5" t="n">
        <v>0.5</v>
      </c>
      <c r="K1110" s="4" t="n">
        <f aca="false">G1110*H1110*(1-J1110)</f>
        <v>79.98</v>
      </c>
      <c r="L1110" s="4" t="n">
        <f aca="false">G1110*I1110</f>
        <v>64</v>
      </c>
      <c r="M1110" s="4" t="n">
        <f aca="false">K1110-L1110</f>
        <v>15.98</v>
      </c>
      <c r="N1110" s="6" t="n">
        <f aca="false">IF(K1110=0,0,M1110/K1110)</f>
        <v>0.199799949987497</v>
      </c>
      <c r="O1110" s="4" t="n">
        <f aca="false">(G1110*H1110)-K1110</f>
        <v>79.98</v>
      </c>
      <c r="P1110" s="14" t="s">
        <v>97</v>
      </c>
    </row>
    <row r="1111" customFormat="false" ht="15" hidden="false" customHeight="false" outlineLevel="0" collapsed="false">
      <c r="A1111" s="7" t="n">
        <v>46106</v>
      </c>
      <c r="B1111" s="8" t="s">
        <v>64</v>
      </c>
      <c r="C1111" s="8" t="s">
        <v>65</v>
      </c>
      <c r="D1111" s="8" t="s">
        <v>55</v>
      </c>
      <c r="E1111" s="8" t="s">
        <v>56</v>
      </c>
      <c r="F1111" s="8" t="s">
        <v>57</v>
      </c>
      <c r="G1111" s="8" t="n">
        <v>14</v>
      </c>
      <c r="H1111" s="9" t="n">
        <v>29.99</v>
      </c>
      <c r="I1111" s="9" t="n">
        <v>11</v>
      </c>
      <c r="J1111" s="10" t="n">
        <v>0.1</v>
      </c>
      <c r="K1111" s="9" t="n">
        <f aca="false">G1111*H1111*(1-J1111)</f>
        <v>377.874</v>
      </c>
      <c r="L1111" s="9" t="n">
        <f aca="false">G1111*I1111</f>
        <v>154</v>
      </c>
      <c r="M1111" s="9" t="n">
        <f aca="false">K1111-L1111</f>
        <v>223.874</v>
      </c>
      <c r="N1111" s="11" t="n">
        <f aca="false">IF(K1111=0,0,M1111/K1111)</f>
        <v>0.592456744840873</v>
      </c>
      <c r="O1111" s="9" t="n">
        <f aca="false">(G1111*H1111)-K1111</f>
        <v>41.986</v>
      </c>
      <c r="P1111" s="8" t="s">
        <v>21</v>
      </c>
    </row>
    <row r="1112" customFormat="false" ht="15" hidden="false" customHeight="false" outlineLevel="0" collapsed="false">
      <c r="A1112" s="2" t="n">
        <v>46101</v>
      </c>
      <c r="B1112" s="3" t="s">
        <v>27</v>
      </c>
      <c r="C1112" s="3" t="s">
        <v>28</v>
      </c>
      <c r="D1112" s="3" t="s">
        <v>59</v>
      </c>
      <c r="E1112" s="3" t="s">
        <v>60</v>
      </c>
      <c r="F1112" s="3" t="s">
        <v>50</v>
      </c>
      <c r="G1112" s="3" t="n">
        <v>18</v>
      </c>
      <c r="H1112" s="4" t="n">
        <v>24.99</v>
      </c>
      <c r="I1112" s="4" t="n">
        <v>8.5</v>
      </c>
      <c r="J1112" s="5" t="n">
        <v>0</v>
      </c>
      <c r="K1112" s="4" t="n">
        <f aca="false">G1112*H1112*(1-J1112)</f>
        <v>449.82</v>
      </c>
      <c r="L1112" s="4" t="n">
        <f aca="false">G1112*I1112</f>
        <v>153</v>
      </c>
      <c r="M1112" s="4" t="n">
        <f aca="false">K1112-L1112</f>
        <v>296.82</v>
      </c>
      <c r="N1112" s="6" t="n">
        <f aca="false">IF(K1112=0,0,M1112/K1112)</f>
        <v>0.659863945578231</v>
      </c>
      <c r="O1112" s="4" t="n">
        <f aca="false">(G1112*H1112)-K1112</f>
        <v>0</v>
      </c>
      <c r="P1112" s="3" t="s">
        <v>21</v>
      </c>
    </row>
    <row r="1113" customFormat="false" ht="15" hidden="false" customHeight="false" outlineLevel="0" collapsed="false">
      <c r="A1113" s="7" t="n">
        <v>46097</v>
      </c>
      <c r="B1113" s="8" t="s">
        <v>58</v>
      </c>
      <c r="C1113" s="8" t="s">
        <v>58</v>
      </c>
      <c r="D1113" s="8" t="s">
        <v>88</v>
      </c>
      <c r="E1113" s="8" t="s">
        <v>89</v>
      </c>
      <c r="F1113" s="8" t="s">
        <v>57</v>
      </c>
      <c r="G1113" s="8" t="n">
        <v>14</v>
      </c>
      <c r="H1113" s="9" t="n">
        <v>12.99</v>
      </c>
      <c r="I1113" s="9" t="n">
        <v>4.5</v>
      </c>
      <c r="J1113" s="10" t="n">
        <v>0.05</v>
      </c>
      <c r="K1113" s="9" t="n">
        <f aca="false">G1113*H1113*(1-J1113)</f>
        <v>172.767</v>
      </c>
      <c r="L1113" s="9" t="n">
        <f aca="false">G1113*I1113</f>
        <v>63</v>
      </c>
      <c r="M1113" s="9" t="n">
        <f aca="false">K1113-L1113</f>
        <v>109.767</v>
      </c>
      <c r="N1113" s="11" t="n">
        <f aca="false">IF(K1113=0,0,M1113/K1113)</f>
        <v>0.635347028078279</v>
      </c>
      <c r="O1113" s="9" t="n">
        <f aca="false">(G1113*H1113)-K1113</f>
        <v>9.09300000000002</v>
      </c>
      <c r="P1113" s="8" t="s">
        <v>21</v>
      </c>
    </row>
    <row r="1114" customFormat="false" ht="15" hidden="false" customHeight="false" outlineLevel="0" collapsed="false">
      <c r="A1114" s="2" t="n">
        <v>46064</v>
      </c>
      <c r="B1114" s="3" t="s">
        <v>22</v>
      </c>
      <c r="C1114" s="3" t="s">
        <v>23</v>
      </c>
      <c r="D1114" s="3" t="s">
        <v>46</v>
      </c>
      <c r="E1114" s="3" t="s">
        <v>47</v>
      </c>
      <c r="F1114" s="3" t="s">
        <v>20</v>
      </c>
      <c r="G1114" s="3" t="n">
        <v>17</v>
      </c>
      <c r="H1114" s="4" t="n">
        <v>44.99</v>
      </c>
      <c r="I1114" s="4" t="n">
        <v>18</v>
      </c>
      <c r="J1114" s="5" t="n">
        <v>0.3</v>
      </c>
      <c r="K1114" s="4" t="n">
        <f aca="false">G1114*H1114*(1-J1114)</f>
        <v>535.381</v>
      </c>
      <c r="L1114" s="4" t="n">
        <f aca="false">G1114*I1114</f>
        <v>306</v>
      </c>
      <c r="M1114" s="4" t="n">
        <f aca="false">K1114-L1114</f>
        <v>229.381</v>
      </c>
      <c r="N1114" s="6" t="n">
        <f aca="false">IF(K1114=0,0,M1114/K1114)</f>
        <v>0.428444416219477</v>
      </c>
      <c r="O1114" s="4" t="n">
        <f aca="false">(G1114*H1114)-K1114</f>
        <v>229.449</v>
      </c>
      <c r="P1114" s="3" t="s">
        <v>21</v>
      </c>
    </row>
    <row r="1115" customFormat="false" ht="15" hidden="false" customHeight="false" outlineLevel="0" collapsed="false">
      <c r="A1115" s="7" t="n">
        <v>46088</v>
      </c>
      <c r="B1115" s="8" t="s">
        <v>22</v>
      </c>
      <c r="C1115" s="8" t="s">
        <v>23</v>
      </c>
      <c r="D1115" s="8" t="s">
        <v>59</v>
      </c>
      <c r="E1115" s="8" t="s">
        <v>60</v>
      </c>
      <c r="F1115" s="8" t="s">
        <v>50</v>
      </c>
      <c r="G1115" s="8" t="n">
        <v>12</v>
      </c>
      <c r="H1115" s="9" t="n">
        <v>24.99</v>
      </c>
      <c r="I1115" s="9" t="n">
        <v>8.5</v>
      </c>
      <c r="J1115" s="10" t="n">
        <v>0.2</v>
      </c>
      <c r="K1115" s="9" t="n">
        <f aca="false">G1115*H1115*(1-J1115)</f>
        <v>239.904</v>
      </c>
      <c r="L1115" s="9" t="n">
        <f aca="false">G1115*I1115</f>
        <v>102</v>
      </c>
      <c r="M1115" s="9" t="n">
        <f aca="false">K1115-L1115</f>
        <v>137.904</v>
      </c>
      <c r="N1115" s="11" t="n">
        <f aca="false">IF(K1115=0,0,M1115/K1115)</f>
        <v>0.574829931972789</v>
      </c>
      <c r="O1115" s="9" t="n">
        <f aca="false">(G1115*H1115)-K1115</f>
        <v>59.976</v>
      </c>
      <c r="P1115" s="8" t="s">
        <v>21</v>
      </c>
    </row>
    <row r="1116" customFormat="false" ht="15" hidden="false" customHeight="false" outlineLevel="0" collapsed="false">
      <c r="A1116" s="2" t="n">
        <v>46124</v>
      </c>
      <c r="B1116" s="3" t="s">
        <v>27</v>
      </c>
      <c r="C1116" s="3" t="s">
        <v>28</v>
      </c>
      <c r="D1116" s="3" t="s">
        <v>66</v>
      </c>
      <c r="E1116" s="3" t="s">
        <v>67</v>
      </c>
      <c r="F1116" s="3" t="s">
        <v>57</v>
      </c>
      <c r="G1116" s="3" t="n">
        <v>18</v>
      </c>
      <c r="H1116" s="4" t="n">
        <v>14.99</v>
      </c>
      <c r="I1116" s="4" t="n">
        <v>5.5</v>
      </c>
      <c r="J1116" s="5" t="n">
        <v>0.15</v>
      </c>
      <c r="K1116" s="4" t="n">
        <f aca="false">G1116*H1116*(1-J1116)</f>
        <v>229.347</v>
      </c>
      <c r="L1116" s="4" t="n">
        <f aca="false">G1116*I1116</f>
        <v>99</v>
      </c>
      <c r="M1116" s="4" t="n">
        <f aca="false">K1116-L1116</f>
        <v>130.347</v>
      </c>
      <c r="N1116" s="6" t="n">
        <f aca="false">IF(K1116=0,0,M1116/K1116)</f>
        <v>0.568339677432013</v>
      </c>
      <c r="O1116" s="4" t="n">
        <f aca="false">(G1116*H1116)-K1116</f>
        <v>40.473</v>
      </c>
      <c r="P1116" s="3" t="s">
        <v>21</v>
      </c>
    </row>
    <row r="1117" customFormat="false" ht="15" hidden="false" customHeight="false" outlineLevel="0" collapsed="false">
      <c r="A1117" s="7" t="n">
        <v>46074</v>
      </c>
      <c r="B1117" s="8" t="s">
        <v>27</v>
      </c>
      <c r="C1117" s="8" t="s">
        <v>28</v>
      </c>
      <c r="D1117" s="8" t="s">
        <v>72</v>
      </c>
      <c r="E1117" s="8" t="s">
        <v>73</v>
      </c>
      <c r="F1117" s="8" t="s">
        <v>57</v>
      </c>
      <c r="G1117" s="8" t="n">
        <v>5</v>
      </c>
      <c r="H1117" s="9" t="n">
        <v>19.99</v>
      </c>
      <c r="I1117" s="9" t="n">
        <v>7</v>
      </c>
      <c r="J1117" s="10" t="n">
        <v>0</v>
      </c>
      <c r="K1117" s="9" t="n">
        <f aca="false">G1117*H1117*(1-J1117)</f>
        <v>99.95</v>
      </c>
      <c r="L1117" s="9" t="n">
        <f aca="false">G1117*I1117</f>
        <v>35</v>
      </c>
      <c r="M1117" s="9" t="n">
        <f aca="false">K1117-L1117</f>
        <v>64.95</v>
      </c>
      <c r="N1117" s="11" t="n">
        <f aca="false">IF(K1117=0,0,M1117/K1117)</f>
        <v>0.649824912456228</v>
      </c>
      <c r="O1117" s="9" t="n">
        <f aca="false">(G1117*H1117)-K1117</f>
        <v>0</v>
      </c>
      <c r="P1117" s="8" t="s">
        <v>21</v>
      </c>
    </row>
    <row r="1118" customFormat="false" ht="15" hidden="false" customHeight="false" outlineLevel="0" collapsed="false">
      <c r="A1118" s="2" t="n">
        <v>46062</v>
      </c>
      <c r="B1118" s="3" t="s">
        <v>22</v>
      </c>
      <c r="C1118" s="3" t="s">
        <v>23</v>
      </c>
      <c r="D1118" s="3" t="s">
        <v>53</v>
      </c>
      <c r="E1118" s="3" t="s">
        <v>54</v>
      </c>
      <c r="F1118" s="3" t="s">
        <v>50</v>
      </c>
      <c r="G1118" s="3" t="n">
        <v>20</v>
      </c>
      <c r="H1118" s="4" t="n">
        <v>22.99</v>
      </c>
      <c r="I1118" s="4" t="n">
        <v>8</v>
      </c>
      <c r="J1118" s="5" t="n">
        <v>0</v>
      </c>
      <c r="K1118" s="4" t="n">
        <f aca="false">G1118*H1118*(1-J1118)</f>
        <v>459.8</v>
      </c>
      <c r="L1118" s="4" t="n">
        <f aca="false">G1118*I1118</f>
        <v>160</v>
      </c>
      <c r="M1118" s="4" t="n">
        <f aca="false">K1118-L1118</f>
        <v>299.8</v>
      </c>
      <c r="N1118" s="6" t="n">
        <f aca="false">IF(K1118=0,0,M1118/K1118)</f>
        <v>0.652022618529796</v>
      </c>
      <c r="O1118" s="4" t="n">
        <f aca="false">(G1118*H1118)-K1118</f>
        <v>0</v>
      </c>
      <c r="P1118" s="3" t="s">
        <v>21</v>
      </c>
    </row>
    <row r="1119" customFormat="false" ht="15" hidden="false" customHeight="false" outlineLevel="0" collapsed="false">
      <c r="A1119" s="7" t="n">
        <v>46122</v>
      </c>
      <c r="B1119" s="8" t="s">
        <v>64</v>
      </c>
      <c r="C1119" s="8" t="s">
        <v>65</v>
      </c>
      <c r="D1119" s="8" t="s">
        <v>82</v>
      </c>
      <c r="E1119" s="8" t="s">
        <v>83</v>
      </c>
      <c r="F1119" s="8" t="s">
        <v>26</v>
      </c>
      <c r="G1119" s="8" t="n">
        <v>6</v>
      </c>
      <c r="H1119" s="9" t="n">
        <v>44.99</v>
      </c>
      <c r="I1119" s="9" t="n">
        <v>18</v>
      </c>
      <c r="J1119" s="10" t="n">
        <v>0.2</v>
      </c>
      <c r="K1119" s="9" t="n">
        <f aca="false">G1119*H1119*(1-J1119)</f>
        <v>215.952</v>
      </c>
      <c r="L1119" s="9" t="n">
        <f aca="false">G1119*I1119</f>
        <v>108</v>
      </c>
      <c r="M1119" s="9" t="n">
        <f aca="false">K1119-L1119</f>
        <v>107.952</v>
      </c>
      <c r="N1119" s="11" t="n">
        <f aca="false">IF(K1119=0,0,M1119/K1119)</f>
        <v>0.499888864192043</v>
      </c>
      <c r="O1119" s="9" t="n">
        <f aca="false">(G1119*H1119)-K1119</f>
        <v>53.988</v>
      </c>
      <c r="P1119" s="8" t="s">
        <v>21</v>
      </c>
    </row>
    <row r="1120" customFormat="false" ht="15" hidden="false" customHeight="false" outlineLevel="0" collapsed="false">
      <c r="A1120" s="2" t="n">
        <v>46036</v>
      </c>
      <c r="B1120" s="3" t="s">
        <v>37</v>
      </c>
      <c r="C1120" s="3" t="s">
        <v>17</v>
      </c>
      <c r="D1120" s="3" t="s">
        <v>59</v>
      </c>
      <c r="E1120" s="3" t="s">
        <v>60</v>
      </c>
      <c r="F1120" s="3" t="s">
        <v>50</v>
      </c>
      <c r="G1120" s="3" t="n">
        <v>19</v>
      </c>
      <c r="H1120" s="4" t="n">
        <v>24.99</v>
      </c>
      <c r="I1120" s="4" t="n">
        <v>8.5</v>
      </c>
      <c r="J1120" s="5" t="n">
        <v>0.1</v>
      </c>
      <c r="K1120" s="4" t="n">
        <f aca="false">G1120*H1120*(1-J1120)</f>
        <v>427.329</v>
      </c>
      <c r="L1120" s="4" t="n">
        <f aca="false">G1120*I1120</f>
        <v>161.5</v>
      </c>
      <c r="M1120" s="4" t="n">
        <f aca="false">K1120-L1120</f>
        <v>265.829</v>
      </c>
      <c r="N1120" s="6" t="n">
        <f aca="false">IF(K1120=0,0,M1120/K1120)</f>
        <v>0.622071050642479</v>
      </c>
      <c r="O1120" s="4" t="n">
        <f aca="false">(G1120*H1120)-K1120</f>
        <v>47.481</v>
      </c>
      <c r="P1120" s="3" t="s">
        <v>21</v>
      </c>
    </row>
    <row r="1121" customFormat="false" ht="15" hidden="false" customHeight="false" outlineLevel="0" collapsed="false">
      <c r="A1121" s="7" t="n">
        <v>46038</v>
      </c>
      <c r="B1121" s="8" t="s">
        <v>37</v>
      </c>
      <c r="C1121" s="8" t="s">
        <v>17</v>
      </c>
      <c r="D1121" s="8" t="s">
        <v>53</v>
      </c>
      <c r="E1121" s="8" t="s">
        <v>54</v>
      </c>
      <c r="F1121" s="8" t="s">
        <v>50</v>
      </c>
      <c r="G1121" s="8" t="n">
        <v>26</v>
      </c>
      <c r="H1121" s="9" t="n">
        <v>22.99</v>
      </c>
      <c r="I1121" s="9" t="n">
        <v>8</v>
      </c>
      <c r="J1121" s="10" t="n">
        <v>0</v>
      </c>
      <c r="K1121" s="9" t="n">
        <f aca="false">G1121*H1121*(1-J1121)</f>
        <v>597.74</v>
      </c>
      <c r="L1121" s="9" t="n">
        <f aca="false">G1121*I1121</f>
        <v>208</v>
      </c>
      <c r="M1121" s="9" t="n">
        <f aca="false">K1121-L1121</f>
        <v>389.74</v>
      </c>
      <c r="N1121" s="11" t="n">
        <f aca="false">IF(K1121=0,0,M1121/K1121)</f>
        <v>0.652022618529796</v>
      </c>
      <c r="O1121" s="9" t="n">
        <f aca="false">(G1121*H1121)-K1121</f>
        <v>0</v>
      </c>
      <c r="P1121" s="8" t="s">
        <v>21</v>
      </c>
    </row>
    <row r="1122" customFormat="false" ht="15" hidden="false" customHeight="false" outlineLevel="0" collapsed="false">
      <c r="A1122" s="2" t="n">
        <v>46095</v>
      </c>
      <c r="B1122" s="3" t="s">
        <v>64</v>
      </c>
      <c r="C1122" s="3" t="s">
        <v>65</v>
      </c>
      <c r="D1122" s="3" t="s">
        <v>76</v>
      </c>
      <c r="E1122" s="3" t="s">
        <v>77</v>
      </c>
      <c r="F1122" s="3" t="s">
        <v>34</v>
      </c>
      <c r="G1122" s="3" t="n">
        <v>29</v>
      </c>
      <c r="H1122" s="4" t="n">
        <v>49.99</v>
      </c>
      <c r="I1122" s="4" t="n">
        <v>14</v>
      </c>
      <c r="J1122" s="5" t="n">
        <v>0.2</v>
      </c>
      <c r="K1122" s="4" t="n">
        <f aca="false">G1122*H1122*(1-J1122)</f>
        <v>1159.768</v>
      </c>
      <c r="L1122" s="4" t="n">
        <f aca="false">G1122*I1122</f>
        <v>406</v>
      </c>
      <c r="M1122" s="4" t="n">
        <f aca="false">K1122-L1122</f>
        <v>753.768</v>
      </c>
      <c r="N1122" s="6" t="n">
        <f aca="false">IF(K1122=0,0,M1122/K1122)</f>
        <v>0.649929985997199</v>
      </c>
      <c r="O1122" s="4" t="n">
        <f aca="false">(G1122*H1122)-K1122</f>
        <v>289.942</v>
      </c>
      <c r="P1122" s="3" t="s">
        <v>21</v>
      </c>
    </row>
    <row r="1123" customFormat="false" ht="15" hidden="false" customHeight="false" outlineLevel="0" collapsed="false">
      <c r="A1123" s="7" t="n">
        <v>46052</v>
      </c>
      <c r="B1123" s="8" t="s">
        <v>22</v>
      </c>
      <c r="C1123" s="8" t="s">
        <v>23</v>
      </c>
      <c r="D1123" s="8" t="s">
        <v>48</v>
      </c>
      <c r="E1123" s="8" t="s">
        <v>49</v>
      </c>
      <c r="F1123" s="8" t="s">
        <v>50</v>
      </c>
      <c r="G1123" s="8" t="n">
        <v>8</v>
      </c>
      <c r="H1123" s="9" t="n">
        <v>54.99</v>
      </c>
      <c r="I1123" s="9" t="n">
        <v>20</v>
      </c>
      <c r="J1123" s="10" t="n">
        <v>0</v>
      </c>
      <c r="K1123" s="9" t="n">
        <f aca="false">G1123*H1123*(1-J1123)</f>
        <v>439.92</v>
      </c>
      <c r="L1123" s="9" t="n">
        <f aca="false">G1123*I1123</f>
        <v>160</v>
      </c>
      <c r="M1123" s="9" t="n">
        <f aca="false">K1123-L1123</f>
        <v>279.92</v>
      </c>
      <c r="N1123" s="11" t="n">
        <f aca="false">IF(K1123=0,0,M1123/K1123)</f>
        <v>0.636297508637934</v>
      </c>
      <c r="O1123" s="9" t="n">
        <f aca="false">(G1123*H1123)-K1123</f>
        <v>0</v>
      </c>
      <c r="P1123" s="8" t="s">
        <v>21</v>
      </c>
    </row>
    <row r="1124" customFormat="false" ht="15" hidden="false" customHeight="false" outlineLevel="0" collapsed="false">
      <c r="A1124" s="2" t="n">
        <v>46131</v>
      </c>
      <c r="B1124" s="3" t="s">
        <v>16</v>
      </c>
      <c r="C1124" s="3" t="s">
        <v>17</v>
      </c>
      <c r="D1124" s="3" t="s">
        <v>84</v>
      </c>
      <c r="E1124" s="3" t="s">
        <v>85</v>
      </c>
      <c r="F1124" s="3" t="s">
        <v>20</v>
      </c>
      <c r="G1124" s="3" t="n">
        <v>20</v>
      </c>
      <c r="H1124" s="4" t="n">
        <v>34.99</v>
      </c>
      <c r="I1124" s="4" t="n">
        <v>13</v>
      </c>
      <c r="J1124" s="5" t="n">
        <v>0</v>
      </c>
      <c r="K1124" s="4" t="n">
        <f aca="false">G1124*H1124*(1-J1124)</f>
        <v>699.8</v>
      </c>
      <c r="L1124" s="4" t="n">
        <f aca="false">G1124*I1124</f>
        <v>260</v>
      </c>
      <c r="M1124" s="4" t="n">
        <f aca="false">K1124-L1124</f>
        <v>439.8</v>
      </c>
      <c r="N1124" s="6" t="n">
        <f aca="false">IF(K1124=0,0,M1124/K1124)</f>
        <v>0.628465275793084</v>
      </c>
      <c r="O1124" s="4" t="n">
        <f aca="false">(G1124*H1124)-K1124</f>
        <v>0</v>
      </c>
      <c r="P1124" s="3" t="s">
        <v>21</v>
      </c>
    </row>
    <row r="1125" customFormat="false" ht="15" hidden="false" customHeight="false" outlineLevel="0" collapsed="false">
      <c r="A1125" s="7" t="n">
        <v>46055</v>
      </c>
      <c r="B1125" s="8" t="s">
        <v>31</v>
      </c>
      <c r="C1125" s="8" t="s">
        <v>23</v>
      </c>
      <c r="D1125" s="8" t="s">
        <v>51</v>
      </c>
      <c r="E1125" s="8" t="s">
        <v>52</v>
      </c>
      <c r="F1125" s="8" t="s">
        <v>50</v>
      </c>
      <c r="G1125" s="8" t="n">
        <v>8</v>
      </c>
      <c r="H1125" s="9" t="n">
        <v>19.99</v>
      </c>
      <c r="I1125" s="9" t="n">
        <v>7</v>
      </c>
      <c r="J1125" s="10" t="n">
        <v>0.25</v>
      </c>
      <c r="K1125" s="9" t="n">
        <f aca="false">G1125*H1125*(1-J1125)</f>
        <v>119.94</v>
      </c>
      <c r="L1125" s="9" t="n">
        <f aca="false">G1125*I1125</f>
        <v>56</v>
      </c>
      <c r="M1125" s="9" t="n">
        <f aca="false">K1125-L1125</f>
        <v>63.94</v>
      </c>
      <c r="N1125" s="11" t="n">
        <f aca="false">IF(K1125=0,0,M1125/K1125)</f>
        <v>0.533099883274971</v>
      </c>
      <c r="O1125" s="9" t="n">
        <f aca="false">(G1125*H1125)-K1125</f>
        <v>39.98</v>
      </c>
      <c r="P1125" s="8" t="s">
        <v>21</v>
      </c>
    </row>
    <row r="1126" customFormat="false" ht="15" hidden="false" customHeight="false" outlineLevel="0" collapsed="false">
      <c r="A1126" s="2" t="n">
        <v>46085</v>
      </c>
      <c r="B1126" s="3" t="s">
        <v>37</v>
      </c>
      <c r="C1126" s="3" t="s">
        <v>17</v>
      </c>
      <c r="D1126" s="3" t="s">
        <v>61</v>
      </c>
      <c r="E1126" s="3" t="s">
        <v>62</v>
      </c>
      <c r="F1126" s="3" t="s">
        <v>34</v>
      </c>
      <c r="G1126" s="3" t="n">
        <v>16</v>
      </c>
      <c r="H1126" s="4" t="n">
        <v>12.99</v>
      </c>
      <c r="I1126" s="4" t="n">
        <v>4.5</v>
      </c>
      <c r="J1126" s="5" t="n">
        <v>0.3</v>
      </c>
      <c r="K1126" s="4" t="n">
        <f aca="false">G1126*H1126*(1-J1126)</f>
        <v>145.488</v>
      </c>
      <c r="L1126" s="4" t="n">
        <f aca="false">G1126*I1126</f>
        <v>72</v>
      </c>
      <c r="M1126" s="4" t="n">
        <f aca="false">K1126-L1126</f>
        <v>73.488</v>
      </c>
      <c r="N1126" s="6" t="n">
        <f aca="false">IF(K1126=0,0,M1126/K1126)</f>
        <v>0.505113823820521</v>
      </c>
      <c r="O1126" s="4" t="n">
        <f aca="false">(G1126*H1126)-K1126</f>
        <v>62.352</v>
      </c>
      <c r="P1126" s="3" t="s">
        <v>21</v>
      </c>
    </row>
    <row r="1127" customFormat="false" ht="15" hidden="false" customHeight="false" outlineLevel="0" collapsed="false">
      <c r="A1127" s="7" t="n">
        <v>46084</v>
      </c>
      <c r="B1127" s="8" t="s">
        <v>31</v>
      </c>
      <c r="C1127" s="8" t="s">
        <v>23</v>
      </c>
      <c r="D1127" s="8" t="s">
        <v>55</v>
      </c>
      <c r="E1127" s="8" t="s">
        <v>56</v>
      </c>
      <c r="F1127" s="8" t="s">
        <v>57</v>
      </c>
      <c r="G1127" s="8" t="n">
        <v>12</v>
      </c>
      <c r="H1127" s="9" t="n">
        <v>29.99</v>
      </c>
      <c r="I1127" s="9" t="n">
        <v>11</v>
      </c>
      <c r="J1127" s="10" t="n">
        <v>0.1</v>
      </c>
      <c r="K1127" s="9" t="n">
        <f aca="false">G1127*H1127*(1-J1127)</f>
        <v>323.892</v>
      </c>
      <c r="L1127" s="9" t="n">
        <f aca="false">G1127*I1127</f>
        <v>132</v>
      </c>
      <c r="M1127" s="9" t="n">
        <f aca="false">K1127-L1127</f>
        <v>191.892</v>
      </c>
      <c r="N1127" s="11" t="n">
        <f aca="false">IF(K1127=0,0,M1127/K1127)</f>
        <v>0.592456744840873</v>
      </c>
      <c r="O1127" s="9" t="n">
        <f aca="false">(G1127*H1127)-K1127</f>
        <v>35.988</v>
      </c>
      <c r="P1127" s="8" t="s">
        <v>21</v>
      </c>
    </row>
    <row r="1128" customFormat="false" ht="15" hidden="false" customHeight="false" outlineLevel="0" collapsed="false">
      <c r="A1128" s="2" t="n">
        <v>46123</v>
      </c>
      <c r="B1128" s="3" t="s">
        <v>64</v>
      </c>
      <c r="C1128" s="3" t="s">
        <v>65</v>
      </c>
      <c r="D1128" s="3" t="s">
        <v>46</v>
      </c>
      <c r="E1128" s="3" t="s">
        <v>47</v>
      </c>
      <c r="F1128" s="3" t="s">
        <v>20</v>
      </c>
      <c r="G1128" s="3" t="n">
        <v>14</v>
      </c>
      <c r="H1128" s="4" t="n">
        <v>44.99</v>
      </c>
      <c r="I1128" s="4" t="n">
        <v>18</v>
      </c>
      <c r="J1128" s="5" t="n">
        <v>0</v>
      </c>
      <c r="K1128" s="4" t="n">
        <f aca="false">G1128*H1128*(1-J1128)</f>
        <v>629.86</v>
      </c>
      <c r="L1128" s="4" t="n">
        <f aca="false">G1128*I1128</f>
        <v>252</v>
      </c>
      <c r="M1128" s="4" t="n">
        <f aca="false">K1128-L1128</f>
        <v>377.86</v>
      </c>
      <c r="N1128" s="6" t="n">
        <f aca="false">IF(K1128=0,0,M1128/K1128)</f>
        <v>0.599911091353634</v>
      </c>
      <c r="O1128" s="4" t="n">
        <f aca="false">(G1128*H1128)-K1128</f>
        <v>0</v>
      </c>
      <c r="P1128" s="3" t="s">
        <v>21</v>
      </c>
    </row>
    <row r="1129" customFormat="false" ht="15" hidden="false" customHeight="false" outlineLevel="0" collapsed="false">
      <c r="A1129" s="7" t="n">
        <v>46061</v>
      </c>
      <c r="B1129" s="8" t="s">
        <v>64</v>
      </c>
      <c r="C1129" s="8" t="s">
        <v>65</v>
      </c>
      <c r="D1129" s="8" t="s">
        <v>90</v>
      </c>
      <c r="E1129" s="8" t="s">
        <v>91</v>
      </c>
      <c r="F1129" s="8" t="s">
        <v>26</v>
      </c>
      <c r="G1129" s="8" t="n">
        <v>19</v>
      </c>
      <c r="H1129" s="9" t="n">
        <v>29.99</v>
      </c>
      <c r="I1129" s="9" t="n">
        <v>11</v>
      </c>
      <c r="J1129" s="10" t="n">
        <v>0.25</v>
      </c>
      <c r="K1129" s="9" t="n">
        <f aca="false">G1129*H1129*(1-J1129)</f>
        <v>427.3575</v>
      </c>
      <c r="L1129" s="9" t="n">
        <f aca="false">G1129*I1129</f>
        <v>209</v>
      </c>
      <c r="M1129" s="9" t="n">
        <f aca="false">K1129-L1129</f>
        <v>218.3575</v>
      </c>
      <c r="N1129" s="11" t="n">
        <f aca="false">IF(K1129=0,0,M1129/K1129)</f>
        <v>0.510948093809047</v>
      </c>
      <c r="O1129" s="9" t="n">
        <f aca="false">(G1129*H1129)-K1129</f>
        <v>142.4525</v>
      </c>
      <c r="P1129" s="8" t="s">
        <v>21</v>
      </c>
    </row>
    <row r="1130" customFormat="false" ht="15" hidden="false" customHeight="false" outlineLevel="0" collapsed="false">
      <c r="A1130" s="2" t="n">
        <v>46034</v>
      </c>
      <c r="B1130" s="3" t="s">
        <v>64</v>
      </c>
      <c r="C1130" s="3" t="s">
        <v>65</v>
      </c>
      <c r="D1130" s="3" t="s">
        <v>29</v>
      </c>
      <c r="E1130" s="3" t="s">
        <v>30</v>
      </c>
      <c r="F1130" s="3" t="s">
        <v>20</v>
      </c>
      <c r="G1130" s="3" t="n">
        <v>12</v>
      </c>
      <c r="H1130" s="4" t="n">
        <v>89.99</v>
      </c>
      <c r="I1130" s="4" t="n">
        <v>42</v>
      </c>
      <c r="J1130" s="5" t="n">
        <v>0.1</v>
      </c>
      <c r="K1130" s="4" t="n">
        <f aca="false">G1130*H1130*(1-J1130)</f>
        <v>971.892</v>
      </c>
      <c r="L1130" s="4" t="n">
        <f aca="false">G1130*I1130</f>
        <v>504</v>
      </c>
      <c r="M1130" s="4" t="n">
        <f aca="false">K1130-L1130</f>
        <v>467.892</v>
      </c>
      <c r="N1130" s="6" t="n">
        <f aca="false">IF(K1130=0,0,M1130/K1130)</f>
        <v>0.481423861910583</v>
      </c>
      <c r="O1130" s="4" t="n">
        <f aca="false">(G1130*H1130)-K1130</f>
        <v>107.988</v>
      </c>
      <c r="P1130" s="3" t="s">
        <v>21</v>
      </c>
    </row>
    <row r="1131" customFormat="false" ht="15" hidden="false" customHeight="false" outlineLevel="0" collapsed="false">
      <c r="A1131" s="7" t="n">
        <v>46071</v>
      </c>
      <c r="B1131" s="8" t="s">
        <v>41</v>
      </c>
      <c r="C1131" s="8" t="s">
        <v>28</v>
      </c>
      <c r="D1131" s="8" t="s">
        <v>24</v>
      </c>
      <c r="E1131" s="8" t="s">
        <v>25</v>
      </c>
      <c r="F1131" s="8" t="s">
        <v>26</v>
      </c>
      <c r="G1131" s="8" t="n">
        <v>15</v>
      </c>
      <c r="H1131" s="9" t="n">
        <v>54.99</v>
      </c>
      <c r="I1131" s="9" t="n">
        <v>24</v>
      </c>
      <c r="J1131" s="10" t="n">
        <v>0.1</v>
      </c>
      <c r="K1131" s="9" t="n">
        <f aca="false">G1131*H1131*(1-J1131)</f>
        <v>742.365</v>
      </c>
      <c r="L1131" s="9" t="n">
        <f aca="false">G1131*I1131</f>
        <v>360</v>
      </c>
      <c r="M1131" s="9" t="n">
        <f aca="false">K1131-L1131</f>
        <v>382.365</v>
      </c>
      <c r="N1131" s="11" t="n">
        <f aca="false">IF(K1131=0,0,M1131/K1131)</f>
        <v>0.515063344850579</v>
      </c>
      <c r="O1131" s="9" t="n">
        <f aca="false">(G1131*H1131)-K1131</f>
        <v>82.485</v>
      </c>
      <c r="P1131" s="8" t="s">
        <v>21</v>
      </c>
    </row>
    <row r="1132" customFormat="false" ht="15" hidden="false" customHeight="false" outlineLevel="0" collapsed="false">
      <c r="A1132" s="2" t="n">
        <v>46035</v>
      </c>
      <c r="B1132" s="3" t="s">
        <v>22</v>
      </c>
      <c r="C1132" s="3" t="s">
        <v>23</v>
      </c>
      <c r="D1132" s="3" t="s">
        <v>93</v>
      </c>
      <c r="E1132" s="3" t="s">
        <v>94</v>
      </c>
      <c r="F1132" s="3" t="s">
        <v>34</v>
      </c>
      <c r="G1132" s="3" t="n">
        <v>8</v>
      </c>
      <c r="H1132" s="4" t="n">
        <v>29.99</v>
      </c>
      <c r="I1132" s="4" t="n">
        <v>9</v>
      </c>
      <c r="J1132" s="5" t="n">
        <v>0.2</v>
      </c>
      <c r="K1132" s="4" t="n">
        <f aca="false">G1132*H1132*(1-J1132)</f>
        <v>191.936</v>
      </c>
      <c r="L1132" s="4" t="n">
        <f aca="false">G1132*I1132</f>
        <v>72</v>
      </c>
      <c r="M1132" s="4" t="n">
        <f aca="false">K1132-L1132</f>
        <v>119.936</v>
      </c>
      <c r="N1132" s="6" t="n">
        <f aca="false">IF(K1132=0,0,M1132/K1132)</f>
        <v>0.62487495831944</v>
      </c>
      <c r="O1132" s="4" t="n">
        <f aca="false">(G1132*H1132)-K1132</f>
        <v>47.984</v>
      </c>
      <c r="P1132" s="3" t="s">
        <v>21</v>
      </c>
    </row>
    <row r="1133" customFormat="false" ht="15" hidden="false" customHeight="false" outlineLevel="0" collapsed="false">
      <c r="A1133" s="7" t="n">
        <v>46077</v>
      </c>
      <c r="B1133" s="8" t="s">
        <v>16</v>
      </c>
      <c r="C1133" s="8" t="s">
        <v>17</v>
      </c>
      <c r="D1133" s="8" t="s">
        <v>53</v>
      </c>
      <c r="E1133" s="8" t="s">
        <v>54</v>
      </c>
      <c r="F1133" s="8" t="s">
        <v>50</v>
      </c>
      <c r="G1133" s="8" t="n">
        <v>17</v>
      </c>
      <c r="H1133" s="9" t="n">
        <v>22.99</v>
      </c>
      <c r="I1133" s="9" t="n">
        <v>8</v>
      </c>
      <c r="J1133" s="10" t="n">
        <v>0.1</v>
      </c>
      <c r="K1133" s="9" t="n">
        <f aca="false">G1133*H1133*(1-J1133)</f>
        <v>351.747</v>
      </c>
      <c r="L1133" s="9" t="n">
        <f aca="false">G1133*I1133</f>
        <v>136</v>
      </c>
      <c r="M1133" s="9" t="n">
        <f aca="false">K1133-L1133</f>
        <v>215.747</v>
      </c>
      <c r="N1133" s="11" t="n">
        <f aca="false">IF(K1133=0,0,M1133/K1133)</f>
        <v>0.613358465033106</v>
      </c>
      <c r="O1133" s="9" t="n">
        <f aca="false">(G1133*H1133)-K1133</f>
        <v>39.083</v>
      </c>
      <c r="P1133" s="8" t="s">
        <v>21</v>
      </c>
    </row>
    <row r="1134" customFormat="false" ht="15" hidden="false" customHeight="false" outlineLevel="0" collapsed="false">
      <c r="A1134" s="2" t="n">
        <v>46039</v>
      </c>
      <c r="B1134" s="3" t="s">
        <v>22</v>
      </c>
      <c r="C1134" s="3" t="s">
        <v>23</v>
      </c>
      <c r="D1134" s="3" t="s">
        <v>48</v>
      </c>
      <c r="E1134" s="3" t="s">
        <v>49</v>
      </c>
      <c r="F1134" s="3" t="s">
        <v>50</v>
      </c>
      <c r="G1134" s="3" t="n">
        <v>12</v>
      </c>
      <c r="H1134" s="4" t="n">
        <v>54.99</v>
      </c>
      <c r="I1134" s="4" t="n">
        <v>20</v>
      </c>
      <c r="J1134" s="5" t="n">
        <v>0.7</v>
      </c>
      <c r="K1134" s="4" t="n">
        <f aca="false">G1134*H1134*(1-J1134)</f>
        <v>197.964</v>
      </c>
      <c r="L1134" s="4" t="n">
        <f aca="false">G1134*I1134</f>
        <v>240</v>
      </c>
      <c r="M1134" s="4" t="n">
        <f aca="false">K1134-L1134</f>
        <v>-42.036</v>
      </c>
      <c r="N1134" s="6" t="n">
        <f aca="false">IF(K1134=0,0,M1134/K1134)</f>
        <v>-0.212341637873553</v>
      </c>
      <c r="O1134" s="4" t="n">
        <f aca="false">(G1134*H1134)-K1134</f>
        <v>461.916</v>
      </c>
      <c r="P1134" s="14" t="s">
        <v>97</v>
      </c>
    </row>
    <row r="1135" customFormat="false" ht="15" hidden="false" customHeight="false" outlineLevel="0" collapsed="false">
      <c r="A1135" s="7" t="n">
        <v>46087</v>
      </c>
      <c r="B1135" s="8" t="s">
        <v>27</v>
      </c>
      <c r="C1135" s="8" t="s">
        <v>28</v>
      </c>
      <c r="D1135" s="8" t="s">
        <v>76</v>
      </c>
      <c r="E1135" s="8" t="s">
        <v>77</v>
      </c>
      <c r="F1135" s="8" t="s">
        <v>34</v>
      </c>
      <c r="G1135" s="8" t="n">
        <v>14</v>
      </c>
      <c r="H1135" s="9" t="n">
        <v>49.99</v>
      </c>
      <c r="I1135" s="9" t="n">
        <v>14</v>
      </c>
      <c r="J1135" s="10" t="n">
        <v>0.1</v>
      </c>
      <c r="K1135" s="9" t="n">
        <f aca="false">G1135*H1135*(1-J1135)</f>
        <v>629.874</v>
      </c>
      <c r="L1135" s="9" t="n">
        <f aca="false">G1135*I1135</f>
        <v>196</v>
      </c>
      <c r="M1135" s="9" t="n">
        <f aca="false">K1135-L1135</f>
        <v>433.874</v>
      </c>
      <c r="N1135" s="11" t="n">
        <f aca="false">IF(K1135=0,0,M1135/K1135)</f>
        <v>0.688826654219733</v>
      </c>
      <c r="O1135" s="9" t="n">
        <f aca="false">(G1135*H1135)-K1135</f>
        <v>69.986</v>
      </c>
      <c r="P1135" s="8" t="s">
        <v>21</v>
      </c>
    </row>
    <row r="1136" customFormat="false" ht="15" hidden="false" customHeight="false" outlineLevel="0" collapsed="false">
      <c r="A1136" s="2" t="n">
        <v>46101</v>
      </c>
      <c r="B1136" s="3" t="s">
        <v>64</v>
      </c>
      <c r="C1136" s="3" t="s">
        <v>65</v>
      </c>
      <c r="D1136" s="3" t="s">
        <v>29</v>
      </c>
      <c r="E1136" s="3" t="s">
        <v>30</v>
      </c>
      <c r="F1136" s="3" t="s">
        <v>20</v>
      </c>
      <c r="G1136" s="3" t="n">
        <v>21</v>
      </c>
      <c r="H1136" s="4" t="n">
        <v>79.99</v>
      </c>
      <c r="I1136" s="4" t="n">
        <v>42</v>
      </c>
      <c r="J1136" s="5" t="n">
        <v>0.15</v>
      </c>
      <c r="K1136" s="4" t="n">
        <f aca="false">G1136*H1136*(1-J1136)</f>
        <v>1427.8215</v>
      </c>
      <c r="L1136" s="4" t="n">
        <f aca="false">G1136*I1136</f>
        <v>882</v>
      </c>
      <c r="M1136" s="4" t="n">
        <f aca="false">K1136-L1136</f>
        <v>545.8215</v>
      </c>
      <c r="N1136" s="6" t="n">
        <f aca="false">IF(K1136=0,0,M1136/K1136)</f>
        <v>0.382275725642176</v>
      </c>
      <c r="O1136" s="4" t="n">
        <f aca="false">(G1136*H1136)-K1136</f>
        <v>251.9685</v>
      </c>
      <c r="P1136" s="3" t="s">
        <v>21</v>
      </c>
    </row>
    <row r="1137" customFormat="false" ht="15" hidden="false" customHeight="false" outlineLevel="0" collapsed="false">
      <c r="A1137" s="7" t="n">
        <v>46086</v>
      </c>
      <c r="B1137" s="8" t="s">
        <v>27</v>
      </c>
      <c r="C1137" s="8" t="s">
        <v>28</v>
      </c>
      <c r="D1137" s="8" t="s">
        <v>66</v>
      </c>
      <c r="E1137" s="8" t="s">
        <v>67</v>
      </c>
      <c r="F1137" s="8" t="s">
        <v>57</v>
      </c>
      <c r="G1137" s="8" t="n">
        <v>1</v>
      </c>
      <c r="H1137" s="9" t="n">
        <v>14.99</v>
      </c>
      <c r="I1137" s="9" t="n">
        <v>5.5</v>
      </c>
      <c r="J1137" s="10" t="n">
        <v>0</v>
      </c>
      <c r="K1137" s="9" t="n">
        <f aca="false">G1137*H1137*(1-J1137)</f>
        <v>14.99</v>
      </c>
      <c r="L1137" s="9" t="n">
        <f aca="false">G1137*I1137</f>
        <v>5.5</v>
      </c>
      <c r="M1137" s="9" t="n">
        <f aca="false">K1137-L1137</f>
        <v>9.49</v>
      </c>
      <c r="N1137" s="11" t="n">
        <f aca="false">IF(K1137=0,0,M1137/K1137)</f>
        <v>0.633088725817211</v>
      </c>
      <c r="O1137" s="9" t="n">
        <f aca="false">(G1137*H1137)-K1137</f>
        <v>0</v>
      </c>
      <c r="P1137" s="8" t="s">
        <v>21</v>
      </c>
    </row>
    <row r="1138" customFormat="false" ht="15" hidden="false" customHeight="false" outlineLevel="0" collapsed="false">
      <c r="A1138" s="2" t="n">
        <v>46121</v>
      </c>
      <c r="B1138" s="3" t="s">
        <v>22</v>
      </c>
      <c r="C1138" s="3" t="s">
        <v>23</v>
      </c>
      <c r="D1138" s="3" t="s">
        <v>44</v>
      </c>
      <c r="E1138" s="3" t="s">
        <v>45</v>
      </c>
      <c r="F1138" s="3" t="s">
        <v>40</v>
      </c>
      <c r="G1138" s="3" t="n">
        <v>17</v>
      </c>
      <c r="H1138" s="4" t="n">
        <v>29.99</v>
      </c>
      <c r="I1138" s="4" t="n">
        <v>11</v>
      </c>
      <c r="J1138" s="5" t="n">
        <v>0.3</v>
      </c>
      <c r="K1138" s="4" t="n">
        <f aca="false">G1138*H1138*(1-J1138)</f>
        <v>356.881</v>
      </c>
      <c r="L1138" s="4" t="n">
        <f aca="false">G1138*I1138</f>
        <v>187</v>
      </c>
      <c r="M1138" s="4" t="n">
        <f aca="false">K1138-L1138</f>
        <v>169.881</v>
      </c>
      <c r="N1138" s="6" t="n">
        <f aca="false">IF(K1138=0,0,M1138/K1138)</f>
        <v>0.476015814795408</v>
      </c>
      <c r="O1138" s="4" t="n">
        <f aca="false">(G1138*H1138)-K1138</f>
        <v>152.949</v>
      </c>
      <c r="P1138" s="3" t="s">
        <v>21</v>
      </c>
    </row>
    <row r="1139" customFormat="false" ht="15" hidden="false" customHeight="false" outlineLevel="0" collapsed="false">
      <c r="A1139" s="7" t="n">
        <v>46088</v>
      </c>
      <c r="B1139" s="8" t="s">
        <v>31</v>
      </c>
      <c r="C1139" s="8" t="s">
        <v>23</v>
      </c>
      <c r="D1139" s="8" t="s">
        <v>76</v>
      </c>
      <c r="E1139" s="8" t="s">
        <v>77</v>
      </c>
      <c r="F1139" s="8" t="s">
        <v>34</v>
      </c>
      <c r="G1139" s="8" t="n">
        <v>28</v>
      </c>
      <c r="H1139" s="9" t="n">
        <v>49.99</v>
      </c>
      <c r="I1139" s="9" t="n">
        <v>14</v>
      </c>
      <c r="J1139" s="10" t="n">
        <v>0.2</v>
      </c>
      <c r="K1139" s="9" t="n">
        <f aca="false">G1139*H1139*(1-J1139)</f>
        <v>1119.776</v>
      </c>
      <c r="L1139" s="9" t="n">
        <f aca="false">G1139*I1139</f>
        <v>392</v>
      </c>
      <c r="M1139" s="9" t="n">
        <f aca="false">K1139-L1139</f>
        <v>727.776</v>
      </c>
      <c r="N1139" s="11" t="n">
        <f aca="false">IF(K1139=0,0,M1139/K1139)</f>
        <v>0.649929985997199</v>
      </c>
      <c r="O1139" s="9" t="n">
        <f aca="false">(G1139*H1139)-K1139</f>
        <v>279.944</v>
      </c>
      <c r="P1139" s="8" t="s">
        <v>21</v>
      </c>
    </row>
    <row r="1140" customFormat="false" ht="15" hidden="false" customHeight="false" outlineLevel="0" collapsed="false">
      <c r="A1140" s="2" t="n">
        <v>46083</v>
      </c>
      <c r="B1140" s="3" t="s">
        <v>31</v>
      </c>
      <c r="C1140" s="3" t="s">
        <v>23</v>
      </c>
      <c r="D1140" s="3" t="s">
        <v>51</v>
      </c>
      <c r="E1140" s="3" t="s">
        <v>52</v>
      </c>
      <c r="F1140" s="3" t="s">
        <v>50</v>
      </c>
      <c r="G1140" s="3" t="n">
        <v>11</v>
      </c>
      <c r="H1140" s="4" t="n">
        <v>19.99</v>
      </c>
      <c r="I1140" s="4" t="n">
        <v>7</v>
      </c>
      <c r="J1140" s="5" t="n">
        <v>0.3</v>
      </c>
      <c r="K1140" s="4" t="n">
        <f aca="false">G1140*H1140*(1-J1140)</f>
        <v>153.923</v>
      </c>
      <c r="L1140" s="4" t="n">
        <f aca="false">G1140*I1140</f>
        <v>77</v>
      </c>
      <c r="M1140" s="4" t="n">
        <f aca="false">K1140-L1140</f>
        <v>76.923</v>
      </c>
      <c r="N1140" s="6" t="n">
        <f aca="false">IF(K1140=0,0,M1140/K1140)</f>
        <v>0.499749874937469</v>
      </c>
      <c r="O1140" s="4" t="n">
        <f aca="false">(G1140*H1140)-K1140</f>
        <v>65.967</v>
      </c>
      <c r="P1140" s="3" t="s">
        <v>21</v>
      </c>
    </row>
    <row r="1141" customFormat="false" ht="15" hidden="false" customHeight="false" outlineLevel="0" collapsed="false">
      <c r="A1141" s="7" t="n">
        <v>46054</v>
      </c>
      <c r="B1141" s="8" t="s">
        <v>31</v>
      </c>
      <c r="C1141" s="8" t="s">
        <v>23</v>
      </c>
      <c r="D1141" s="8" t="s">
        <v>88</v>
      </c>
      <c r="E1141" s="8" t="s">
        <v>89</v>
      </c>
      <c r="F1141" s="8" t="s">
        <v>57</v>
      </c>
      <c r="G1141" s="8" t="n">
        <v>23</v>
      </c>
      <c r="H1141" s="9" t="n">
        <v>12.99</v>
      </c>
      <c r="I1141" s="9" t="n">
        <v>4.5</v>
      </c>
      <c r="J1141" s="10" t="n">
        <v>0</v>
      </c>
      <c r="K1141" s="9" t="n">
        <f aca="false">G1141*H1141*(1-J1141)</f>
        <v>298.77</v>
      </c>
      <c r="L1141" s="9" t="n">
        <f aca="false">G1141*I1141</f>
        <v>103.5</v>
      </c>
      <c r="M1141" s="9" t="n">
        <f aca="false">K1141-L1141</f>
        <v>195.27</v>
      </c>
      <c r="N1141" s="11" t="n">
        <f aca="false">IF(K1141=0,0,M1141/K1141)</f>
        <v>0.653579676674365</v>
      </c>
      <c r="O1141" s="9" t="n">
        <f aca="false">(G1141*H1141)-K1141</f>
        <v>0</v>
      </c>
      <c r="P1141" s="8" t="s">
        <v>21</v>
      </c>
    </row>
    <row r="1142" customFormat="false" ht="15" hidden="false" customHeight="false" outlineLevel="0" collapsed="false">
      <c r="A1142" s="2" t="n">
        <v>46088</v>
      </c>
      <c r="B1142" s="3" t="s">
        <v>37</v>
      </c>
      <c r="C1142" s="3" t="s">
        <v>17</v>
      </c>
      <c r="D1142" s="3" t="s">
        <v>53</v>
      </c>
      <c r="E1142" s="3" t="s">
        <v>54</v>
      </c>
      <c r="F1142" s="3" t="s">
        <v>50</v>
      </c>
      <c r="G1142" s="3" t="n">
        <v>12</v>
      </c>
      <c r="H1142" s="4" t="n">
        <v>22.99</v>
      </c>
      <c r="I1142" s="4" t="n">
        <v>8</v>
      </c>
      <c r="J1142" s="5" t="n">
        <v>0.1</v>
      </c>
      <c r="K1142" s="4" t="n">
        <f aca="false">G1142*H1142*(1-J1142)</f>
        <v>248.292</v>
      </c>
      <c r="L1142" s="4" t="n">
        <f aca="false">G1142*I1142</f>
        <v>96</v>
      </c>
      <c r="M1142" s="4" t="n">
        <f aca="false">K1142-L1142</f>
        <v>152.292</v>
      </c>
      <c r="N1142" s="6" t="n">
        <f aca="false">IF(K1142=0,0,M1142/K1142)</f>
        <v>0.613358465033106</v>
      </c>
      <c r="O1142" s="4" t="n">
        <f aca="false">(G1142*H1142)-K1142</f>
        <v>27.588</v>
      </c>
      <c r="P1142" s="3" t="s">
        <v>21</v>
      </c>
    </row>
    <row r="1143" customFormat="false" ht="15" hidden="false" customHeight="false" outlineLevel="0" collapsed="false">
      <c r="A1143" s="7" t="n">
        <v>46078</v>
      </c>
      <c r="B1143" s="8" t="s">
        <v>64</v>
      </c>
      <c r="C1143" s="8" t="s">
        <v>65</v>
      </c>
      <c r="D1143" s="8" t="s">
        <v>88</v>
      </c>
      <c r="E1143" s="8" t="s">
        <v>89</v>
      </c>
      <c r="F1143" s="8" t="s">
        <v>57</v>
      </c>
      <c r="G1143" s="8" t="n">
        <v>26</v>
      </c>
      <c r="H1143" s="9" t="n">
        <v>12.99</v>
      </c>
      <c r="I1143" s="9" t="n">
        <v>4.5</v>
      </c>
      <c r="J1143" s="10" t="n">
        <v>0.1</v>
      </c>
      <c r="K1143" s="9" t="n">
        <f aca="false">G1143*H1143*(1-J1143)</f>
        <v>303.966</v>
      </c>
      <c r="L1143" s="9" t="n">
        <f aca="false">G1143*I1143</f>
        <v>117</v>
      </c>
      <c r="M1143" s="9" t="n">
        <f aca="false">K1143-L1143</f>
        <v>186.966</v>
      </c>
      <c r="N1143" s="11" t="n">
        <f aca="false">IF(K1143=0,0,M1143/K1143)</f>
        <v>0.615088529638183</v>
      </c>
      <c r="O1143" s="9" t="n">
        <f aca="false">(G1143*H1143)-K1143</f>
        <v>33.774</v>
      </c>
      <c r="P1143" s="8" t="s">
        <v>21</v>
      </c>
    </row>
    <row r="1144" customFormat="false" ht="15" hidden="false" customHeight="false" outlineLevel="0" collapsed="false">
      <c r="A1144" s="2" t="n">
        <v>46066</v>
      </c>
      <c r="B1144" s="3" t="s">
        <v>64</v>
      </c>
      <c r="C1144" s="3" t="s">
        <v>65</v>
      </c>
      <c r="D1144" s="3" t="s">
        <v>46</v>
      </c>
      <c r="E1144" s="3" t="s">
        <v>47</v>
      </c>
      <c r="F1144" s="3" t="s">
        <v>20</v>
      </c>
      <c r="G1144" s="3" t="n">
        <v>14</v>
      </c>
      <c r="H1144" s="4" t="n">
        <v>44.99</v>
      </c>
      <c r="I1144" s="4" t="n">
        <v>18</v>
      </c>
      <c r="J1144" s="5" t="n">
        <v>0.1</v>
      </c>
      <c r="K1144" s="4" t="n">
        <f aca="false">G1144*H1144*(1-J1144)</f>
        <v>566.874</v>
      </c>
      <c r="L1144" s="4" t="n">
        <f aca="false">G1144*I1144</f>
        <v>252</v>
      </c>
      <c r="M1144" s="4" t="n">
        <f aca="false">K1144-L1144</f>
        <v>314.874</v>
      </c>
      <c r="N1144" s="6" t="n">
        <f aca="false">IF(K1144=0,0,M1144/K1144)</f>
        <v>0.555456768170705</v>
      </c>
      <c r="O1144" s="4" t="n">
        <f aca="false">(G1144*H1144)-K1144</f>
        <v>62.986</v>
      </c>
      <c r="P1144" s="3" t="s">
        <v>21</v>
      </c>
    </row>
    <row r="1145" customFormat="false" ht="15" hidden="false" customHeight="false" outlineLevel="0" collapsed="false">
      <c r="A1145" s="7" t="n">
        <v>46061</v>
      </c>
      <c r="B1145" s="8" t="s">
        <v>27</v>
      </c>
      <c r="C1145" s="8" t="s">
        <v>28</v>
      </c>
      <c r="D1145" s="8" t="s">
        <v>53</v>
      </c>
      <c r="E1145" s="8" t="s">
        <v>54</v>
      </c>
      <c r="F1145" s="8" t="s">
        <v>50</v>
      </c>
      <c r="G1145" s="8" t="n">
        <v>24</v>
      </c>
      <c r="H1145" s="9" t="n">
        <v>22.99</v>
      </c>
      <c r="I1145" s="9" t="n">
        <v>8</v>
      </c>
      <c r="J1145" s="10" t="n">
        <v>0.2</v>
      </c>
      <c r="K1145" s="9" t="n">
        <f aca="false">G1145*H1145*(1-J1145)</f>
        <v>441.408</v>
      </c>
      <c r="L1145" s="9" t="n">
        <f aca="false">G1145*I1145</f>
        <v>192</v>
      </c>
      <c r="M1145" s="9" t="n">
        <f aca="false">K1145-L1145</f>
        <v>249.408</v>
      </c>
      <c r="N1145" s="11" t="n">
        <f aca="false">IF(K1145=0,0,M1145/K1145)</f>
        <v>0.565028273162245</v>
      </c>
      <c r="O1145" s="9" t="n">
        <f aca="false">(G1145*H1145)-K1145</f>
        <v>110.352</v>
      </c>
      <c r="P1145" s="8" t="s">
        <v>21</v>
      </c>
    </row>
    <row r="1146" customFormat="false" ht="15" hidden="false" customHeight="false" outlineLevel="0" collapsed="false">
      <c r="A1146" s="2" t="n">
        <v>46051</v>
      </c>
      <c r="B1146" s="3" t="s">
        <v>31</v>
      </c>
      <c r="C1146" s="3" t="s">
        <v>23</v>
      </c>
      <c r="D1146" s="3" t="s">
        <v>18</v>
      </c>
      <c r="E1146" s="3" t="s">
        <v>19</v>
      </c>
      <c r="F1146" s="3" t="s">
        <v>20</v>
      </c>
      <c r="G1146" s="3" t="n">
        <v>10</v>
      </c>
      <c r="H1146" s="4" t="n">
        <v>9.69</v>
      </c>
      <c r="I1146" s="4" t="n">
        <v>10.5</v>
      </c>
      <c r="J1146" s="5" t="n">
        <v>0</v>
      </c>
      <c r="K1146" s="4" t="n">
        <f aca="false">G1146*H1146*(1-J1146)</f>
        <v>96.9</v>
      </c>
      <c r="L1146" s="4" t="n">
        <f aca="false">G1146*I1146</f>
        <v>105</v>
      </c>
      <c r="M1146" s="4" t="n">
        <f aca="false">K1146-L1146</f>
        <v>-8.10000000000001</v>
      </c>
      <c r="N1146" s="6" t="n">
        <f aca="false">IF(K1146=0,0,M1146/K1146)</f>
        <v>-0.0835913312693499</v>
      </c>
      <c r="O1146" s="4" t="n">
        <f aca="false">(G1146*H1146)-K1146</f>
        <v>0</v>
      </c>
      <c r="P1146" s="15" t="s">
        <v>98</v>
      </c>
    </row>
    <row r="1147" customFormat="false" ht="15" hidden="false" customHeight="false" outlineLevel="0" collapsed="false">
      <c r="A1147" s="7" t="n">
        <v>46053</v>
      </c>
      <c r="B1147" s="8" t="s">
        <v>16</v>
      </c>
      <c r="C1147" s="8" t="s">
        <v>17</v>
      </c>
      <c r="D1147" s="8" t="s">
        <v>72</v>
      </c>
      <c r="E1147" s="8" t="s">
        <v>73</v>
      </c>
      <c r="F1147" s="8" t="s">
        <v>57</v>
      </c>
      <c r="G1147" s="8" t="n">
        <v>3</v>
      </c>
      <c r="H1147" s="9" t="n">
        <v>19.99</v>
      </c>
      <c r="I1147" s="9" t="n">
        <v>7</v>
      </c>
      <c r="J1147" s="10" t="n">
        <v>0</v>
      </c>
      <c r="K1147" s="9" t="n">
        <f aca="false">G1147*H1147*(1-J1147)</f>
        <v>59.97</v>
      </c>
      <c r="L1147" s="9" t="n">
        <f aca="false">G1147*I1147</f>
        <v>21</v>
      </c>
      <c r="M1147" s="9" t="n">
        <f aca="false">K1147-L1147</f>
        <v>38.97</v>
      </c>
      <c r="N1147" s="11" t="n">
        <f aca="false">IF(K1147=0,0,M1147/K1147)</f>
        <v>0.649824912456228</v>
      </c>
      <c r="O1147" s="9" t="n">
        <f aca="false">(G1147*H1147)-K1147</f>
        <v>0</v>
      </c>
      <c r="P1147" s="8" t="s">
        <v>21</v>
      </c>
    </row>
    <row r="1148" customFormat="false" ht="15" hidden="false" customHeight="false" outlineLevel="0" collapsed="false">
      <c r="A1148" s="2" t="n">
        <v>46081</v>
      </c>
      <c r="B1148" s="3" t="s">
        <v>16</v>
      </c>
      <c r="C1148" s="3" t="s">
        <v>17</v>
      </c>
      <c r="D1148" s="3" t="s">
        <v>74</v>
      </c>
      <c r="E1148" s="3" t="s">
        <v>75</v>
      </c>
      <c r="F1148" s="3" t="s">
        <v>40</v>
      </c>
      <c r="G1148" s="3" t="n">
        <v>15</v>
      </c>
      <c r="H1148" s="4" t="n">
        <v>29.99</v>
      </c>
      <c r="I1148" s="4" t="n">
        <v>13</v>
      </c>
      <c r="J1148" s="5" t="n">
        <v>0.3</v>
      </c>
      <c r="K1148" s="4" t="n">
        <f aca="false">G1148*H1148*(1-J1148)</f>
        <v>314.895</v>
      </c>
      <c r="L1148" s="4" t="n">
        <f aca="false">G1148*I1148</f>
        <v>195</v>
      </c>
      <c r="M1148" s="4" t="n">
        <f aca="false">K1148-L1148</f>
        <v>119.895</v>
      </c>
      <c r="N1148" s="6" t="n">
        <f aca="false">IF(K1148=0,0,M1148/K1148)</f>
        <v>0.380745962940028</v>
      </c>
      <c r="O1148" s="4" t="n">
        <f aca="false">(G1148*H1148)-K1148</f>
        <v>134.955</v>
      </c>
      <c r="P1148" s="3" t="s">
        <v>21</v>
      </c>
    </row>
    <row r="1149" customFormat="false" ht="15" hidden="false" customHeight="false" outlineLevel="0" collapsed="false">
      <c r="A1149" s="7" t="n">
        <v>46083</v>
      </c>
      <c r="B1149" s="8" t="s">
        <v>27</v>
      </c>
      <c r="C1149" s="8" t="s">
        <v>28</v>
      </c>
      <c r="D1149" s="8" t="s">
        <v>78</v>
      </c>
      <c r="E1149" s="8" t="s">
        <v>79</v>
      </c>
      <c r="F1149" s="8" t="s">
        <v>20</v>
      </c>
      <c r="G1149" s="8" t="n">
        <v>30</v>
      </c>
      <c r="H1149" s="9" t="n">
        <v>39.99</v>
      </c>
      <c r="I1149" s="9" t="n">
        <v>16</v>
      </c>
      <c r="J1149" s="10" t="n">
        <v>0</v>
      </c>
      <c r="K1149" s="9" t="n">
        <f aca="false">G1149*H1149*(1-J1149)</f>
        <v>1199.7</v>
      </c>
      <c r="L1149" s="9" t="n">
        <f aca="false">G1149*I1149</f>
        <v>480</v>
      </c>
      <c r="M1149" s="9" t="n">
        <f aca="false">K1149-L1149</f>
        <v>719.7</v>
      </c>
      <c r="N1149" s="11" t="n">
        <f aca="false">IF(K1149=0,0,M1149/K1149)</f>
        <v>0.599899974993749</v>
      </c>
      <c r="O1149" s="9" t="n">
        <f aca="false">(G1149*H1149)-K1149</f>
        <v>0</v>
      </c>
      <c r="P1149" s="8" t="s">
        <v>21</v>
      </c>
    </row>
    <row r="1150" customFormat="false" ht="15" hidden="false" customHeight="false" outlineLevel="0" collapsed="false">
      <c r="A1150" s="2" t="n">
        <v>46125</v>
      </c>
      <c r="B1150" s="3" t="s">
        <v>27</v>
      </c>
      <c r="C1150" s="3" t="s">
        <v>28</v>
      </c>
      <c r="D1150" s="3" t="s">
        <v>44</v>
      </c>
      <c r="E1150" s="3" t="s">
        <v>45</v>
      </c>
      <c r="F1150" s="3" t="s">
        <v>40</v>
      </c>
      <c r="G1150" s="3" t="n">
        <v>23</v>
      </c>
      <c r="H1150" s="4" t="n">
        <v>29.99</v>
      </c>
      <c r="I1150" s="4" t="n">
        <v>11</v>
      </c>
      <c r="J1150" s="5" t="n">
        <v>0</v>
      </c>
      <c r="K1150" s="4" t="n">
        <f aca="false">G1150*H1150*(1-J1150)</f>
        <v>689.77</v>
      </c>
      <c r="L1150" s="4" t="n">
        <f aca="false">G1150*I1150</f>
        <v>253</v>
      </c>
      <c r="M1150" s="4" t="n">
        <f aca="false">K1150-L1150</f>
        <v>436.77</v>
      </c>
      <c r="N1150" s="6" t="n">
        <f aca="false">IF(K1150=0,0,M1150/K1150)</f>
        <v>0.633211070356786</v>
      </c>
      <c r="O1150" s="4" t="n">
        <f aca="false">(G1150*H1150)-K1150</f>
        <v>0</v>
      </c>
      <c r="P1150" s="3" t="s">
        <v>21</v>
      </c>
    </row>
    <row r="1151" customFormat="false" ht="15" hidden="false" customHeight="false" outlineLevel="0" collapsed="false">
      <c r="A1151" s="7" t="n">
        <v>46050</v>
      </c>
      <c r="B1151" s="8" t="s">
        <v>58</v>
      </c>
      <c r="C1151" s="8" t="s">
        <v>58</v>
      </c>
      <c r="D1151" s="8" t="s">
        <v>44</v>
      </c>
      <c r="E1151" s="8" t="s">
        <v>45</v>
      </c>
      <c r="F1151" s="8" t="s">
        <v>40</v>
      </c>
      <c r="G1151" s="8" t="n">
        <v>15</v>
      </c>
      <c r="H1151" s="9" t="n">
        <v>29.99</v>
      </c>
      <c r="I1151" s="9" t="n">
        <v>11</v>
      </c>
      <c r="J1151" s="10" t="n">
        <v>0.05</v>
      </c>
      <c r="K1151" s="9" t="n">
        <f aca="false">G1151*H1151*(1-J1151)</f>
        <v>427.3575</v>
      </c>
      <c r="L1151" s="9" t="n">
        <f aca="false">G1151*I1151</f>
        <v>165</v>
      </c>
      <c r="M1151" s="9" t="n">
        <f aca="false">K1151-L1151</f>
        <v>262.3575</v>
      </c>
      <c r="N1151" s="11" t="n">
        <f aca="false">IF(K1151=0,0,M1151/K1151)</f>
        <v>0.613906389849248</v>
      </c>
      <c r="O1151" s="9" t="n">
        <f aca="false">(G1151*H1151)-K1151</f>
        <v>22.4925</v>
      </c>
      <c r="P1151" s="8" t="s">
        <v>21</v>
      </c>
    </row>
    <row r="1152" customFormat="false" ht="15" hidden="false" customHeight="false" outlineLevel="0" collapsed="false">
      <c r="A1152" s="2" t="n">
        <v>46127</v>
      </c>
      <c r="B1152" s="3" t="s">
        <v>58</v>
      </c>
      <c r="C1152" s="3" t="s">
        <v>58</v>
      </c>
      <c r="D1152" s="3" t="s">
        <v>86</v>
      </c>
      <c r="E1152" s="3" t="s">
        <v>87</v>
      </c>
      <c r="F1152" s="3" t="s">
        <v>40</v>
      </c>
      <c r="G1152" s="3" t="n">
        <v>12</v>
      </c>
      <c r="H1152" s="4" t="n">
        <v>16.99</v>
      </c>
      <c r="I1152" s="4" t="n">
        <v>5.5</v>
      </c>
      <c r="J1152" s="5" t="n">
        <v>0</v>
      </c>
      <c r="K1152" s="4" t="n">
        <f aca="false">G1152*H1152*(1-J1152)</f>
        <v>203.88</v>
      </c>
      <c r="L1152" s="4" t="n">
        <f aca="false">G1152*I1152</f>
        <v>66</v>
      </c>
      <c r="M1152" s="4" t="n">
        <f aca="false">K1152-L1152</f>
        <v>137.88</v>
      </c>
      <c r="N1152" s="6" t="n">
        <f aca="false">IF(K1152=0,0,M1152/K1152)</f>
        <v>0.676280164802825</v>
      </c>
      <c r="O1152" s="4" t="n">
        <f aca="false">(G1152*H1152)-K1152</f>
        <v>0</v>
      </c>
      <c r="P1152" s="3" t="s">
        <v>21</v>
      </c>
    </row>
    <row r="1153" customFormat="false" ht="15" hidden="false" customHeight="false" outlineLevel="0" collapsed="false">
      <c r="A1153" s="7" t="n">
        <v>46122</v>
      </c>
      <c r="B1153" s="8" t="s">
        <v>64</v>
      </c>
      <c r="C1153" s="8" t="s">
        <v>65</v>
      </c>
      <c r="D1153" s="8" t="s">
        <v>70</v>
      </c>
      <c r="E1153" s="8" t="s">
        <v>71</v>
      </c>
      <c r="F1153" s="8" t="s">
        <v>20</v>
      </c>
      <c r="G1153" s="8" t="n">
        <v>27</v>
      </c>
      <c r="H1153" s="9" t="n">
        <v>49.99</v>
      </c>
      <c r="I1153" s="9" t="n">
        <v>19</v>
      </c>
      <c r="J1153" s="10" t="n">
        <v>0.3</v>
      </c>
      <c r="K1153" s="9" t="n">
        <f aca="false">G1153*H1153*(1-J1153)</f>
        <v>944.811</v>
      </c>
      <c r="L1153" s="9" t="n">
        <f aca="false">G1153*I1153</f>
        <v>513</v>
      </c>
      <c r="M1153" s="9" t="n">
        <f aca="false">K1153-L1153</f>
        <v>431.811</v>
      </c>
      <c r="N1153" s="11" t="n">
        <f aca="false">IF(K1153=0,0,M1153/K1153)</f>
        <v>0.457034263995656</v>
      </c>
      <c r="O1153" s="9" t="n">
        <f aca="false">(G1153*H1153)-K1153</f>
        <v>404.919</v>
      </c>
      <c r="P1153" s="8" t="s">
        <v>21</v>
      </c>
    </row>
    <row r="1154" customFormat="false" ht="15" hidden="false" customHeight="false" outlineLevel="0" collapsed="false">
      <c r="A1154" s="2" t="n">
        <v>46029</v>
      </c>
      <c r="B1154" s="3" t="s">
        <v>41</v>
      </c>
      <c r="C1154" s="3" t="s">
        <v>28</v>
      </c>
      <c r="D1154" s="3" t="s">
        <v>82</v>
      </c>
      <c r="E1154" s="3" t="s">
        <v>83</v>
      </c>
      <c r="F1154" s="3" t="s">
        <v>26</v>
      </c>
      <c r="G1154" s="3" t="n">
        <v>21</v>
      </c>
      <c r="H1154" s="4" t="n">
        <v>44.99</v>
      </c>
      <c r="I1154" s="4" t="n">
        <v>18</v>
      </c>
      <c r="J1154" s="5" t="n">
        <v>0</v>
      </c>
      <c r="K1154" s="4" t="n">
        <f aca="false">G1154*H1154*(1-J1154)</f>
        <v>944.79</v>
      </c>
      <c r="L1154" s="4" t="n">
        <f aca="false">G1154*I1154</f>
        <v>378</v>
      </c>
      <c r="M1154" s="4" t="n">
        <f aca="false">K1154-L1154</f>
        <v>566.79</v>
      </c>
      <c r="N1154" s="6" t="n">
        <f aca="false">IF(K1154=0,0,M1154/K1154)</f>
        <v>0.599911091353634</v>
      </c>
      <c r="O1154" s="4" t="n">
        <f aca="false">(G1154*H1154)-K1154</f>
        <v>0</v>
      </c>
      <c r="P1154" s="3" t="s">
        <v>21</v>
      </c>
    </row>
    <row r="1155" customFormat="false" ht="15" hidden="false" customHeight="false" outlineLevel="0" collapsed="false">
      <c r="A1155" s="7" t="n">
        <v>46054</v>
      </c>
      <c r="B1155" s="8" t="s">
        <v>31</v>
      </c>
      <c r="C1155" s="8" t="s">
        <v>23</v>
      </c>
      <c r="D1155" s="8" t="s">
        <v>24</v>
      </c>
      <c r="E1155" s="8" t="s">
        <v>25</v>
      </c>
      <c r="F1155" s="8" t="s">
        <v>26</v>
      </c>
      <c r="G1155" s="8" t="n">
        <v>15</v>
      </c>
      <c r="H1155" s="9" t="n">
        <v>54.99</v>
      </c>
      <c r="I1155" s="9" t="n">
        <v>24</v>
      </c>
      <c r="J1155" s="10" t="n">
        <v>0</v>
      </c>
      <c r="K1155" s="9" t="n">
        <f aca="false">G1155*H1155*(1-J1155)</f>
        <v>824.85</v>
      </c>
      <c r="L1155" s="9" t="n">
        <f aca="false">G1155*I1155</f>
        <v>360</v>
      </c>
      <c r="M1155" s="9" t="n">
        <f aca="false">K1155-L1155</f>
        <v>464.85</v>
      </c>
      <c r="N1155" s="11" t="n">
        <f aca="false">IF(K1155=0,0,M1155/K1155)</f>
        <v>0.563557010365521</v>
      </c>
      <c r="O1155" s="9" t="n">
        <f aca="false">(G1155*H1155)-K1155</f>
        <v>0</v>
      </c>
      <c r="P1155" s="8" t="s">
        <v>21</v>
      </c>
    </row>
    <row r="1156" customFormat="false" ht="15" hidden="false" customHeight="false" outlineLevel="0" collapsed="false">
      <c r="A1156" s="2" t="n">
        <v>46032</v>
      </c>
      <c r="B1156" s="3" t="s">
        <v>58</v>
      </c>
      <c r="C1156" s="3" t="s">
        <v>58</v>
      </c>
      <c r="D1156" s="3" t="s">
        <v>53</v>
      </c>
      <c r="E1156" s="3" t="s">
        <v>54</v>
      </c>
      <c r="F1156" s="3" t="s">
        <v>50</v>
      </c>
      <c r="G1156" s="3" t="n">
        <v>22</v>
      </c>
      <c r="H1156" s="4" t="n">
        <v>22.99</v>
      </c>
      <c r="I1156" s="4" t="n">
        <v>8</v>
      </c>
      <c r="J1156" s="5" t="n">
        <v>0.2</v>
      </c>
      <c r="K1156" s="4" t="n">
        <f aca="false">G1156*H1156*(1-J1156)</f>
        <v>404.624</v>
      </c>
      <c r="L1156" s="4" t="n">
        <f aca="false">G1156*I1156</f>
        <v>176</v>
      </c>
      <c r="M1156" s="4" t="n">
        <f aca="false">K1156-L1156</f>
        <v>228.624</v>
      </c>
      <c r="N1156" s="6" t="n">
        <f aca="false">IF(K1156=0,0,M1156/K1156)</f>
        <v>0.565028273162245</v>
      </c>
      <c r="O1156" s="4" t="n">
        <f aca="false">(G1156*H1156)-K1156</f>
        <v>101.156</v>
      </c>
      <c r="P1156" s="3" t="s">
        <v>21</v>
      </c>
    </row>
    <row r="1157" customFormat="false" ht="15" hidden="false" customHeight="false" outlineLevel="0" collapsed="false">
      <c r="A1157" s="7" t="n">
        <v>46126</v>
      </c>
      <c r="B1157" s="8" t="s">
        <v>64</v>
      </c>
      <c r="C1157" s="8" t="s">
        <v>65</v>
      </c>
      <c r="D1157" s="8" t="s">
        <v>24</v>
      </c>
      <c r="E1157" s="8" t="s">
        <v>25</v>
      </c>
      <c r="F1157" s="8" t="s">
        <v>26</v>
      </c>
      <c r="G1157" s="8" t="n">
        <v>4</v>
      </c>
      <c r="H1157" s="9" t="n">
        <v>54.99</v>
      </c>
      <c r="I1157" s="9" t="n">
        <v>24</v>
      </c>
      <c r="J1157" s="10" t="n">
        <v>0</v>
      </c>
      <c r="K1157" s="9" t="n">
        <f aca="false">G1157*H1157*(1-J1157)</f>
        <v>219.96</v>
      </c>
      <c r="L1157" s="9" t="n">
        <f aca="false">G1157*I1157</f>
        <v>96</v>
      </c>
      <c r="M1157" s="9" t="n">
        <f aca="false">K1157-L1157</f>
        <v>123.96</v>
      </c>
      <c r="N1157" s="11" t="n">
        <f aca="false">IF(K1157=0,0,M1157/K1157)</f>
        <v>0.563557010365521</v>
      </c>
      <c r="O1157" s="9" t="n">
        <f aca="false">(G1157*H1157)-K1157</f>
        <v>0</v>
      </c>
      <c r="P1157" s="8" t="s">
        <v>21</v>
      </c>
    </row>
    <row r="1158" customFormat="false" ht="15" hidden="false" customHeight="false" outlineLevel="0" collapsed="false">
      <c r="A1158" s="2" t="n">
        <v>46061</v>
      </c>
      <c r="B1158" s="3" t="s">
        <v>58</v>
      </c>
      <c r="C1158" s="3" t="s">
        <v>58</v>
      </c>
      <c r="D1158" s="3" t="s">
        <v>93</v>
      </c>
      <c r="E1158" s="3" t="s">
        <v>94</v>
      </c>
      <c r="F1158" s="3" t="s">
        <v>34</v>
      </c>
      <c r="G1158" s="3" t="n">
        <v>25</v>
      </c>
      <c r="H1158" s="4" t="n">
        <v>29.99</v>
      </c>
      <c r="I1158" s="4" t="n">
        <v>9</v>
      </c>
      <c r="J1158" s="5" t="n">
        <v>0.2</v>
      </c>
      <c r="K1158" s="4" t="n">
        <f aca="false">G1158*H1158*(1-J1158)</f>
        <v>599.8</v>
      </c>
      <c r="L1158" s="4" t="n">
        <f aca="false">G1158*I1158</f>
        <v>225</v>
      </c>
      <c r="M1158" s="4" t="n">
        <f aca="false">K1158-L1158</f>
        <v>374.8</v>
      </c>
      <c r="N1158" s="6" t="n">
        <f aca="false">IF(K1158=0,0,M1158/K1158)</f>
        <v>0.62487495831944</v>
      </c>
      <c r="O1158" s="4" t="n">
        <f aca="false">(G1158*H1158)-K1158</f>
        <v>149.95</v>
      </c>
      <c r="P1158" s="3" t="s">
        <v>21</v>
      </c>
    </row>
    <row r="1159" customFormat="false" ht="15" hidden="false" customHeight="false" outlineLevel="0" collapsed="false">
      <c r="A1159" s="7" t="n">
        <v>46061</v>
      </c>
      <c r="B1159" s="8" t="s">
        <v>64</v>
      </c>
      <c r="C1159" s="8" t="s">
        <v>65</v>
      </c>
      <c r="D1159" s="8" t="s">
        <v>86</v>
      </c>
      <c r="E1159" s="8" t="s">
        <v>87</v>
      </c>
      <c r="F1159" s="8" t="s">
        <v>40</v>
      </c>
      <c r="G1159" s="8" t="n">
        <v>4</v>
      </c>
      <c r="H1159" s="9" t="n">
        <v>16.99</v>
      </c>
      <c r="I1159" s="9" t="n">
        <v>5.5</v>
      </c>
      <c r="J1159" s="10" t="n">
        <v>0.3</v>
      </c>
      <c r="K1159" s="9" t="n">
        <f aca="false">G1159*H1159*(1-J1159)</f>
        <v>47.572</v>
      </c>
      <c r="L1159" s="9" t="n">
        <f aca="false">G1159*I1159</f>
        <v>22</v>
      </c>
      <c r="M1159" s="9" t="n">
        <f aca="false">K1159-L1159</f>
        <v>25.572</v>
      </c>
      <c r="N1159" s="11" t="n">
        <f aca="false">IF(K1159=0,0,M1159/K1159)</f>
        <v>0.537543092575465</v>
      </c>
      <c r="O1159" s="9" t="n">
        <f aca="false">(G1159*H1159)-K1159</f>
        <v>20.388</v>
      </c>
      <c r="P1159" s="8" t="s">
        <v>21</v>
      </c>
    </row>
    <row r="1160" customFormat="false" ht="15" hidden="false" customHeight="false" outlineLevel="0" collapsed="false">
      <c r="A1160" s="2" t="n">
        <v>46125</v>
      </c>
      <c r="B1160" s="3" t="s">
        <v>16</v>
      </c>
      <c r="C1160" s="3" t="s">
        <v>17</v>
      </c>
      <c r="D1160" s="3" t="s">
        <v>68</v>
      </c>
      <c r="E1160" s="3" t="s">
        <v>69</v>
      </c>
      <c r="F1160" s="3" t="s">
        <v>40</v>
      </c>
      <c r="G1160" s="3" t="n">
        <v>9</v>
      </c>
      <c r="H1160" s="4" t="n">
        <v>24.99</v>
      </c>
      <c r="I1160" s="4" t="n">
        <v>9</v>
      </c>
      <c r="J1160" s="5" t="n">
        <v>0</v>
      </c>
      <c r="K1160" s="4" t="n">
        <f aca="false">G1160*H1160*(1-J1160)</f>
        <v>224.91</v>
      </c>
      <c r="L1160" s="4" t="n">
        <f aca="false">G1160*I1160</f>
        <v>81</v>
      </c>
      <c r="M1160" s="4" t="n">
        <f aca="false">K1160-L1160</f>
        <v>143.91</v>
      </c>
      <c r="N1160" s="6" t="n">
        <f aca="false">IF(K1160=0,0,M1160/K1160)</f>
        <v>0.639855942376951</v>
      </c>
      <c r="O1160" s="4" t="n">
        <f aca="false">(G1160*H1160)-K1160</f>
        <v>0</v>
      </c>
      <c r="P1160" s="3" t="s">
        <v>21</v>
      </c>
    </row>
    <row r="1161" customFormat="false" ht="15" hidden="false" customHeight="false" outlineLevel="0" collapsed="false">
      <c r="A1161" s="7" t="n">
        <v>46028</v>
      </c>
      <c r="B1161" s="8" t="s">
        <v>16</v>
      </c>
      <c r="C1161" s="8" t="s">
        <v>17</v>
      </c>
      <c r="D1161" s="8" t="s">
        <v>66</v>
      </c>
      <c r="E1161" s="8" t="s">
        <v>67</v>
      </c>
      <c r="F1161" s="8" t="s">
        <v>57</v>
      </c>
      <c r="G1161" s="8" t="n">
        <v>14</v>
      </c>
      <c r="H1161" s="9" t="n">
        <v>14.99</v>
      </c>
      <c r="I1161" s="9" t="n">
        <v>5.5</v>
      </c>
      <c r="J1161" s="10" t="n">
        <v>0.55</v>
      </c>
      <c r="K1161" s="9" t="n">
        <f aca="false">G1161*H1161*(1-J1161)</f>
        <v>94.437</v>
      </c>
      <c r="L1161" s="9" t="n">
        <f aca="false">G1161*I1161</f>
        <v>77</v>
      </c>
      <c r="M1161" s="9" t="n">
        <f aca="false">K1161-L1161</f>
        <v>17.437</v>
      </c>
      <c r="N1161" s="11" t="n">
        <f aca="false">IF(K1161=0,0,M1161/K1161)</f>
        <v>0.184641612927137</v>
      </c>
      <c r="O1161" s="9" t="n">
        <f aca="false">(G1161*H1161)-K1161</f>
        <v>115.423</v>
      </c>
      <c r="P1161" s="14" t="s">
        <v>97</v>
      </c>
    </row>
    <row r="1162" customFormat="false" ht="15" hidden="false" customHeight="false" outlineLevel="0" collapsed="false">
      <c r="A1162" s="2" t="n">
        <v>46056</v>
      </c>
      <c r="B1162" s="3" t="s">
        <v>37</v>
      </c>
      <c r="C1162" s="3" t="s">
        <v>17</v>
      </c>
      <c r="D1162" s="3" t="s">
        <v>66</v>
      </c>
      <c r="E1162" s="3" t="s">
        <v>67</v>
      </c>
      <c r="F1162" s="3" t="s">
        <v>57</v>
      </c>
      <c r="G1162" s="3" t="n">
        <v>6</v>
      </c>
      <c r="H1162" s="4" t="n">
        <v>14.99</v>
      </c>
      <c r="I1162" s="4" t="n">
        <v>5.5</v>
      </c>
      <c r="J1162" s="5" t="n">
        <v>0.2</v>
      </c>
      <c r="K1162" s="4" t="n">
        <f aca="false">G1162*H1162*(1-J1162)</f>
        <v>71.952</v>
      </c>
      <c r="L1162" s="4" t="n">
        <f aca="false">G1162*I1162</f>
        <v>33</v>
      </c>
      <c r="M1162" s="4" t="n">
        <f aca="false">K1162-L1162</f>
        <v>38.952</v>
      </c>
      <c r="N1162" s="6" t="n">
        <f aca="false">IF(K1162=0,0,M1162/K1162)</f>
        <v>0.541360907271514</v>
      </c>
      <c r="O1162" s="4" t="n">
        <f aca="false">(G1162*H1162)-K1162</f>
        <v>17.988</v>
      </c>
      <c r="P1162" s="3" t="s">
        <v>21</v>
      </c>
    </row>
    <row r="1163" customFormat="false" ht="15" hidden="false" customHeight="false" outlineLevel="0" collapsed="false">
      <c r="A1163" s="7" t="n">
        <v>46052</v>
      </c>
      <c r="B1163" s="8" t="s">
        <v>41</v>
      </c>
      <c r="C1163" s="8" t="s">
        <v>28</v>
      </c>
      <c r="D1163" s="8" t="s">
        <v>72</v>
      </c>
      <c r="E1163" s="8" t="s">
        <v>73</v>
      </c>
      <c r="F1163" s="8" t="s">
        <v>57</v>
      </c>
      <c r="G1163" s="8" t="n">
        <v>13</v>
      </c>
      <c r="H1163" s="9" t="n">
        <v>19.99</v>
      </c>
      <c r="I1163" s="9" t="n">
        <v>7</v>
      </c>
      <c r="J1163" s="10" t="n">
        <v>0.1</v>
      </c>
      <c r="K1163" s="9" t="n">
        <f aca="false">G1163*H1163*(1-J1163)</f>
        <v>233.883</v>
      </c>
      <c r="L1163" s="9" t="n">
        <f aca="false">G1163*I1163</f>
        <v>91</v>
      </c>
      <c r="M1163" s="9" t="n">
        <f aca="false">K1163-L1163</f>
        <v>142.883</v>
      </c>
      <c r="N1163" s="11" t="n">
        <f aca="false">IF(K1163=0,0,M1163/K1163)</f>
        <v>0.610916569395809</v>
      </c>
      <c r="O1163" s="9" t="n">
        <f aca="false">(G1163*H1163)-K1163</f>
        <v>25.987</v>
      </c>
      <c r="P1163" s="8" t="s">
        <v>21</v>
      </c>
    </row>
    <row r="1164" customFormat="false" ht="15" hidden="false" customHeight="false" outlineLevel="0" collapsed="false">
      <c r="A1164" s="2" t="n">
        <v>46043</v>
      </c>
      <c r="B1164" s="3" t="s">
        <v>64</v>
      </c>
      <c r="C1164" s="3" t="s">
        <v>65</v>
      </c>
      <c r="D1164" s="3" t="s">
        <v>93</v>
      </c>
      <c r="E1164" s="3" t="s">
        <v>94</v>
      </c>
      <c r="F1164" s="3" t="s">
        <v>34</v>
      </c>
      <c r="G1164" s="3" t="n">
        <v>29</v>
      </c>
      <c r="H1164" s="4" t="n">
        <v>29.99</v>
      </c>
      <c r="I1164" s="4" t="n">
        <v>9</v>
      </c>
      <c r="J1164" s="5" t="n">
        <v>0.1</v>
      </c>
      <c r="K1164" s="4" t="n">
        <f aca="false">G1164*H1164*(1-J1164)</f>
        <v>782.739</v>
      </c>
      <c r="L1164" s="4" t="n">
        <f aca="false">G1164*I1164</f>
        <v>261</v>
      </c>
      <c r="M1164" s="4" t="n">
        <f aca="false">K1164-L1164</f>
        <v>521.739</v>
      </c>
      <c r="N1164" s="6" t="n">
        <f aca="false">IF(K1164=0,0,M1164/K1164)</f>
        <v>0.666555518506169</v>
      </c>
      <c r="O1164" s="4" t="n">
        <f aca="false">(G1164*H1164)-K1164</f>
        <v>86.971</v>
      </c>
      <c r="P1164" s="3" t="s">
        <v>21</v>
      </c>
    </row>
    <row r="1165" customFormat="false" ht="15" hidden="false" customHeight="false" outlineLevel="0" collapsed="false">
      <c r="A1165" s="7" t="n">
        <v>46053</v>
      </c>
      <c r="B1165" s="8" t="s">
        <v>37</v>
      </c>
      <c r="C1165" s="8" t="s">
        <v>17</v>
      </c>
      <c r="D1165" s="8" t="s">
        <v>78</v>
      </c>
      <c r="E1165" s="8" t="s">
        <v>79</v>
      </c>
      <c r="F1165" s="8" t="s">
        <v>20</v>
      </c>
      <c r="G1165" s="8" t="n">
        <v>22</v>
      </c>
      <c r="H1165" s="9" t="n">
        <v>39.99</v>
      </c>
      <c r="I1165" s="9" t="n">
        <v>16</v>
      </c>
      <c r="J1165" s="10" t="n">
        <v>0.1</v>
      </c>
      <c r="K1165" s="9" t="n">
        <f aca="false">G1165*H1165*(1-J1165)</f>
        <v>791.802</v>
      </c>
      <c r="L1165" s="9" t="n">
        <f aca="false">G1165*I1165</f>
        <v>352</v>
      </c>
      <c r="M1165" s="9" t="n">
        <f aca="false">K1165-L1165</f>
        <v>439.802</v>
      </c>
      <c r="N1165" s="11" t="n">
        <f aca="false">IF(K1165=0,0,M1165/K1165)</f>
        <v>0.555444416659721</v>
      </c>
      <c r="O1165" s="9" t="n">
        <f aca="false">(G1165*H1165)-K1165</f>
        <v>87.978</v>
      </c>
      <c r="P1165" s="8" t="s">
        <v>21</v>
      </c>
    </row>
    <row r="1166" customFormat="false" ht="15" hidden="false" customHeight="false" outlineLevel="0" collapsed="false">
      <c r="A1166" s="2" t="n">
        <v>46034</v>
      </c>
      <c r="B1166" s="3" t="s">
        <v>31</v>
      </c>
      <c r="C1166" s="3" t="s">
        <v>23</v>
      </c>
      <c r="D1166" s="3" t="s">
        <v>82</v>
      </c>
      <c r="E1166" s="3" t="s">
        <v>83</v>
      </c>
      <c r="F1166" s="3" t="s">
        <v>26</v>
      </c>
      <c r="G1166" s="3" t="n">
        <v>20</v>
      </c>
      <c r="H1166" s="4" t="n">
        <v>44.99</v>
      </c>
      <c r="I1166" s="4" t="n">
        <v>18</v>
      </c>
      <c r="J1166" s="5" t="n">
        <v>0</v>
      </c>
      <c r="K1166" s="4" t="n">
        <f aca="false">G1166*H1166*(1-J1166)</f>
        <v>899.8</v>
      </c>
      <c r="L1166" s="4" t="n">
        <f aca="false">G1166*I1166</f>
        <v>360</v>
      </c>
      <c r="M1166" s="4" t="n">
        <f aca="false">K1166-L1166</f>
        <v>539.8</v>
      </c>
      <c r="N1166" s="6" t="n">
        <f aca="false">IF(K1166=0,0,M1166/K1166)</f>
        <v>0.599911091353634</v>
      </c>
      <c r="O1166" s="4" t="n">
        <f aca="false">(G1166*H1166)-K1166</f>
        <v>0</v>
      </c>
      <c r="P1166" s="3" t="s">
        <v>21</v>
      </c>
    </row>
    <row r="1167" customFormat="false" ht="15" hidden="false" customHeight="false" outlineLevel="0" collapsed="false">
      <c r="A1167" s="7" t="n">
        <v>46055</v>
      </c>
      <c r="B1167" s="8" t="s">
        <v>31</v>
      </c>
      <c r="C1167" s="8" t="s">
        <v>23</v>
      </c>
      <c r="D1167" s="8" t="s">
        <v>93</v>
      </c>
      <c r="E1167" s="8" t="s">
        <v>94</v>
      </c>
      <c r="F1167" s="8" t="s">
        <v>34</v>
      </c>
      <c r="G1167" s="8" t="n">
        <v>7</v>
      </c>
      <c r="H1167" s="9" t="n">
        <v>29.99</v>
      </c>
      <c r="I1167" s="9" t="n">
        <v>9</v>
      </c>
      <c r="J1167" s="10" t="n">
        <v>0.25</v>
      </c>
      <c r="K1167" s="9" t="n">
        <f aca="false">G1167*H1167*(1-J1167)</f>
        <v>157.4475</v>
      </c>
      <c r="L1167" s="9" t="n">
        <f aca="false">G1167*I1167</f>
        <v>63</v>
      </c>
      <c r="M1167" s="9" t="n">
        <f aca="false">K1167-L1167</f>
        <v>94.4475</v>
      </c>
      <c r="N1167" s="11" t="n">
        <f aca="false">IF(K1167=0,0,M1167/K1167)</f>
        <v>0.599866622207402</v>
      </c>
      <c r="O1167" s="9" t="n">
        <f aca="false">(G1167*H1167)-K1167</f>
        <v>52.4825</v>
      </c>
      <c r="P1167" s="8" t="s">
        <v>21</v>
      </c>
    </row>
    <row r="1168" customFormat="false" ht="15" hidden="false" customHeight="false" outlineLevel="0" collapsed="false">
      <c r="A1168" s="2" t="n">
        <v>46111</v>
      </c>
      <c r="B1168" s="3" t="s">
        <v>37</v>
      </c>
      <c r="C1168" s="3" t="s">
        <v>17</v>
      </c>
      <c r="D1168" s="3" t="s">
        <v>35</v>
      </c>
      <c r="E1168" s="3" t="s">
        <v>36</v>
      </c>
      <c r="F1168" s="3" t="s">
        <v>26</v>
      </c>
      <c r="G1168" s="3" t="n">
        <v>5</v>
      </c>
      <c r="H1168" s="4" t="n">
        <v>23.8</v>
      </c>
      <c r="I1168" s="4" t="n">
        <v>30</v>
      </c>
      <c r="J1168" s="5" t="n">
        <v>0</v>
      </c>
      <c r="K1168" s="4" t="n">
        <f aca="false">G1168*H1168*(1-J1168)</f>
        <v>119</v>
      </c>
      <c r="L1168" s="4" t="n">
        <f aca="false">G1168*I1168</f>
        <v>150</v>
      </c>
      <c r="M1168" s="4" t="n">
        <f aca="false">K1168-L1168</f>
        <v>-31</v>
      </c>
      <c r="N1168" s="6" t="n">
        <f aca="false">IF(K1168=0,0,M1168/K1168)</f>
        <v>-0.260504201680672</v>
      </c>
      <c r="O1168" s="4" t="n">
        <f aca="false">(G1168*H1168)-K1168</f>
        <v>0</v>
      </c>
      <c r="P1168" s="15" t="s">
        <v>98</v>
      </c>
    </row>
    <row r="1169" customFormat="false" ht="15" hidden="false" customHeight="false" outlineLevel="0" collapsed="false">
      <c r="A1169" s="7" t="n">
        <v>46039</v>
      </c>
      <c r="B1169" s="8" t="s">
        <v>22</v>
      </c>
      <c r="C1169" s="8" t="s">
        <v>23</v>
      </c>
      <c r="D1169" s="8" t="s">
        <v>84</v>
      </c>
      <c r="E1169" s="8" t="s">
        <v>85</v>
      </c>
      <c r="F1169" s="8" t="s">
        <v>20</v>
      </c>
      <c r="G1169" s="8" t="n">
        <v>10</v>
      </c>
      <c r="H1169" s="9" t="n">
        <v>34.99</v>
      </c>
      <c r="I1169" s="9" t="n">
        <v>13</v>
      </c>
      <c r="J1169" s="10" t="n">
        <v>0.1</v>
      </c>
      <c r="K1169" s="9" t="n">
        <f aca="false">G1169*H1169*(1-J1169)</f>
        <v>314.91</v>
      </c>
      <c r="L1169" s="9" t="n">
        <f aca="false">G1169*I1169</f>
        <v>130</v>
      </c>
      <c r="M1169" s="9" t="n">
        <f aca="false">K1169-L1169</f>
        <v>184.91</v>
      </c>
      <c r="N1169" s="11" t="n">
        <f aca="false">IF(K1169=0,0,M1169/K1169)</f>
        <v>0.587183639770093</v>
      </c>
      <c r="O1169" s="9" t="n">
        <f aca="false">(G1169*H1169)-K1169</f>
        <v>34.99</v>
      </c>
      <c r="P1169" s="8" t="s">
        <v>21</v>
      </c>
    </row>
    <row r="1170" customFormat="false" ht="15" hidden="false" customHeight="false" outlineLevel="0" collapsed="false">
      <c r="A1170" s="2" t="n">
        <v>46092</v>
      </c>
      <c r="B1170" s="3" t="s">
        <v>31</v>
      </c>
      <c r="C1170" s="3" t="s">
        <v>23</v>
      </c>
      <c r="D1170" s="3" t="s">
        <v>44</v>
      </c>
      <c r="E1170" s="3" t="s">
        <v>45</v>
      </c>
      <c r="F1170" s="3" t="s">
        <v>40</v>
      </c>
      <c r="G1170" s="3" t="n">
        <v>12</v>
      </c>
      <c r="H1170" s="4" t="n">
        <v>29.99</v>
      </c>
      <c r="I1170" s="4" t="n">
        <v>11</v>
      </c>
      <c r="J1170" s="5" t="n">
        <v>0.25</v>
      </c>
      <c r="K1170" s="4" t="n">
        <f aca="false">G1170*H1170*(1-J1170)</f>
        <v>269.91</v>
      </c>
      <c r="L1170" s="4" t="n">
        <f aca="false">G1170*I1170</f>
        <v>132</v>
      </c>
      <c r="M1170" s="4" t="n">
        <f aca="false">K1170-L1170</f>
        <v>137.91</v>
      </c>
      <c r="N1170" s="6" t="n">
        <f aca="false">IF(K1170=0,0,M1170/K1170)</f>
        <v>0.510948093809047</v>
      </c>
      <c r="O1170" s="4" t="n">
        <f aca="false">(G1170*H1170)-K1170</f>
        <v>89.97</v>
      </c>
      <c r="P1170" s="3" t="s">
        <v>21</v>
      </c>
    </row>
    <row r="1171" customFormat="false" ht="15" hidden="false" customHeight="false" outlineLevel="0" collapsed="false">
      <c r="A1171" s="7" t="n">
        <v>46109</v>
      </c>
      <c r="B1171" s="8" t="s">
        <v>41</v>
      </c>
      <c r="C1171" s="8" t="s">
        <v>28</v>
      </c>
      <c r="D1171" s="8" t="s">
        <v>29</v>
      </c>
      <c r="E1171" s="8" t="s">
        <v>30</v>
      </c>
      <c r="F1171" s="8" t="s">
        <v>20</v>
      </c>
      <c r="G1171" s="8" t="n">
        <v>1</v>
      </c>
      <c r="H1171" s="9" t="n">
        <v>79.99</v>
      </c>
      <c r="I1171" s="9" t="n">
        <v>42</v>
      </c>
      <c r="J1171" s="10" t="n">
        <v>0.3</v>
      </c>
      <c r="K1171" s="9" t="n">
        <f aca="false">G1171*H1171*(1-J1171)</f>
        <v>55.993</v>
      </c>
      <c r="L1171" s="9" t="n">
        <f aca="false">G1171*I1171</f>
        <v>42</v>
      </c>
      <c r="M1171" s="9" t="n">
        <f aca="false">K1171-L1171</f>
        <v>13.993</v>
      </c>
      <c r="N1171" s="11" t="n">
        <f aca="false">IF(K1171=0,0,M1171/K1171)</f>
        <v>0.249906238279785</v>
      </c>
      <c r="O1171" s="9" t="n">
        <f aca="false">(G1171*H1171)-K1171</f>
        <v>23.997</v>
      </c>
      <c r="P1171" s="8" t="s">
        <v>21</v>
      </c>
    </row>
    <row r="1172" customFormat="false" ht="15" hidden="false" customHeight="false" outlineLevel="0" collapsed="false">
      <c r="A1172" s="2" t="n">
        <v>46090</v>
      </c>
      <c r="B1172" s="3" t="s">
        <v>31</v>
      </c>
      <c r="C1172" s="3" t="s">
        <v>23</v>
      </c>
      <c r="D1172" s="3" t="s">
        <v>90</v>
      </c>
      <c r="E1172" s="3" t="s">
        <v>91</v>
      </c>
      <c r="F1172" s="3" t="s">
        <v>26</v>
      </c>
      <c r="G1172" s="3" t="n">
        <v>14</v>
      </c>
      <c r="H1172" s="4" t="n">
        <v>29.99</v>
      </c>
      <c r="I1172" s="4" t="n">
        <v>11</v>
      </c>
      <c r="J1172" s="5" t="n">
        <v>0.05</v>
      </c>
      <c r="K1172" s="4" t="n">
        <f aca="false">G1172*H1172*(1-J1172)</f>
        <v>398.867</v>
      </c>
      <c r="L1172" s="4" t="n">
        <f aca="false">G1172*I1172</f>
        <v>154</v>
      </c>
      <c r="M1172" s="4" t="n">
        <f aca="false">K1172-L1172</f>
        <v>244.867</v>
      </c>
      <c r="N1172" s="6" t="n">
        <f aca="false">IF(K1172=0,0,M1172/K1172)</f>
        <v>0.613906389849248</v>
      </c>
      <c r="O1172" s="4" t="n">
        <f aca="false">(G1172*H1172)-K1172</f>
        <v>20.993</v>
      </c>
      <c r="P1172" s="3" t="s">
        <v>21</v>
      </c>
    </row>
    <row r="1173" customFormat="false" ht="15" hidden="false" customHeight="false" outlineLevel="0" collapsed="false">
      <c r="A1173" s="7" t="n">
        <v>46111</v>
      </c>
      <c r="B1173" s="8" t="s">
        <v>58</v>
      </c>
      <c r="C1173" s="8" t="s">
        <v>58</v>
      </c>
      <c r="D1173" s="8" t="s">
        <v>74</v>
      </c>
      <c r="E1173" s="8" t="s">
        <v>75</v>
      </c>
      <c r="F1173" s="8" t="s">
        <v>40</v>
      </c>
      <c r="G1173" s="8" t="n">
        <v>14</v>
      </c>
      <c r="H1173" s="9" t="n">
        <v>29.99</v>
      </c>
      <c r="I1173" s="9" t="n">
        <v>13</v>
      </c>
      <c r="J1173" s="10" t="n">
        <v>0.3</v>
      </c>
      <c r="K1173" s="9" t="n">
        <f aca="false">G1173*H1173*(1-J1173)</f>
        <v>293.902</v>
      </c>
      <c r="L1173" s="9" t="n">
        <f aca="false">G1173*I1173</f>
        <v>182</v>
      </c>
      <c r="M1173" s="9" t="n">
        <f aca="false">K1173-L1173</f>
        <v>111.902</v>
      </c>
      <c r="N1173" s="11" t="n">
        <f aca="false">IF(K1173=0,0,M1173/K1173)</f>
        <v>0.380745962940028</v>
      </c>
      <c r="O1173" s="9" t="n">
        <f aca="false">(G1173*H1173)-K1173</f>
        <v>125.958</v>
      </c>
      <c r="P1173" s="8" t="s">
        <v>21</v>
      </c>
    </row>
    <row r="1174" customFormat="false" ht="15" hidden="false" customHeight="false" outlineLevel="0" collapsed="false">
      <c r="A1174" s="2" t="n">
        <v>46056</v>
      </c>
      <c r="B1174" s="3" t="s">
        <v>64</v>
      </c>
      <c r="C1174" s="3" t="s">
        <v>65</v>
      </c>
      <c r="D1174" s="3" t="s">
        <v>59</v>
      </c>
      <c r="E1174" s="3" t="s">
        <v>60</v>
      </c>
      <c r="F1174" s="3" t="s">
        <v>50</v>
      </c>
      <c r="G1174" s="3" t="n">
        <v>13</v>
      </c>
      <c r="H1174" s="4" t="n">
        <v>24.99</v>
      </c>
      <c r="I1174" s="4" t="n">
        <v>8.5</v>
      </c>
      <c r="J1174" s="5" t="n">
        <v>0</v>
      </c>
      <c r="K1174" s="4" t="n">
        <f aca="false">G1174*H1174*(1-J1174)</f>
        <v>324.87</v>
      </c>
      <c r="L1174" s="4" t="n">
        <f aca="false">G1174*I1174</f>
        <v>110.5</v>
      </c>
      <c r="M1174" s="4" t="n">
        <f aca="false">K1174-L1174</f>
        <v>214.37</v>
      </c>
      <c r="N1174" s="6" t="n">
        <f aca="false">IF(K1174=0,0,M1174/K1174)</f>
        <v>0.659863945578231</v>
      </c>
      <c r="O1174" s="4" t="n">
        <f aca="false">(G1174*H1174)-K1174</f>
        <v>0</v>
      </c>
      <c r="P1174" s="3" t="s">
        <v>21</v>
      </c>
    </row>
    <row r="1175" customFormat="false" ht="15" hidden="false" customHeight="false" outlineLevel="0" collapsed="false">
      <c r="A1175" s="7" t="n">
        <v>46064</v>
      </c>
      <c r="B1175" s="8" t="s">
        <v>22</v>
      </c>
      <c r="C1175" s="8" t="s">
        <v>23</v>
      </c>
      <c r="D1175" s="8" t="s">
        <v>42</v>
      </c>
      <c r="E1175" s="8" t="s">
        <v>43</v>
      </c>
      <c r="F1175" s="8" t="s">
        <v>34</v>
      </c>
      <c r="G1175" s="8" t="n">
        <v>12</v>
      </c>
      <c r="H1175" s="9" t="n">
        <v>11.99</v>
      </c>
      <c r="I1175" s="9" t="n">
        <v>3.5</v>
      </c>
      <c r="J1175" s="10" t="n">
        <v>0.2</v>
      </c>
      <c r="K1175" s="9" t="n">
        <f aca="false">G1175*H1175*(1-J1175)</f>
        <v>115.104</v>
      </c>
      <c r="L1175" s="9" t="n">
        <f aca="false">G1175*I1175</f>
        <v>42</v>
      </c>
      <c r="M1175" s="9" t="n">
        <f aca="false">K1175-L1175</f>
        <v>73.104</v>
      </c>
      <c r="N1175" s="11" t="n">
        <f aca="false">IF(K1175=0,0,M1175/K1175)</f>
        <v>0.63511259382819</v>
      </c>
      <c r="O1175" s="9" t="n">
        <f aca="false">(G1175*H1175)-K1175</f>
        <v>28.776</v>
      </c>
      <c r="P1175" s="8" t="s">
        <v>21</v>
      </c>
    </row>
    <row r="1176" customFormat="false" ht="15" hidden="false" customHeight="false" outlineLevel="0" collapsed="false">
      <c r="A1176" s="2" t="n">
        <v>46078</v>
      </c>
      <c r="B1176" s="3" t="s">
        <v>22</v>
      </c>
      <c r="C1176" s="3" t="s">
        <v>23</v>
      </c>
      <c r="D1176" s="3" t="s">
        <v>42</v>
      </c>
      <c r="E1176" s="3" t="s">
        <v>43</v>
      </c>
      <c r="F1176" s="3" t="s">
        <v>34</v>
      </c>
      <c r="G1176" s="3" t="n">
        <v>21</v>
      </c>
      <c r="H1176" s="4" t="n">
        <v>11.99</v>
      </c>
      <c r="I1176" s="4" t="n">
        <v>3.5</v>
      </c>
      <c r="J1176" s="5" t="n">
        <v>0</v>
      </c>
      <c r="K1176" s="4" t="n">
        <f aca="false">G1176*H1176*(1-J1176)</f>
        <v>251.79</v>
      </c>
      <c r="L1176" s="4" t="n">
        <f aca="false">G1176*I1176</f>
        <v>73.5</v>
      </c>
      <c r="M1176" s="4" t="n">
        <f aca="false">K1176-L1176</f>
        <v>178.29</v>
      </c>
      <c r="N1176" s="6" t="n">
        <f aca="false">IF(K1176=0,0,M1176/K1176)</f>
        <v>0.708090075062552</v>
      </c>
      <c r="O1176" s="4" t="n">
        <f aca="false">(G1176*H1176)-K1176</f>
        <v>0</v>
      </c>
      <c r="P1176" s="3" t="s">
        <v>21</v>
      </c>
    </row>
    <row r="1177" customFormat="false" ht="15" hidden="false" customHeight="false" outlineLevel="0" collapsed="false">
      <c r="A1177" s="7" t="n">
        <v>46042</v>
      </c>
      <c r="B1177" s="8" t="s">
        <v>64</v>
      </c>
      <c r="C1177" s="8" t="s">
        <v>65</v>
      </c>
      <c r="D1177" s="8" t="s">
        <v>32</v>
      </c>
      <c r="E1177" s="8" t="s">
        <v>33</v>
      </c>
      <c r="F1177" s="8" t="s">
        <v>34</v>
      </c>
      <c r="G1177" s="8" t="n">
        <v>19</v>
      </c>
      <c r="H1177" s="9" t="n">
        <v>18.99</v>
      </c>
      <c r="I1177" s="9" t="n">
        <v>6</v>
      </c>
      <c r="J1177" s="10" t="n">
        <v>0.05</v>
      </c>
      <c r="K1177" s="9" t="n">
        <f aca="false">G1177*H1177*(1-J1177)</f>
        <v>342.7695</v>
      </c>
      <c r="L1177" s="9" t="n">
        <f aca="false">G1177*I1177</f>
        <v>114</v>
      </c>
      <c r="M1177" s="9" t="n">
        <f aca="false">K1177-L1177</f>
        <v>228.7695</v>
      </c>
      <c r="N1177" s="11" t="n">
        <f aca="false">IF(K1177=0,0,M1177/K1177)</f>
        <v>0.667414982955018</v>
      </c>
      <c r="O1177" s="9" t="n">
        <f aca="false">(G1177*H1177)-K1177</f>
        <v>18.0405</v>
      </c>
      <c r="P1177" s="8" t="s">
        <v>21</v>
      </c>
    </row>
    <row r="1178" customFormat="false" ht="15" hidden="false" customHeight="false" outlineLevel="0" collapsed="false">
      <c r="A1178" s="2" t="n">
        <v>46075</v>
      </c>
      <c r="B1178" s="3" t="s">
        <v>27</v>
      </c>
      <c r="C1178" s="3" t="s">
        <v>28</v>
      </c>
      <c r="D1178" s="3" t="s">
        <v>53</v>
      </c>
      <c r="E1178" s="3" t="s">
        <v>54</v>
      </c>
      <c r="F1178" s="3" t="s">
        <v>50</v>
      </c>
      <c r="G1178" s="3" t="n">
        <v>24</v>
      </c>
      <c r="H1178" s="4" t="n">
        <v>22.99</v>
      </c>
      <c r="I1178" s="4" t="n">
        <v>8</v>
      </c>
      <c r="J1178" s="5" t="n">
        <v>0.3</v>
      </c>
      <c r="K1178" s="4" t="n">
        <f aca="false">G1178*H1178*(1-J1178)</f>
        <v>386.232</v>
      </c>
      <c r="L1178" s="4" t="n">
        <f aca="false">G1178*I1178</f>
        <v>192</v>
      </c>
      <c r="M1178" s="4" t="n">
        <f aca="false">K1178-L1178</f>
        <v>194.232</v>
      </c>
      <c r="N1178" s="6" t="n">
        <f aca="false">IF(K1178=0,0,M1178/K1178)</f>
        <v>0.502889455042565</v>
      </c>
      <c r="O1178" s="4" t="n">
        <f aca="false">(G1178*H1178)-K1178</f>
        <v>165.528</v>
      </c>
      <c r="P1178" s="3" t="s">
        <v>21</v>
      </c>
    </row>
    <row r="1179" customFormat="false" ht="15" hidden="false" customHeight="false" outlineLevel="0" collapsed="false">
      <c r="A1179" s="7" t="n">
        <v>46071</v>
      </c>
      <c r="B1179" s="8" t="s">
        <v>16</v>
      </c>
      <c r="C1179" s="8" t="s">
        <v>17</v>
      </c>
      <c r="D1179" s="8" t="s">
        <v>93</v>
      </c>
      <c r="E1179" s="8" t="s">
        <v>94</v>
      </c>
      <c r="F1179" s="8" t="s">
        <v>34</v>
      </c>
      <c r="G1179" s="8" t="n">
        <v>3</v>
      </c>
      <c r="H1179" s="9" t="n">
        <v>29.99</v>
      </c>
      <c r="I1179" s="9" t="n">
        <v>9</v>
      </c>
      <c r="J1179" s="10" t="n">
        <v>0.2</v>
      </c>
      <c r="K1179" s="9" t="n">
        <f aca="false">G1179*H1179*(1-J1179)</f>
        <v>71.976</v>
      </c>
      <c r="L1179" s="9" t="n">
        <f aca="false">G1179*I1179</f>
        <v>27</v>
      </c>
      <c r="M1179" s="9" t="n">
        <f aca="false">K1179-L1179</f>
        <v>44.976</v>
      </c>
      <c r="N1179" s="11" t="n">
        <f aca="false">IF(K1179=0,0,M1179/K1179)</f>
        <v>0.62487495831944</v>
      </c>
      <c r="O1179" s="9" t="n">
        <f aca="false">(G1179*H1179)-K1179</f>
        <v>17.994</v>
      </c>
      <c r="P1179" s="8" t="s">
        <v>21</v>
      </c>
    </row>
    <row r="1180" customFormat="false" ht="15" hidden="false" customHeight="false" outlineLevel="0" collapsed="false">
      <c r="A1180" s="2" t="n">
        <v>46041</v>
      </c>
      <c r="B1180" s="3" t="s">
        <v>22</v>
      </c>
      <c r="C1180" s="3" t="s">
        <v>23</v>
      </c>
      <c r="D1180" s="3" t="s">
        <v>29</v>
      </c>
      <c r="E1180" s="3" t="s">
        <v>30</v>
      </c>
      <c r="F1180" s="3" t="s">
        <v>20</v>
      </c>
      <c r="G1180" s="3" t="n">
        <v>14</v>
      </c>
      <c r="H1180" s="4" t="n">
        <v>89.99</v>
      </c>
      <c r="I1180" s="4" t="n">
        <v>42</v>
      </c>
      <c r="J1180" s="5" t="n">
        <v>0.05</v>
      </c>
      <c r="K1180" s="4" t="n">
        <f aca="false">G1180*H1180*(1-J1180)</f>
        <v>1196.867</v>
      </c>
      <c r="L1180" s="4" t="n">
        <f aca="false">G1180*I1180</f>
        <v>588</v>
      </c>
      <c r="M1180" s="4" t="n">
        <f aca="false">K1180-L1180</f>
        <v>608.867</v>
      </c>
      <c r="N1180" s="6" t="n">
        <f aca="false">IF(K1180=0,0,M1180/K1180)</f>
        <v>0.508717342862657</v>
      </c>
      <c r="O1180" s="4" t="n">
        <f aca="false">(G1180*H1180)-K1180</f>
        <v>62.9929999999999</v>
      </c>
      <c r="P1180" s="3" t="s">
        <v>21</v>
      </c>
    </row>
    <row r="1181" customFormat="false" ht="15" hidden="false" customHeight="false" outlineLevel="0" collapsed="false">
      <c r="A1181" s="7" t="n">
        <v>46036</v>
      </c>
      <c r="B1181" s="8" t="s">
        <v>16</v>
      </c>
      <c r="C1181" s="8" t="s">
        <v>17</v>
      </c>
      <c r="D1181" s="8" t="s">
        <v>74</v>
      </c>
      <c r="E1181" s="8" t="s">
        <v>75</v>
      </c>
      <c r="F1181" s="8" t="s">
        <v>40</v>
      </c>
      <c r="G1181" s="8" t="n">
        <v>6</v>
      </c>
      <c r="H1181" s="9" t="n">
        <v>29.99</v>
      </c>
      <c r="I1181" s="9" t="n">
        <v>13</v>
      </c>
      <c r="J1181" s="10" t="n">
        <v>0.2</v>
      </c>
      <c r="K1181" s="9" t="n">
        <f aca="false">G1181*H1181*(1-J1181)</f>
        <v>143.952</v>
      </c>
      <c r="L1181" s="9" t="n">
        <f aca="false">G1181*I1181</f>
        <v>78</v>
      </c>
      <c r="M1181" s="9" t="n">
        <f aca="false">K1181-L1181</f>
        <v>65.952</v>
      </c>
      <c r="N1181" s="11" t="n">
        <f aca="false">IF(K1181=0,0,M1181/K1181)</f>
        <v>0.458152717572524</v>
      </c>
      <c r="O1181" s="9" t="n">
        <f aca="false">(G1181*H1181)-K1181</f>
        <v>35.988</v>
      </c>
      <c r="P1181" s="8" t="s">
        <v>21</v>
      </c>
    </row>
    <row r="1182" customFormat="false" ht="15" hidden="false" customHeight="false" outlineLevel="0" collapsed="false">
      <c r="A1182" s="2" t="n">
        <v>46086</v>
      </c>
      <c r="B1182" s="3" t="s">
        <v>16</v>
      </c>
      <c r="C1182" s="3" t="s">
        <v>17</v>
      </c>
      <c r="D1182" s="3" t="s">
        <v>48</v>
      </c>
      <c r="E1182" s="3" t="s">
        <v>49</v>
      </c>
      <c r="F1182" s="3" t="s">
        <v>50</v>
      </c>
      <c r="G1182" s="3" t="n">
        <v>24</v>
      </c>
      <c r="H1182" s="4" t="n">
        <v>54.99</v>
      </c>
      <c r="I1182" s="4" t="n">
        <v>20</v>
      </c>
      <c r="J1182" s="5" t="n">
        <v>0</v>
      </c>
      <c r="K1182" s="4" t="n">
        <f aca="false">G1182*H1182*(1-J1182)</f>
        <v>1319.76</v>
      </c>
      <c r="L1182" s="4" t="n">
        <f aca="false">G1182*I1182</f>
        <v>480</v>
      </c>
      <c r="M1182" s="4" t="n">
        <f aca="false">K1182-L1182</f>
        <v>839.76</v>
      </c>
      <c r="N1182" s="6" t="n">
        <f aca="false">IF(K1182=0,0,M1182/K1182)</f>
        <v>0.636297508637934</v>
      </c>
      <c r="O1182" s="4" t="n">
        <f aca="false">(G1182*H1182)-K1182</f>
        <v>0</v>
      </c>
      <c r="P1182" s="3" t="s">
        <v>21</v>
      </c>
    </row>
    <row r="1183" customFormat="false" ht="15" hidden="false" customHeight="false" outlineLevel="0" collapsed="false">
      <c r="A1183" s="7" t="n">
        <v>46126</v>
      </c>
      <c r="B1183" s="8" t="s">
        <v>27</v>
      </c>
      <c r="C1183" s="8" t="s">
        <v>28</v>
      </c>
      <c r="D1183" s="8" t="s">
        <v>51</v>
      </c>
      <c r="E1183" s="8" t="s">
        <v>52</v>
      </c>
      <c r="F1183" s="8" t="s">
        <v>50</v>
      </c>
      <c r="G1183" s="8" t="n">
        <v>1</v>
      </c>
      <c r="H1183" s="9" t="n">
        <v>19.99</v>
      </c>
      <c r="I1183" s="9" t="n">
        <v>7</v>
      </c>
      <c r="J1183" s="10" t="n">
        <v>0.1</v>
      </c>
      <c r="K1183" s="9" t="n">
        <f aca="false">G1183*H1183*(1-J1183)</f>
        <v>17.991</v>
      </c>
      <c r="L1183" s="9" t="n">
        <f aca="false">G1183*I1183</f>
        <v>7</v>
      </c>
      <c r="M1183" s="9" t="n">
        <f aca="false">K1183-L1183</f>
        <v>10.991</v>
      </c>
      <c r="N1183" s="11" t="n">
        <f aca="false">IF(K1183=0,0,M1183/K1183)</f>
        <v>0.610916569395809</v>
      </c>
      <c r="O1183" s="9" t="n">
        <f aca="false">(G1183*H1183)-K1183</f>
        <v>1.999</v>
      </c>
      <c r="P1183" s="8" t="s">
        <v>21</v>
      </c>
    </row>
    <row r="1184" customFormat="false" ht="15" hidden="false" customHeight="false" outlineLevel="0" collapsed="false">
      <c r="A1184" s="2" t="n">
        <v>46031</v>
      </c>
      <c r="B1184" s="3" t="s">
        <v>27</v>
      </c>
      <c r="C1184" s="3" t="s">
        <v>28</v>
      </c>
      <c r="D1184" s="3" t="s">
        <v>61</v>
      </c>
      <c r="E1184" s="3" t="s">
        <v>62</v>
      </c>
      <c r="F1184" s="3" t="s">
        <v>34</v>
      </c>
      <c r="G1184" s="3" t="n">
        <v>17</v>
      </c>
      <c r="H1184" s="4" t="n">
        <v>14.99</v>
      </c>
      <c r="I1184" s="4" t="n">
        <v>4.5</v>
      </c>
      <c r="J1184" s="5" t="n">
        <v>0.1</v>
      </c>
      <c r="K1184" s="4" t="n">
        <f aca="false">G1184*H1184*(1-J1184)</f>
        <v>229.347</v>
      </c>
      <c r="L1184" s="4" t="n">
        <f aca="false">G1184*I1184</f>
        <v>76.5</v>
      </c>
      <c r="M1184" s="4" t="n">
        <f aca="false">K1184-L1184</f>
        <v>152.847</v>
      </c>
      <c r="N1184" s="6" t="n">
        <f aca="false">IF(K1184=0,0,M1184/K1184)</f>
        <v>0.666444296197465</v>
      </c>
      <c r="O1184" s="4" t="n">
        <f aca="false">(G1184*H1184)-K1184</f>
        <v>25.483</v>
      </c>
      <c r="P1184" s="3" t="s">
        <v>21</v>
      </c>
    </row>
    <row r="1185" customFormat="false" ht="15" hidden="false" customHeight="false" outlineLevel="0" collapsed="false">
      <c r="A1185" s="7" t="n">
        <v>46068</v>
      </c>
      <c r="B1185" s="8" t="s">
        <v>31</v>
      </c>
      <c r="C1185" s="8" t="s">
        <v>23</v>
      </c>
      <c r="D1185" s="8" t="s">
        <v>82</v>
      </c>
      <c r="E1185" s="8" t="s">
        <v>83</v>
      </c>
      <c r="F1185" s="8" t="s">
        <v>26</v>
      </c>
      <c r="G1185" s="8" t="n">
        <v>25</v>
      </c>
      <c r="H1185" s="9" t="n">
        <v>44.99</v>
      </c>
      <c r="I1185" s="9" t="n">
        <v>18</v>
      </c>
      <c r="J1185" s="10" t="n">
        <v>0.15</v>
      </c>
      <c r="K1185" s="9" t="n">
        <f aca="false">G1185*H1185*(1-J1185)</f>
        <v>956.0375</v>
      </c>
      <c r="L1185" s="9" t="n">
        <f aca="false">G1185*I1185</f>
        <v>450</v>
      </c>
      <c r="M1185" s="9" t="n">
        <f aca="false">K1185-L1185</f>
        <v>506.0375</v>
      </c>
      <c r="N1185" s="11" t="n">
        <f aca="false">IF(K1185=0,0,M1185/K1185)</f>
        <v>0.529307166298393</v>
      </c>
      <c r="O1185" s="9" t="n">
        <f aca="false">(G1185*H1185)-K1185</f>
        <v>168.7125</v>
      </c>
      <c r="P1185" s="8" t="s">
        <v>21</v>
      </c>
    </row>
    <row r="1186" customFormat="false" ht="15" hidden="false" customHeight="false" outlineLevel="0" collapsed="false">
      <c r="A1186" s="2" t="n">
        <v>46064</v>
      </c>
      <c r="B1186" s="3" t="s">
        <v>58</v>
      </c>
      <c r="C1186" s="3" t="s">
        <v>58</v>
      </c>
      <c r="D1186" s="3" t="s">
        <v>55</v>
      </c>
      <c r="E1186" s="3" t="s">
        <v>56</v>
      </c>
      <c r="F1186" s="3" t="s">
        <v>57</v>
      </c>
      <c r="G1186" s="3" t="n">
        <v>13</v>
      </c>
      <c r="H1186" s="4" t="n">
        <v>29.99</v>
      </c>
      <c r="I1186" s="4" t="n">
        <v>11</v>
      </c>
      <c r="J1186" s="5" t="n">
        <v>0.1</v>
      </c>
      <c r="K1186" s="4" t="n">
        <f aca="false">G1186*H1186*(1-J1186)</f>
        <v>350.883</v>
      </c>
      <c r="L1186" s="4" t="n">
        <f aca="false">G1186*I1186</f>
        <v>143</v>
      </c>
      <c r="M1186" s="4" t="n">
        <f aca="false">K1186-L1186</f>
        <v>207.883</v>
      </c>
      <c r="N1186" s="6" t="n">
        <f aca="false">IF(K1186=0,0,M1186/K1186)</f>
        <v>0.592456744840873</v>
      </c>
      <c r="O1186" s="4" t="n">
        <f aca="false">(G1186*H1186)-K1186</f>
        <v>38.987</v>
      </c>
      <c r="P1186" s="3" t="s">
        <v>21</v>
      </c>
    </row>
    <row r="1187" customFormat="false" ht="15" hidden="false" customHeight="false" outlineLevel="0" collapsed="false">
      <c r="A1187" s="7" t="n">
        <v>46071</v>
      </c>
      <c r="B1187" s="8" t="s">
        <v>22</v>
      </c>
      <c r="C1187" s="8" t="s">
        <v>23</v>
      </c>
      <c r="D1187" s="8" t="s">
        <v>59</v>
      </c>
      <c r="E1187" s="8" t="s">
        <v>60</v>
      </c>
      <c r="F1187" s="8" t="s">
        <v>50</v>
      </c>
      <c r="G1187" s="8" t="n">
        <v>9</v>
      </c>
      <c r="H1187" s="9" t="n">
        <v>24.99</v>
      </c>
      <c r="I1187" s="9" t="n">
        <v>8.5</v>
      </c>
      <c r="J1187" s="10" t="n">
        <v>0.2</v>
      </c>
      <c r="K1187" s="9" t="n">
        <f aca="false">G1187*H1187*(1-J1187)</f>
        <v>179.928</v>
      </c>
      <c r="L1187" s="9" t="n">
        <f aca="false">G1187*I1187</f>
        <v>76.5</v>
      </c>
      <c r="M1187" s="9" t="n">
        <f aca="false">K1187-L1187</f>
        <v>103.428</v>
      </c>
      <c r="N1187" s="11" t="n">
        <f aca="false">IF(K1187=0,0,M1187/K1187)</f>
        <v>0.574829931972789</v>
      </c>
      <c r="O1187" s="9" t="n">
        <f aca="false">(G1187*H1187)-K1187</f>
        <v>44.982</v>
      </c>
      <c r="P1187" s="8" t="s">
        <v>21</v>
      </c>
    </row>
    <row r="1188" customFormat="false" ht="15" hidden="false" customHeight="false" outlineLevel="0" collapsed="false">
      <c r="A1188" s="2" t="n">
        <v>46054</v>
      </c>
      <c r="B1188" s="3" t="s">
        <v>16</v>
      </c>
      <c r="C1188" s="3" t="s">
        <v>17</v>
      </c>
      <c r="D1188" s="3" t="s">
        <v>68</v>
      </c>
      <c r="E1188" s="3" t="s">
        <v>69</v>
      </c>
      <c r="F1188" s="3" t="s">
        <v>40</v>
      </c>
      <c r="G1188" s="3" t="n">
        <v>27</v>
      </c>
      <c r="H1188" s="4" t="n">
        <v>24.99</v>
      </c>
      <c r="I1188" s="4" t="n">
        <v>9</v>
      </c>
      <c r="J1188" s="5" t="n">
        <v>0.05</v>
      </c>
      <c r="K1188" s="4" t="n">
        <f aca="false">G1188*H1188*(1-J1188)</f>
        <v>640.9935</v>
      </c>
      <c r="L1188" s="4" t="n">
        <f aca="false">G1188*I1188</f>
        <v>243</v>
      </c>
      <c r="M1188" s="4" t="n">
        <f aca="false">K1188-L1188</f>
        <v>397.9935</v>
      </c>
      <c r="N1188" s="6" t="n">
        <f aca="false">IF(K1188=0,0,M1188/K1188)</f>
        <v>0.620900991975738</v>
      </c>
      <c r="O1188" s="4" t="n">
        <f aca="false">(G1188*H1188)-K1188</f>
        <v>33.7365</v>
      </c>
      <c r="P1188" s="3" t="s">
        <v>21</v>
      </c>
    </row>
    <row r="1189" customFormat="false" ht="15" hidden="false" customHeight="false" outlineLevel="0" collapsed="false">
      <c r="A1189" s="7" t="n">
        <v>46125</v>
      </c>
      <c r="B1189" s="8" t="s">
        <v>41</v>
      </c>
      <c r="C1189" s="8" t="s">
        <v>28</v>
      </c>
      <c r="D1189" s="8" t="s">
        <v>95</v>
      </c>
      <c r="E1189" s="8" t="s">
        <v>96</v>
      </c>
      <c r="F1189" s="8" t="s">
        <v>50</v>
      </c>
      <c r="G1189" s="8" t="n">
        <v>12</v>
      </c>
      <c r="H1189" s="9" t="n">
        <v>34.99</v>
      </c>
      <c r="I1189" s="9" t="n">
        <v>12</v>
      </c>
      <c r="J1189" s="10" t="n">
        <v>0.2</v>
      </c>
      <c r="K1189" s="9" t="n">
        <f aca="false">G1189*H1189*(1-J1189)</f>
        <v>335.904</v>
      </c>
      <c r="L1189" s="9" t="n">
        <f aca="false">G1189*I1189</f>
        <v>144</v>
      </c>
      <c r="M1189" s="9" t="n">
        <f aca="false">K1189-L1189</f>
        <v>191.904</v>
      </c>
      <c r="N1189" s="11" t="n">
        <f aca="false">IF(K1189=0,0,M1189/K1189)</f>
        <v>0.571306087453558</v>
      </c>
      <c r="O1189" s="9" t="n">
        <f aca="false">(G1189*H1189)-K1189</f>
        <v>83.976</v>
      </c>
      <c r="P1189" s="8" t="s">
        <v>21</v>
      </c>
    </row>
    <row r="1190" customFormat="false" ht="15" hidden="false" customHeight="false" outlineLevel="0" collapsed="false">
      <c r="A1190" s="2" t="n">
        <v>46113</v>
      </c>
      <c r="B1190" s="3" t="s">
        <v>41</v>
      </c>
      <c r="C1190" s="3" t="s">
        <v>28</v>
      </c>
      <c r="D1190" s="3" t="s">
        <v>84</v>
      </c>
      <c r="E1190" s="3" t="s">
        <v>85</v>
      </c>
      <c r="F1190" s="3" t="s">
        <v>20</v>
      </c>
      <c r="G1190" s="3" t="n">
        <v>30</v>
      </c>
      <c r="H1190" s="4" t="n">
        <v>34.99</v>
      </c>
      <c r="I1190" s="4" t="n">
        <v>13</v>
      </c>
      <c r="J1190" s="5" t="n">
        <v>0.25</v>
      </c>
      <c r="K1190" s="4" t="n">
        <f aca="false">G1190*H1190*(1-J1190)</f>
        <v>787.275</v>
      </c>
      <c r="L1190" s="4" t="n">
        <f aca="false">G1190*I1190</f>
        <v>390</v>
      </c>
      <c r="M1190" s="4" t="n">
        <f aca="false">K1190-L1190</f>
        <v>397.275</v>
      </c>
      <c r="N1190" s="6" t="n">
        <f aca="false">IF(K1190=0,0,M1190/K1190)</f>
        <v>0.504620367724112</v>
      </c>
      <c r="O1190" s="4" t="n">
        <f aca="false">(G1190*H1190)-K1190</f>
        <v>262.425</v>
      </c>
      <c r="P1190" s="3" t="s">
        <v>21</v>
      </c>
    </row>
    <row r="1191" customFormat="false" ht="15" hidden="false" customHeight="false" outlineLevel="0" collapsed="false">
      <c r="A1191" s="7" t="n">
        <v>46111</v>
      </c>
      <c r="B1191" s="8" t="s">
        <v>31</v>
      </c>
      <c r="C1191" s="8" t="s">
        <v>23</v>
      </c>
      <c r="D1191" s="8" t="s">
        <v>38</v>
      </c>
      <c r="E1191" s="8" t="s">
        <v>39</v>
      </c>
      <c r="F1191" s="8" t="s">
        <v>40</v>
      </c>
      <c r="G1191" s="8" t="n">
        <v>13</v>
      </c>
      <c r="H1191" s="9" t="n">
        <v>12.99</v>
      </c>
      <c r="I1191" s="9" t="n">
        <v>4</v>
      </c>
      <c r="J1191" s="10" t="n">
        <v>0.1</v>
      </c>
      <c r="K1191" s="9" t="n">
        <f aca="false">G1191*H1191*(1-J1191)</f>
        <v>151.983</v>
      </c>
      <c r="L1191" s="9" t="n">
        <f aca="false">G1191*I1191</f>
        <v>52</v>
      </c>
      <c r="M1191" s="9" t="n">
        <f aca="false">K1191-L1191</f>
        <v>99.983</v>
      </c>
      <c r="N1191" s="11" t="n">
        <f aca="false">IF(K1191=0,0,M1191/K1191)</f>
        <v>0.657856470789496</v>
      </c>
      <c r="O1191" s="9" t="n">
        <f aca="false">(G1191*H1191)-K1191</f>
        <v>16.887</v>
      </c>
      <c r="P1191" s="8" t="s">
        <v>21</v>
      </c>
    </row>
    <row r="1192" customFormat="false" ht="15" hidden="false" customHeight="false" outlineLevel="0" collapsed="false">
      <c r="A1192" s="2" t="n">
        <v>46042</v>
      </c>
      <c r="B1192" s="3" t="s">
        <v>27</v>
      </c>
      <c r="C1192" s="3" t="s">
        <v>28</v>
      </c>
      <c r="D1192" s="3" t="s">
        <v>29</v>
      </c>
      <c r="E1192" s="3" t="s">
        <v>30</v>
      </c>
      <c r="F1192" s="3" t="s">
        <v>20</v>
      </c>
      <c r="G1192" s="3" t="n">
        <v>6</v>
      </c>
      <c r="H1192" s="4" t="n">
        <v>89.99</v>
      </c>
      <c r="I1192" s="4" t="n">
        <v>42</v>
      </c>
      <c r="J1192" s="5" t="n">
        <v>0.1</v>
      </c>
      <c r="K1192" s="4" t="n">
        <f aca="false">G1192*H1192*(1-J1192)</f>
        <v>485.946</v>
      </c>
      <c r="L1192" s="4" t="n">
        <f aca="false">G1192*I1192</f>
        <v>252</v>
      </c>
      <c r="M1192" s="4" t="n">
        <f aca="false">K1192-L1192</f>
        <v>233.946</v>
      </c>
      <c r="N1192" s="6" t="n">
        <f aca="false">IF(K1192=0,0,M1192/K1192)</f>
        <v>0.481423861910583</v>
      </c>
      <c r="O1192" s="4" t="n">
        <f aca="false">(G1192*H1192)-K1192</f>
        <v>53.994</v>
      </c>
      <c r="P1192" s="3" t="s">
        <v>21</v>
      </c>
    </row>
    <row r="1193" customFormat="false" ht="15" hidden="false" customHeight="false" outlineLevel="0" collapsed="false">
      <c r="A1193" s="7" t="n">
        <v>46042</v>
      </c>
      <c r="B1193" s="8" t="s">
        <v>64</v>
      </c>
      <c r="C1193" s="8" t="s">
        <v>65</v>
      </c>
      <c r="D1193" s="8" t="s">
        <v>90</v>
      </c>
      <c r="E1193" s="8" t="s">
        <v>91</v>
      </c>
      <c r="F1193" s="8" t="s">
        <v>26</v>
      </c>
      <c r="G1193" s="8" t="n">
        <v>30</v>
      </c>
      <c r="H1193" s="9" t="n">
        <v>29.99</v>
      </c>
      <c r="I1193" s="9" t="n">
        <v>11</v>
      </c>
      <c r="J1193" s="10" t="n">
        <v>0.25</v>
      </c>
      <c r="K1193" s="9" t="n">
        <f aca="false">G1193*H1193*(1-J1193)</f>
        <v>674.775</v>
      </c>
      <c r="L1193" s="9" t="n">
        <f aca="false">G1193*I1193</f>
        <v>330</v>
      </c>
      <c r="M1193" s="9" t="n">
        <f aca="false">K1193-L1193</f>
        <v>344.775</v>
      </c>
      <c r="N1193" s="11" t="n">
        <f aca="false">IF(K1193=0,0,M1193/K1193)</f>
        <v>0.510948093809048</v>
      </c>
      <c r="O1193" s="9" t="n">
        <f aca="false">(G1193*H1193)-K1193</f>
        <v>224.925</v>
      </c>
      <c r="P1193" s="8" t="s">
        <v>21</v>
      </c>
    </row>
    <row r="1194" customFormat="false" ht="15" hidden="false" customHeight="false" outlineLevel="0" collapsed="false">
      <c r="A1194" s="2" t="n">
        <v>46117</v>
      </c>
      <c r="B1194" s="3" t="s">
        <v>16</v>
      </c>
      <c r="C1194" s="3" t="s">
        <v>17</v>
      </c>
      <c r="D1194" s="3" t="s">
        <v>66</v>
      </c>
      <c r="E1194" s="3" t="s">
        <v>67</v>
      </c>
      <c r="F1194" s="3" t="s">
        <v>57</v>
      </c>
      <c r="G1194" s="3" t="n">
        <v>21</v>
      </c>
      <c r="H1194" s="4" t="n">
        <v>14.99</v>
      </c>
      <c r="I1194" s="4" t="n">
        <v>5.5</v>
      </c>
      <c r="J1194" s="5" t="n">
        <v>0</v>
      </c>
      <c r="K1194" s="4" t="n">
        <f aca="false">G1194*H1194*(1-J1194)</f>
        <v>314.79</v>
      </c>
      <c r="L1194" s="4" t="n">
        <f aca="false">G1194*I1194</f>
        <v>115.5</v>
      </c>
      <c r="M1194" s="4" t="n">
        <f aca="false">K1194-L1194</f>
        <v>199.29</v>
      </c>
      <c r="N1194" s="6" t="n">
        <f aca="false">IF(K1194=0,0,M1194/K1194)</f>
        <v>0.633088725817212</v>
      </c>
      <c r="O1194" s="4" t="n">
        <f aca="false">(G1194*H1194)-K1194</f>
        <v>0</v>
      </c>
      <c r="P1194" s="3" t="s">
        <v>21</v>
      </c>
    </row>
    <row r="1195" customFormat="false" ht="15" hidden="false" customHeight="false" outlineLevel="0" collapsed="false">
      <c r="A1195" s="7" t="n">
        <v>46101</v>
      </c>
      <c r="B1195" s="8" t="s">
        <v>41</v>
      </c>
      <c r="C1195" s="8" t="s">
        <v>28</v>
      </c>
      <c r="D1195" s="8" t="s">
        <v>72</v>
      </c>
      <c r="E1195" s="8" t="s">
        <v>73</v>
      </c>
      <c r="F1195" s="8" t="s">
        <v>57</v>
      </c>
      <c r="G1195" s="8" t="n">
        <v>15</v>
      </c>
      <c r="H1195" s="9" t="n">
        <v>19.99</v>
      </c>
      <c r="I1195" s="9" t="n">
        <v>7</v>
      </c>
      <c r="J1195" s="10" t="n">
        <v>0</v>
      </c>
      <c r="K1195" s="9" t="n">
        <f aca="false">G1195*H1195*(1-J1195)</f>
        <v>299.85</v>
      </c>
      <c r="L1195" s="9" t="n">
        <f aca="false">G1195*I1195</f>
        <v>105</v>
      </c>
      <c r="M1195" s="9" t="n">
        <f aca="false">K1195-L1195</f>
        <v>194.85</v>
      </c>
      <c r="N1195" s="11" t="n">
        <f aca="false">IF(K1195=0,0,M1195/K1195)</f>
        <v>0.649824912456228</v>
      </c>
      <c r="O1195" s="9" t="n">
        <f aca="false">(G1195*H1195)-K1195</f>
        <v>0</v>
      </c>
      <c r="P1195" s="8" t="s">
        <v>21</v>
      </c>
    </row>
    <row r="1196" customFormat="false" ht="15" hidden="false" customHeight="false" outlineLevel="0" collapsed="false">
      <c r="A1196" s="2" t="n">
        <v>46081</v>
      </c>
      <c r="B1196" s="3" t="s">
        <v>58</v>
      </c>
      <c r="C1196" s="3" t="s">
        <v>58</v>
      </c>
      <c r="D1196" s="3" t="s">
        <v>18</v>
      </c>
      <c r="E1196" s="3" t="s">
        <v>19</v>
      </c>
      <c r="F1196" s="3" t="s">
        <v>20</v>
      </c>
      <c r="G1196" s="3" t="n">
        <v>3</v>
      </c>
      <c r="H1196" s="4" t="n">
        <v>26.99</v>
      </c>
      <c r="I1196" s="4" t="n">
        <v>10.5</v>
      </c>
      <c r="J1196" s="5" t="n">
        <v>0.15</v>
      </c>
      <c r="K1196" s="4" t="n">
        <f aca="false">G1196*H1196*(1-J1196)</f>
        <v>68.8245</v>
      </c>
      <c r="L1196" s="4" t="n">
        <f aca="false">G1196*I1196</f>
        <v>31.5</v>
      </c>
      <c r="M1196" s="4" t="n">
        <f aca="false">K1196-L1196</f>
        <v>37.3245</v>
      </c>
      <c r="N1196" s="6" t="n">
        <f aca="false">IF(K1196=0,0,M1196/K1196)</f>
        <v>0.542314146851775</v>
      </c>
      <c r="O1196" s="4" t="n">
        <f aca="false">(G1196*H1196)-K1196</f>
        <v>12.1455</v>
      </c>
      <c r="P1196" s="3" t="s">
        <v>21</v>
      </c>
    </row>
    <row r="1197" customFormat="false" ht="15" hidden="false" customHeight="false" outlineLevel="0" collapsed="false">
      <c r="A1197" s="7" t="n">
        <v>46096</v>
      </c>
      <c r="B1197" s="8" t="s">
        <v>27</v>
      </c>
      <c r="C1197" s="8" t="s">
        <v>28</v>
      </c>
      <c r="D1197" s="8" t="s">
        <v>61</v>
      </c>
      <c r="E1197" s="8" t="s">
        <v>62</v>
      </c>
      <c r="F1197" s="8" t="s">
        <v>34</v>
      </c>
      <c r="G1197" s="8" t="n">
        <v>10</v>
      </c>
      <c r="H1197" s="9" t="n">
        <v>12.99</v>
      </c>
      <c r="I1197" s="9" t="n">
        <v>4.5</v>
      </c>
      <c r="J1197" s="10" t="n">
        <v>0</v>
      </c>
      <c r="K1197" s="9" t="n">
        <f aca="false">G1197*H1197*(1-J1197)</f>
        <v>129.9</v>
      </c>
      <c r="L1197" s="9" t="n">
        <f aca="false">G1197*I1197</f>
        <v>45</v>
      </c>
      <c r="M1197" s="9" t="n">
        <f aca="false">K1197-L1197</f>
        <v>84.9</v>
      </c>
      <c r="N1197" s="11" t="n">
        <f aca="false">IF(K1197=0,0,M1197/K1197)</f>
        <v>0.653579676674365</v>
      </c>
      <c r="O1197" s="9" t="n">
        <f aca="false">(G1197*H1197)-K1197</f>
        <v>0</v>
      </c>
      <c r="P1197" s="8" t="s">
        <v>21</v>
      </c>
    </row>
    <row r="1198" customFormat="false" ht="15" hidden="false" customHeight="false" outlineLevel="0" collapsed="false">
      <c r="A1198" s="2" t="n">
        <v>46058</v>
      </c>
      <c r="B1198" s="3" t="s">
        <v>58</v>
      </c>
      <c r="C1198" s="3" t="s">
        <v>58</v>
      </c>
      <c r="D1198" s="3" t="s">
        <v>32</v>
      </c>
      <c r="E1198" s="3" t="s">
        <v>33</v>
      </c>
      <c r="F1198" s="3" t="s">
        <v>34</v>
      </c>
      <c r="G1198" s="3" t="n">
        <v>8</v>
      </c>
      <c r="H1198" s="4" t="n">
        <v>18.99</v>
      </c>
      <c r="I1198" s="4" t="n">
        <v>6</v>
      </c>
      <c r="J1198" s="5" t="n">
        <v>0.05</v>
      </c>
      <c r="K1198" s="4" t="n">
        <f aca="false">G1198*H1198*(1-J1198)</f>
        <v>144.324</v>
      </c>
      <c r="L1198" s="4" t="n">
        <f aca="false">G1198*I1198</f>
        <v>48</v>
      </c>
      <c r="M1198" s="4" t="n">
        <f aca="false">K1198-L1198</f>
        <v>96.324</v>
      </c>
      <c r="N1198" s="6" t="n">
        <f aca="false">IF(K1198=0,0,M1198/K1198)</f>
        <v>0.667414982955018</v>
      </c>
      <c r="O1198" s="4" t="n">
        <f aca="false">(G1198*H1198)-K1198</f>
        <v>7.596</v>
      </c>
      <c r="P1198" s="3" t="s">
        <v>21</v>
      </c>
    </row>
    <row r="1199" customFormat="false" ht="15" hidden="false" customHeight="false" outlineLevel="0" collapsed="false">
      <c r="A1199" s="7" t="n">
        <v>46055</v>
      </c>
      <c r="B1199" s="8" t="s">
        <v>37</v>
      </c>
      <c r="C1199" s="8" t="s">
        <v>17</v>
      </c>
      <c r="D1199" s="8" t="s">
        <v>29</v>
      </c>
      <c r="E1199" s="8" t="s">
        <v>30</v>
      </c>
      <c r="F1199" s="8" t="s">
        <v>20</v>
      </c>
      <c r="G1199" s="8" t="n">
        <v>20</v>
      </c>
      <c r="H1199" s="9" t="n">
        <v>89.99</v>
      </c>
      <c r="I1199" s="9" t="n">
        <v>42</v>
      </c>
      <c r="J1199" s="10" t="n">
        <v>0</v>
      </c>
      <c r="K1199" s="9" t="n">
        <f aca="false">G1199*H1199*(1-J1199)</f>
        <v>1799.8</v>
      </c>
      <c r="L1199" s="9" t="n">
        <f aca="false">G1199*I1199</f>
        <v>840</v>
      </c>
      <c r="M1199" s="9" t="n">
        <f aca="false">K1199-L1199</f>
        <v>959.8</v>
      </c>
      <c r="N1199" s="11" t="n">
        <f aca="false">IF(K1199=0,0,M1199/K1199)</f>
        <v>0.533281475719524</v>
      </c>
      <c r="O1199" s="9" t="n">
        <f aca="false">(G1199*H1199)-K1199</f>
        <v>0</v>
      </c>
      <c r="P1199" s="8" t="s">
        <v>21</v>
      </c>
    </row>
    <row r="1200" customFormat="false" ht="15" hidden="false" customHeight="false" outlineLevel="0" collapsed="false">
      <c r="A1200" s="2" t="n">
        <v>46087</v>
      </c>
      <c r="B1200" s="3" t="s">
        <v>16</v>
      </c>
      <c r="C1200" s="3" t="s">
        <v>17</v>
      </c>
      <c r="D1200" s="3" t="s">
        <v>53</v>
      </c>
      <c r="E1200" s="3" t="s">
        <v>54</v>
      </c>
      <c r="F1200" s="3" t="s">
        <v>50</v>
      </c>
      <c r="G1200" s="3" t="n">
        <v>6</v>
      </c>
      <c r="H1200" s="4" t="n">
        <v>22.99</v>
      </c>
      <c r="I1200" s="4" t="n">
        <v>8</v>
      </c>
      <c r="J1200" s="5" t="n">
        <v>0</v>
      </c>
      <c r="K1200" s="4" t="n">
        <f aca="false">G1200*H1200*(1-J1200)</f>
        <v>137.94</v>
      </c>
      <c r="L1200" s="4" t="n">
        <f aca="false">G1200*I1200</f>
        <v>48</v>
      </c>
      <c r="M1200" s="4" t="n">
        <f aca="false">K1200-L1200</f>
        <v>89.94</v>
      </c>
      <c r="N1200" s="6" t="n">
        <f aca="false">IF(K1200=0,0,M1200/K1200)</f>
        <v>0.652022618529796</v>
      </c>
      <c r="O1200" s="4" t="n">
        <f aca="false">(G1200*H1200)-K1200</f>
        <v>0</v>
      </c>
      <c r="P1200" s="3" t="s">
        <v>21</v>
      </c>
    </row>
    <row r="1201" customFormat="false" ht="15" hidden="false" customHeight="false" outlineLevel="0" collapsed="false">
      <c r="A1201" s="7" t="n">
        <v>46044</v>
      </c>
      <c r="B1201" s="8" t="s">
        <v>31</v>
      </c>
      <c r="C1201" s="8" t="s">
        <v>23</v>
      </c>
      <c r="D1201" s="8" t="s">
        <v>76</v>
      </c>
      <c r="E1201" s="8" t="s">
        <v>77</v>
      </c>
      <c r="F1201" s="8" t="s">
        <v>34</v>
      </c>
      <c r="G1201" s="8" t="n">
        <v>10</v>
      </c>
      <c r="H1201" s="9" t="n">
        <v>44.99</v>
      </c>
      <c r="I1201" s="9" t="n">
        <v>14</v>
      </c>
      <c r="J1201" s="10" t="n">
        <v>0.25</v>
      </c>
      <c r="K1201" s="9" t="n">
        <f aca="false">G1201*H1201*(1-J1201)</f>
        <v>337.425</v>
      </c>
      <c r="L1201" s="9" t="n">
        <f aca="false">G1201*I1201</f>
        <v>140</v>
      </c>
      <c r="M1201" s="9" t="n">
        <f aca="false">K1201-L1201</f>
        <v>197.425</v>
      </c>
      <c r="N1201" s="11" t="n">
        <f aca="false">IF(K1201=0,0,M1201/K1201)</f>
        <v>0.585092983625991</v>
      </c>
      <c r="O1201" s="9" t="n">
        <f aca="false">(G1201*H1201)-K1201</f>
        <v>112.475</v>
      </c>
      <c r="P1201" s="8" t="s">
        <v>21</v>
      </c>
    </row>
    <row r="1202" customFormat="false" ht="15" hidden="false" customHeight="false" outlineLevel="0" collapsed="false">
      <c r="A1202" s="2" t="n">
        <v>46079</v>
      </c>
      <c r="B1202" s="3" t="s">
        <v>58</v>
      </c>
      <c r="C1202" s="3" t="s">
        <v>58</v>
      </c>
      <c r="D1202" s="3" t="s">
        <v>42</v>
      </c>
      <c r="E1202" s="3" t="s">
        <v>43</v>
      </c>
      <c r="F1202" s="3" t="s">
        <v>34</v>
      </c>
      <c r="G1202" s="3" t="n">
        <v>10</v>
      </c>
      <c r="H1202" s="4" t="n">
        <v>11.99</v>
      </c>
      <c r="I1202" s="4" t="n">
        <v>3.5</v>
      </c>
      <c r="J1202" s="5" t="n">
        <v>0.1</v>
      </c>
      <c r="K1202" s="4" t="n">
        <f aca="false">G1202*H1202*(1-J1202)</f>
        <v>107.91</v>
      </c>
      <c r="L1202" s="4" t="n">
        <f aca="false">G1202*I1202</f>
        <v>35</v>
      </c>
      <c r="M1202" s="4" t="n">
        <f aca="false">K1202-L1202</f>
        <v>72.91</v>
      </c>
      <c r="N1202" s="6" t="n">
        <f aca="false">IF(K1202=0,0,M1202/K1202)</f>
        <v>0.675655638958391</v>
      </c>
      <c r="O1202" s="4" t="n">
        <f aca="false">(G1202*H1202)-K1202</f>
        <v>11.99</v>
      </c>
      <c r="P1202" s="3" t="s">
        <v>21</v>
      </c>
    </row>
    <row r="1203" customFormat="false" ht="15" hidden="false" customHeight="false" outlineLevel="0" collapsed="false">
      <c r="A1203" s="7" t="n">
        <v>46036</v>
      </c>
      <c r="B1203" s="8" t="s">
        <v>31</v>
      </c>
      <c r="C1203" s="8" t="s">
        <v>23</v>
      </c>
      <c r="D1203" s="8" t="s">
        <v>84</v>
      </c>
      <c r="E1203" s="8" t="s">
        <v>85</v>
      </c>
      <c r="F1203" s="8" t="s">
        <v>20</v>
      </c>
      <c r="G1203" s="8" t="n">
        <v>3</v>
      </c>
      <c r="H1203" s="9" t="n">
        <v>34.99</v>
      </c>
      <c r="I1203" s="9" t="n">
        <v>13</v>
      </c>
      <c r="J1203" s="10" t="n">
        <v>0.25</v>
      </c>
      <c r="K1203" s="9" t="n">
        <f aca="false">G1203*H1203*(1-J1203)</f>
        <v>78.7275</v>
      </c>
      <c r="L1203" s="9" t="n">
        <f aca="false">G1203*I1203</f>
        <v>39</v>
      </c>
      <c r="M1203" s="9" t="n">
        <f aca="false">K1203-L1203</f>
        <v>39.7275</v>
      </c>
      <c r="N1203" s="11" t="n">
        <f aca="false">IF(K1203=0,0,M1203/K1203)</f>
        <v>0.504620367724112</v>
      </c>
      <c r="O1203" s="9" t="n">
        <f aca="false">(G1203*H1203)-K1203</f>
        <v>26.2425</v>
      </c>
      <c r="P1203" s="8" t="s">
        <v>21</v>
      </c>
    </row>
    <row r="1204" customFormat="false" ht="15" hidden="false" customHeight="false" outlineLevel="0" collapsed="false">
      <c r="A1204" s="2" t="n">
        <v>46063</v>
      </c>
      <c r="B1204" s="3" t="s">
        <v>64</v>
      </c>
      <c r="C1204" s="3" t="s">
        <v>65</v>
      </c>
      <c r="D1204" s="3" t="s">
        <v>88</v>
      </c>
      <c r="E1204" s="3" t="s">
        <v>89</v>
      </c>
      <c r="F1204" s="3" t="s">
        <v>57</v>
      </c>
      <c r="G1204" s="3" t="n">
        <v>13</v>
      </c>
      <c r="H1204" s="4" t="n">
        <v>12.99</v>
      </c>
      <c r="I1204" s="4" t="n">
        <v>4.5</v>
      </c>
      <c r="J1204" s="5" t="n">
        <v>0.3</v>
      </c>
      <c r="K1204" s="4" t="n">
        <f aca="false">G1204*H1204*(1-J1204)</f>
        <v>118.209</v>
      </c>
      <c r="L1204" s="4" t="n">
        <f aca="false">G1204*I1204</f>
        <v>58.5</v>
      </c>
      <c r="M1204" s="4" t="n">
        <f aca="false">K1204-L1204</f>
        <v>59.709</v>
      </c>
      <c r="N1204" s="6" t="n">
        <f aca="false">IF(K1204=0,0,M1204/K1204)</f>
        <v>0.505113823820521</v>
      </c>
      <c r="O1204" s="4" t="n">
        <f aca="false">(G1204*H1204)-K1204</f>
        <v>50.661</v>
      </c>
      <c r="P1204" s="3" t="s">
        <v>21</v>
      </c>
    </row>
    <row r="1205" customFormat="false" ht="15" hidden="false" customHeight="false" outlineLevel="0" collapsed="false">
      <c r="A1205" s="7" t="n">
        <v>46055</v>
      </c>
      <c r="B1205" s="8" t="s">
        <v>27</v>
      </c>
      <c r="C1205" s="8" t="s">
        <v>28</v>
      </c>
      <c r="D1205" s="8" t="s">
        <v>61</v>
      </c>
      <c r="E1205" s="8" t="s">
        <v>62</v>
      </c>
      <c r="F1205" s="8" t="s">
        <v>34</v>
      </c>
      <c r="G1205" s="8" t="n">
        <v>15</v>
      </c>
      <c r="H1205" s="9" t="n">
        <v>14.99</v>
      </c>
      <c r="I1205" s="9" t="n">
        <v>4.5</v>
      </c>
      <c r="J1205" s="10" t="n">
        <v>0.1</v>
      </c>
      <c r="K1205" s="9" t="n">
        <f aca="false">G1205*H1205*(1-J1205)</f>
        <v>202.365</v>
      </c>
      <c r="L1205" s="9" t="n">
        <f aca="false">G1205*I1205</f>
        <v>67.5</v>
      </c>
      <c r="M1205" s="9" t="n">
        <f aca="false">K1205-L1205</f>
        <v>134.865</v>
      </c>
      <c r="N1205" s="11" t="n">
        <f aca="false">IF(K1205=0,0,M1205/K1205)</f>
        <v>0.666444296197465</v>
      </c>
      <c r="O1205" s="9" t="n">
        <f aca="false">(G1205*H1205)-K1205</f>
        <v>22.485</v>
      </c>
      <c r="P1205" s="8" t="s">
        <v>21</v>
      </c>
    </row>
    <row r="1206" customFormat="false" ht="15" hidden="false" customHeight="false" outlineLevel="0" collapsed="false">
      <c r="A1206" s="2" t="n">
        <v>46024</v>
      </c>
      <c r="B1206" s="3" t="s">
        <v>31</v>
      </c>
      <c r="C1206" s="3" t="s">
        <v>23</v>
      </c>
      <c r="D1206" s="3" t="s">
        <v>88</v>
      </c>
      <c r="E1206" s="3" t="s">
        <v>89</v>
      </c>
      <c r="F1206" s="3" t="s">
        <v>57</v>
      </c>
      <c r="G1206" s="3" t="n">
        <v>26</v>
      </c>
      <c r="H1206" s="4" t="n">
        <v>12.99</v>
      </c>
      <c r="I1206" s="4" t="n">
        <v>4.5</v>
      </c>
      <c r="J1206" s="5" t="n">
        <v>0.15</v>
      </c>
      <c r="K1206" s="4" t="n">
        <f aca="false">G1206*H1206*(1-J1206)</f>
        <v>287.079</v>
      </c>
      <c r="L1206" s="4" t="n">
        <f aca="false">G1206*I1206</f>
        <v>117</v>
      </c>
      <c r="M1206" s="4" t="n">
        <f aca="false">K1206-L1206</f>
        <v>170.079</v>
      </c>
      <c r="N1206" s="6" t="n">
        <f aca="false">IF(K1206=0,0,M1206/K1206)</f>
        <v>0.592446678440429</v>
      </c>
      <c r="O1206" s="4" t="n">
        <f aca="false">(G1206*H1206)-K1206</f>
        <v>50.661</v>
      </c>
      <c r="P1206" s="3" t="s">
        <v>21</v>
      </c>
    </row>
    <row r="1207" customFormat="false" ht="15" hidden="false" customHeight="false" outlineLevel="0" collapsed="false">
      <c r="A1207" s="7" t="n">
        <v>46028</v>
      </c>
      <c r="B1207" s="8" t="s">
        <v>16</v>
      </c>
      <c r="C1207" s="8" t="s">
        <v>17</v>
      </c>
      <c r="D1207" s="8" t="s">
        <v>78</v>
      </c>
      <c r="E1207" s="8" t="s">
        <v>79</v>
      </c>
      <c r="F1207" s="8" t="s">
        <v>20</v>
      </c>
      <c r="G1207" s="8" t="n">
        <v>6</v>
      </c>
      <c r="H1207" s="9" t="n">
        <v>39.99</v>
      </c>
      <c r="I1207" s="9" t="n">
        <v>16</v>
      </c>
      <c r="J1207" s="10" t="n">
        <v>0.05</v>
      </c>
      <c r="K1207" s="9" t="n">
        <f aca="false">G1207*H1207*(1-J1207)</f>
        <v>227.943</v>
      </c>
      <c r="L1207" s="9" t="n">
        <f aca="false">G1207*I1207</f>
        <v>96</v>
      </c>
      <c r="M1207" s="9" t="n">
        <f aca="false">K1207-L1207</f>
        <v>131.943</v>
      </c>
      <c r="N1207" s="11" t="n">
        <f aca="false">IF(K1207=0,0,M1207/K1207)</f>
        <v>0.578842078940788</v>
      </c>
      <c r="O1207" s="9" t="n">
        <f aca="false">(G1207*H1207)-K1207</f>
        <v>11.997</v>
      </c>
      <c r="P1207" s="8" t="s">
        <v>21</v>
      </c>
    </row>
    <row r="1208" customFormat="false" ht="15" hidden="false" customHeight="false" outlineLevel="0" collapsed="false">
      <c r="A1208" s="2" t="n">
        <v>46101</v>
      </c>
      <c r="B1208" s="3" t="s">
        <v>64</v>
      </c>
      <c r="C1208" s="3" t="s">
        <v>65</v>
      </c>
      <c r="D1208" s="3" t="s">
        <v>42</v>
      </c>
      <c r="E1208" s="3" t="s">
        <v>43</v>
      </c>
      <c r="F1208" s="3" t="s">
        <v>34</v>
      </c>
      <c r="G1208" s="3" t="n">
        <v>6</v>
      </c>
      <c r="H1208" s="4" t="n">
        <v>11.99</v>
      </c>
      <c r="I1208" s="4" t="n">
        <v>3.5</v>
      </c>
      <c r="J1208" s="5" t="n">
        <v>0</v>
      </c>
      <c r="K1208" s="4" t="n">
        <f aca="false">G1208*H1208*(1-J1208)</f>
        <v>71.94</v>
      </c>
      <c r="L1208" s="4" t="n">
        <f aca="false">G1208*I1208</f>
        <v>21</v>
      </c>
      <c r="M1208" s="4" t="n">
        <f aca="false">K1208-L1208</f>
        <v>50.94</v>
      </c>
      <c r="N1208" s="6" t="n">
        <f aca="false">IF(K1208=0,0,M1208/K1208)</f>
        <v>0.708090075062552</v>
      </c>
      <c r="O1208" s="4" t="n">
        <f aca="false">(G1208*H1208)-K1208</f>
        <v>0</v>
      </c>
      <c r="P1208" s="3" t="s">
        <v>21</v>
      </c>
    </row>
    <row r="1209" customFormat="false" ht="15" hidden="false" customHeight="false" outlineLevel="0" collapsed="false">
      <c r="A1209" s="7" t="n">
        <v>46032</v>
      </c>
      <c r="B1209" s="8" t="s">
        <v>37</v>
      </c>
      <c r="C1209" s="8" t="s">
        <v>17</v>
      </c>
      <c r="D1209" s="8" t="s">
        <v>42</v>
      </c>
      <c r="E1209" s="8" t="s">
        <v>43</v>
      </c>
      <c r="F1209" s="8" t="s">
        <v>34</v>
      </c>
      <c r="G1209" s="8" t="n">
        <v>21</v>
      </c>
      <c r="H1209" s="9" t="n">
        <v>11.99</v>
      </c>
      <c r="I1209" s="9" t="n">
        <v>3.5</v>
      </c>
      <c r="J1209" s="10" t="n">
        <v>0</v>
      </c>
      <c r="K1209" s="9" t="n">
        <f aca="false">G1209*H1209*(1-J1209)</f>
        <v>251.79</v>
      </c>
      <c r="L1209" s="9" t="n">
        <f aca="false">G1209*I1209</f>
        <v>73.5</v>
      </c>
      <c r="M1209" s="9" t="n">
        <f aca="false">K1209-L1209</f>
        <v>178.29</v>
      </c>
      <c r="N1209" s="11" t="n">
        <f aca="false">IF(K1209=0,0,M1209/K1209)</f>
        <v>0.708090075062552</v>
      </c>
      <c r="O1209" s="9" t="n">
        <f aca="false">(G1209*H1209)-K1209</f>
        <v>0</v>
      </c>
      <c r="P1209" s="8" t="s">
        <v>21</v>
      </c>
    </row>
    <row r="1210" customFormat="false" ht="15" hidden="false" customHeight="false" outlineLevel="0" collapsed="false">
      <c r="A1210" s="2" t="n">
        <v>46116</v>
      </c>
      <c r="B1210" s="3" t="s">
        <v>37</v>
      </c>
      <c r="C1210" s="3" t="s">
        <v>17</v>
      </c>
      <c r="D1210" s="3" t="s">
        <v>70</v>
      </c>
      <c r="E1210" s="3" t="s">
        <v>71</v>
      </c>
      <c r="F1210" s="3" t="s">
        <v>20</v>
      </c>
      <c r="G1210" s="3" t="n">
        <v>1</v>
      </c>
      <c r="H1210" s="4" t="n">
        <v>49.99</v>
      </c>
      <c r="I1210" s="4" t="n">
        <v>19</v>
      </c>
      <c r="J1210" s="5" t="n">
        <v>0.1</v>
      </c>
      <c r="K1210" s="4" t="n">
        <f aca="false">G1210*H1210*(1-J1210)</f>
        <v>44.991</v>
      </c>
      <c r="L1210" s="4" t="n">
        <f aca="false">G1210*I1210</f>
        <v>19</v>
      </c>
      <c r="M1210" s="4" t="n">
        <f aca="false">K1210-L1210</f>
        <v>25.991</v>
      </c>
      <c r="N1210" s="6" t="n">
        <f aca="false">IF(K1210=0,0,M1210/K1210)</f>
        <v>0.577693316441066</v>
      </c>
      <c r="O1210" s="4" t="n">
        <f aca="false">(G1210*H1210)-K1210</f>
        <v>4.999</v>
      </c>
      <c r="P1210" s="3" t="s">
        <v>21</v>
      </c>
    </row>
    <row r="1211" customFormat="false" ht="15" hidden="false" customHeight="false" outlineLevel="0" collapsed="false">
      <c r="A1211" s="7" t="n">
        <v>46057</v>
      </c>
      <c r="B1211" s="8" t="s">
        <v>58</v>
      </c>
      <c r="C1211" s="8" t="s">
        <v>58</v>
      </c>
      <c r="D1211" s="8" t="s">
        <v>86</v>
      </c>
      <c r="E1211" s="8" t="s">
        <v>87</v>
      </c>
      <c r="F1211" s="8" t="s">
        <v>40</v>
      </c>
      <c r="G1211" s="8" t="n">
        <v>17</v>
      </c>
      <c r="H1211" s="9" t="n">
        <v>16.99</v>
      </c>
      <c r="I1211" s="9" t="n">
        <v>5.5</v>
      </c>
      <c r="J1211" s="10" t="n">
        <v>0</v>
      </c>
      <c r="K1211" s="9" t="n">
        <f aca="false">G1211*H1211*(1-J1211)</f>
        <v>288.83</v>
      </c>
      <c r="L1211" s="9" t="n">
        <f aca="false">G1211*I1211</f>
        <v>93.5</v>
      </c>
      <c r="M1211" s="9" t="n">
        <f aca="false">K1211-L1211</f>
        <v>195.33</v>
      </c>
      <c r="N1211" s="11" t="n">
        <f aca="false">IF(K1211=0,0,M1211/K1211)</f>
        <v>0.676280164802825</v>
      </c>
      <c r="O1211" s="9" t="n">
        <f aca="false">(G1211*H1211)-K1211</f>
        <v>0</v>
      </c>
      <c r="P1211" s="8" t="s">
        <v>21</v>
      </c>
    </row>
    <row r="1212" customFormat="false" ht="15" hidden="false" customHeight="false" outlineLevel="0" collapsed="false">
      <c r="A1212" s="2" t="n">
        <v>46132</v>
      </c>
      <c r="B1212" s="3" t="s">
        <v>37</v>
      </c>
      <c r="C1212" s="3" t="s">
        <v>17</v>
      </c>
      <c r="D1212" s="3" t="s">
        <v>68</v>
      </c>
      <c r="E1212" s="3" t="s">
        <v>69</v>
      </c>
      <c r="F1212" s="3" t="s">
        <v>40</v>
      </c>
      <c r="G1212" s="3" t="n">
        <v>4</v>
      </c>
      <c r="H1212" s="4" t="n">
        <v>24.99</v>
      </c>
      <c r="I1212" s="4" t="n">
        <v>9</v>
      </c>
      <c r="J1212" s="5" t="n">
        <v>0.1</v>
      </c>
      <c r="K1212" s="4" t="n">
        <f aca="false">G1212*H1212*(1-J1212)</f>
        <v>89.964</v>
      </c>
      <c r="L1212" s="4" t="n">
        <f aca="false">G1212*I1212</f>
        <v>36</v>
      </c>
      <c r="M1212" s="4" t="n">
        <f aca="false">K1212-L1212</f>
        <v>53.964</v>
      </c>
      <c r="N1212" s="6" t="n">
        <f aca="false">IF(K1212=0,0,M1212/K1212)</f>
        <v>0.59983993597439</v>
      </c>
      <c r="O1212" s="4" t="n">
        <f aca="false">(G1212*H1212)-K1212</f>
        <v>9.996</v>
      </c>
      <c r="P1212" s="3" t="s">
        <v>21</v>
      </c>
    </row>
    <row r="1213" customFormat="false" ht="15" hidden="false" customHeight="false" outlineLevel="0" collapsed="false">
      <c r="A1213" s="7" t="n">
        <v>46085</v>
      </c>
      <c r="B1213" s="8" t="s">
        <v>58</v>
      </c>
      <c r="C1213" s="8" t="s">
        <v>58</v>
      </c>
      <c r="D1213" s="8" t="s">
        <v>82</v>
      </c>
      <c r="E1213" s="8" t="s">
        <v>83</v>
      </c>
      <c r="F1213" s="8" t="s">
        <v>26</v>
      </c>
      <c r="G1213" s="8" t="n">
        <v>21</v>
      </c>
      <c r="H1213" s="9" t="n">
        <v>44.99</v>
      </c>
      <c r="I1213" s="9" t="n">
        <v>18</v>
      </c>
      <c r="J1213" s="10" t="n">
        <v>0</v>
      </c>
      <c r="K1213" s="9" t="n">
        <f aca="false">G1213*H1213*(1-J1213)</f>
        <v>944.79</v>
      </c>
      <c r="L1213" s="9" t="n">
        <f aca="false">G1213*I1213</f>
        <v>378</v>
      </c>
      <c r="M1213" s="9" t="n">
        <f aca="false">K1213-L1213</f>
        <v>566.79</v>
      </c>
      <c r="N1213" s="11" t="n">
        <f aca="false">IF(K1213=0,0,M1213/K1213)</f>
        <v>0.599911091353634</v>
      </c>
      <c r="O1213" s="9" t="n">
        <f aca="false">(G1213*H1213)-K1213</f>
        <v>0</v>
      </c>
      <c r="P1213" s="8" t="s">
        <v>21</v>
      </c>
    </row>
    <row r="1214" customFormat="false" ht="15" hidden="false" customHeight="false" outlineLevel="0" collapsed="false">
      <c r="A1214" s="2" t="n">
        <v>46087</v>
      </c>
      <c r="B1214" s="3" t="s">
        <v>27</v>
      </c>
      <c r="C1214" s="3" t="s">
        <v>28</v>
      </c>
      <c r="D1214" s="3" t="s">
        <v>95</v>
      </c>
      <c r="E1214" s="3" t="s">
        <v>96</v>
      </c>
      <c r="F1214" s="3" t="s">
        <v>50</v>
      </c>
      <c r="G1214" s="3" t="n">
        <v>22</v>
      </c>
      <c r="H1214" s="4" t="n">
        <v>34.99</v>
      </c>
      <c r="I1214" s="4" t="n">
        <v>12</v>
      </c>
      <c r="J1214" s="5" t="n">
        <v>0.2</v>
      </c>
      <c r="K1214" s="4" t="n">
        <f aca="false">G1214*H1214*(1-J1214)</f>
        <v>615.824</v>
      </c>
      <c r="L1214" s="4" t="n">
        <f aca="false">G1214*I1214</f>
        <v>264</v>
      </c>
      <c r="M1214" s="4" t="n">
        <f aca="false">K1214-L1214</f>
        <v>351.824</v>
      </c>
      <c r="N1214" s="6" t="n">
        <f aca="false">IF(K1214=0,0,M1214/K1214)</f>
        <v>0.571306087453558</v>
      </c>
      <c r="O1214" s="4" t="n">
        <f aca="false">(G1214*H1214)-K1214</f>
        <v>153.956</v>
      </c>
      <c r="P1214" s="3" t="s">
        <v>21</v>
      </c>
    </row>
    <row r="1215" customFormat="false" ht="15" hidden="false" customHeight="false" outlineLevel="0" collapsed="false">
      <c r="A1215" s="7" t="n">
        <v>46076</v>
      </c>
      <c r="B1215" s="8" t="s">
        <v>41</v>
      </c>
      <c r="C1215" s="8" t="s">
        <v>28</v>
      </c>
      <c r="D1215" s="8" t="s">
        <v>86</v>
      </c>
      <c r="E1215" s="8" t="s">
        <v>87</v>
      </c>
      <c r="F1215" s="8" t="s">
        <v>40</v>
      </c>
      <c r="G1215" s="8" t="n">
        <v>13</v>
      </c>
      <c r="H1215" s="9" t="n">
        <v>16.99</v>
      </c>
      <c r="I1215" s="9" t="n">
        <v>5.5</v>
      </c>
      <c r="J1215" s="10" t="n">
        <v>0.15</v>
      </c>
      <c r="K1215" s="9" t="n">
        <f aca="false">G1215*H1215*(1-J1215)</f>
        <v>187.7395</v>
      </c>
      <c r="L1215" s="9" t="n">
        <f aca="false">G1215*I1215</f>
        <v>71.5</v>
      </c>
      <c r="M1215" s="9" t="n">
        <f aca="false">K1215-L1215</f>
        <v>116.2395</v>
      </c>
      <c r="N1215" s="11" t="n">
        <f aca="false">IF(K1215=0,0,M1215/K1215)</f>
        <v>0.619153135062147</v>
      </c>
      <c r="O1215" s="9" t="n">
        <f aca="false">(G1215*H1215)-K1215</f>
        <v>33.1305</v>
      </c>
      <c r="P1215" s="8" t="s">
        <v>21</v>
      </c>
    </row>
    <row r="1216" customFormat="false" ht="15" hidden="false" customHeight="false" outlineLevel="0" collapsed="false">
      <c r="A1216" s="2" t="n">
        <v>46076</v>
      </c>
      <c r="B1216" s="3" t="s">
        <v>37</v>
      </c>
      <c r="C1216" s="3" t="s">
        <v>17</v>
      </c>
      <c r="D1216" s="3" t="s">
        <v>93</v>
      </c>
      <c r="E1216" s="3" t="s">
        <v>94</v>
      </c>
      <c r="F1216" s="3" t="s">
        <v>34</v>
      </c>
      <c r="G1216" s="3" t="n">
        <v>22</v>
      </c>
      <c r="H1216" s="4" t="n">
        <v>29.99</v>
      </c>
      <c r="I1216" s="4" t="n">
        <v>9</v>
      </c>
      <c r="J1216" s="5" t="n">
        <v>0.1</v>
      </c>
      <c r="K1216" s="4" t="n">
        <f aca="false">G1216*H1216*(1-J1216)</f>
        <v>593.802</v>
      </c>
      <c r="L1216" s="4" t="n">
        <f aca="false">G1216*I1216</f>
        <v>198</v>
      </c>
      <c r="M1216" s="4" t="n">
        <f aca="false">K1216-L1216</f>
        <v>395.802</v>
      </c>
      <c r="N1216" s="6" t="n">
        <f aca="false">IF(K1216=0,0,M1216/K1216)</f>
        <v>0.666555518506169</v>
      </c>
      <c r="O1216" s="4" t="n">
        <f aca="false">(G1216*H1216)-K1216</f>
        <v>65.978</v>
      </c>
      <c r="P1216" s="3" t="s">
        <v>21</v>
      </c>
    </row>
    <row r="1217" customFormat="false" ht="15" hidden="false" customHeight="false" outlineLevel="0" collapsed="false">
      <c r="A1217" s="7" t="n">
        <v>46050</v>
      </c>
      <c r="B1217" s="8" t="s">
        <v>64</v>
      </c>
      <c r="C1217" s="8" t="s">
        <v>65</v>
      </c>
      <c r="D1217" s="8" t="s">
        <v>44</v>
      </c>
      <c r="E1217" s="8" t="s">
        <v>45</v>
      </c>
      <c r="F1217" s="8" t="s">
        <v>40</v>
      </c>
      <c r="G1217" s="8" t="n">
        <v>7</v>
      </c>
      <c r="H1217" s="9" t="n">
        <v>29.99</v>
      </c>
      <c r="I1217" s="9" t="n">
        <v>11</v>
      </c>
      <c r="J1217" s="10" t="n">
        <v>0.15</v>
      </c>
      <c r="K1217" s="9" t="n">
        <f aca="false">G1217*H1217*(1-J1217)</f>
        <v>178.4405</v>
      </c>
      <c r="L1217" s="9" t="n">
        <f aca="false">G1217*I1217</f>
        <v>77</v>
      </c>
      <c r="M1217" s="9" t="n">
        <f aca="false">K1217-L1217</f>
        <v>101.4405</v>
      </c>
      <c r="N1217" s="11" t="n">
        <f aca="false">IF(K1217=0,0,M1217/K1217)</f>
        <v>0.568483612184454</v>
      </c>
      <c r="O1217" s="9" t="n">
        <f aca="false">(G1217*H1217)-K1217</f>
        <v>31.4895</v>
      </c>
      <c r="P1217" s="8" t="s">
        <v>21</v>
      </c>
    </row>
    <row r="1218" customFormat="false" ht="15" hidden="false" customHeight="false" outlineLevel="0" collapsed="false">
      <c r="A1218" s="2" t="n">
        <v>46109</v>
      </c>
      <c r="B1218" s="3" t="s">
        <v>41</v>
      </c>
      <c r="C1218" s="3" t="s">
        <v>28</v>
      </c>
      <c r="D1218" s="3" t="s">
        <v>70</v>
      </c>
      <c r="E1218" s="3" t="s">
        <v>71</v>
      </c>
      <c r="F1218" s="3" t="s">
        <v>20</v>
      </c>
      <c r="G1218" s="3" t="n">
        <v>10</v>
      </c>
      <c r="H1218" s="4" t="n">
        <v>49.99</v>
      </c>
      <c r="I1218" s="4" t="n">
        <v>19</v>
      </c>
      <c r="J1218" s="5" t="n">
        <v>0.25</v>
      </c>
      <c r="K1218" s="4" t="n">
        <f aca="false">G1218*H1218*(1-J1218)</f>
        <v>374.925</v>
      </c>
      <c r="L1218" s="4" t="n">
        <f aca="false">G1218*I1218</f>
        <v>190</v>
      </c>
      <c r="M1218" s="4" t="n">
        <f aca="false">K1218-L1218</f>
        <v>184.925</v>
      </c>
      <c r="N1218" s="6" t="n">
        <f aca="false">IF(K1218=0,0,M1218/K1218)</f>
        <v>0.493231979729279</v>
      </c>
      <c r="O1218" s="4" t="n">
        <f aca="false">(G1218*H1218)-K1218</f>
        <v>124.975</v>
      </c>
      <c r="P1218" s="3" t="s">
        <v>21</v>
      </c>
    </row>
    <row r="1219" customFormat="false" ht="15" hidden="false" customHeight="false" outlineLevel="0" collapsed="false">
      <c r="A1219" s="7" t="n">
        <v>46084</v>
      </c>
      <c r="B1219" s="8" t="s">
        <v>58</v>
      </c>
      <c r="C1219" s="8" t="s">
        <v>58</v>
      </c>
      <c r="D1219" s="8" t="s">
        <v>24</v>
      </c>
      <c r="E1219" s="8" t="s">
        <v>25</v>
      </c>
      <c r="F1219" s="8" t="s">
        <v>26</v>
      </c>
      <c r="G1219" s="8" t="n">
        <v>11</v>
      </c>
      <c r="H1219" s="9" t="n">
        <v>54.99</v>
      </c>
      <c r="I1219" s="9" t="n">
        <v>24</v>
      </c>
      <c r="J1219" s="10" t="n">
        <v>0.25</v>
      </c>
      <c r="K1219" s="9" t="n">
        <f aca="false">G1219*H1219*(1-J1219)</f>
        <v>453.6675</v>
      </c>
      <c r="L1219" s="9" t="n">
        <f aca="false">G1219*I1219</f>
        <v>264</v>
      </c>
      <c r="M1219" s="9" t="n">
        <f aca="false">K1219-L1219</f>
        <v>189.6675</v>
      </c>
      <c r="N1219" s="11" t="n">
        <f aca="false">IF(K1219=0,0,M1219/K1219)</f>
        <v>0.418076013820695</v>
      </c>
      <c r="O1219" s="9" t="n">
        <f aca="false">(G1219*H1219)-K1219</f>
        <v>151.2225</v>
      </c>
      <c r="P1219" s="8" t="s">
        <v>21</v>
      </c>
    </row>
    <row r="1220" customFormat="false" ht="15" hidden="false" customHeight="false" outlineLevel="0" collapsed="false">
      <c r="A1220" s="2" t="n">
        <v>46080</v>
      </c>
      <c r="B1220" s="3" t="s">
        <v>16</v>
      </c>
      <c r="C1220" s="3" t="s">
        <v>17</v>
      </c>
      <c r="D1220" s="3" t="s">
        <v>86</v>
      </c>
      <c r="E1220" s="3" t="s">
        <v>87</v>
      </c>
      <c r="F1220" s="3" t="s">
        <v>40</v>
      </c>
      <c r="G1220" s="3" t="n">
        <v>23</v>
      </c>
      <c r="H1220" s="4" t="n">
        <v>16.99</v>
      </c>
      <c r="I1220" s="4" t="n">
        <v>5.5</v>
      </c>
      <c r="J1220" s="5" t="n">
        <v>0.15</v>
      </c>
      <c r="K1220" s="4" t="n">
        <f aca="false">G1220*H1220*(1-J1220)</f>
        <v>332.1545</v>
      </c>
      <c r="L1220" s="4" t="n">
        <f aca="false">G1220*I1220</f>
        <v>126.5</v>
      </c>
      <c r="M1220" s="4" t="n">
        <f aca="false">K1220-L1220</f>
        <v>205.6545</v>
      </c>
      <c r="N1220" s="6" t="n">
        <f aca="false">IF(K1220=0,0,M1220/K1220)</f>
        <v>0.619153135062147</v>
      </c>
      <c r="O1220" s="4" t="n">
        <f aca="false">(G1220*H1220)-K1220</f>
        <v>58.6155</v>
      </c>
      <c r="P1220" s="3" t="s">
        <v>21</v>
      </c>
    </row>
    <row r="1221" customFormat="false" ht="15" hidden="false" customHeight="false" outlineLevel="0" collapsed="false">
      <c r="A1221" s="7" t="n">
        <v>46040</v>
      </c>
      <c r="B1221" s="8" t="s">
        <v>37</v>
      </c>
      <c r="C1221" s="8" t="s">
        <v>17</v>
      </c>
      <c r="D1221" s="8" t="s">
        <v>84</v>
      </c>
      <c r="E1221" s="8" t="s">
        <v>85</v>
      </c>
      <c r="F1221" s="8" t="s">
        <v>20</v>
      </c>
      <c r="G1221" s="8" t="n">
        <v>23</v>
      </c>
      <c r="H1221" s="9" t="n">
        <v>34.99</v>
      </c>
      <c r="I1221" s="9" t="n">
        <v>13</v>
      </c>
      <c r="J1221" s="10" t="n">
        <v>0</v>
      </c>
      <c r="K1221" s="9" t="n">
        <f aca="false">G1221*H1221*(1-J1221)</f>
        <v>804.77</v>
      </c>
      <c r="L1221" s="9" t="n">
        <f aca="false">G1221*I1221</f>
        <v>299</v>
      </c>
      <c r="M1221" s="9" t="n">
        <f aca="false">K1221-L1221</f>
        <v>505.77</v>
      </c>
      <c r="N1221" s="11" t="n">
        <f aca="false">IF(K1221=0,0,M1221/K1221)</f>
        <v>0.628465275793084</v>
      </c>
      <c r="O1221" s="9" t="n">
        <f aca="false">(G1221*H1221)-K1221</f>
        <v>0</v>
      </c>
      <c r="P1221" s="8" t="s">
        <v>21</v>
      </c>
    </row>
    <row r="1222" customFormat="false" ht="15" hidden="false" customHeight="false" outlineLevel="0" collapsed="false">
      <c r="A1222" s="2" t="n">
        <v>46060</v>
      </c>
      <c r="B1222" s="3" t="s">
        <v>37</v>
      </c>
      <c r="C1222" s="3" t="s">
        <v>17</v>
      </c>
      <c r="D1222" s="3" t="s">
        <v>51</v>
      </c>
      <c r="E1222" s="3" t="s">
        <v>52</v>
      </c>
      <c r="F1222" s="3" t="s">
        <v>50</v>
      </c>
      <c r="G1222" s="3" t="n">
        <v>6</v>
      </c>
      <c r="H1222" s="4" t="n">
        <v>19.99</v>
      </c>
      <c r="I1222" s="4" t="n">
        <v>7</v>
      </c>
      <c r="J1222" s="5" t="n">
        <v>0.05</v>
      </c>
      <c r="K1222" s="4" t="n">
        <f aca="false">G1222*H1222*(1-J1222)</f>
        <v>113.943</v>
      </c>
      <c r="L1222" s="4" t="n">
        <f aca="false">G1222*I1222</f>
        <v>42</v>
      </c>
      <c r="M1222" s="4" t="n">
        <f aca="false">K1222-L1222</f>
        <v>71.943</v>
      </c>
      <c r="N1222" s="6" t="n">
        <f aca="false">IF(K1222=0,0,M1222/K1222)</f>
        <v>0.631394644690766</v>
      </c>
      <c r="O1222" s="4" t="n">
        <f aca="false">(G1222*H1222)-K1222</f>
        <v>5.997</v>
      </c>
      <c r="P1222" s="3" t="s">
        <v>21</v>
      </c>
    </row>
    <row r="1223" customFormat="false" ht="15" hidden="false" customHeight="false" outlineLevel="0" collapsed="false">
      <c r="A1223" s="7" t="n">
        <v>46075</v>
      </c>
      <c r="B1223" s="8" t="s">
        <v>41</v>
      </c>
      <c r="C1223" s="8" t="s">
        <v>28</v>
      </c>
      <c r="D1223" s="8" t="s">
        <v>76</v>
      </c>
      <c r="E1223" s="8" t="s">
        <v>77</v>
      </c>
      <c r="F1223" s="8" t="s">
        <v>34</v>
      </c>
      <c r="G1223" s="8" t="n">
        <v>24</v>
      </c>
      <c r="H1223" s="9" t="n">
        <v>44.99</v>
      </c>
      <c r="I1223" s="9" t="n">
        <v>14</v>
      </c>
      <c r="J1223" s="10" t="n">
        <v>0</v>
      </c>
      <c r="K1223" s="9" t="n">
        <f aca="false">G1223*H1223*(1-J1223)</f>
        <v>1079.76</v>
      </c>
      <c r="L1223" s="9" t="n">
        <f aca="false">G1223*I1223</f>
        <v>336</v>
      </c>
      <c r="M1223" s="9" t="n">
        <f aca="false">K1223-L1223</f>
        <v>743.76</v>
      </c>
      <c r="N1223" s="11" t="n">
        <f aca="false">IF(K1223=0,0,M1223/K1223)</f>
        <v>0.688819737719493</v>
      </c>
      <c r="O1223" s="9" t="n">
        <f aca="false">(G1223*H1223)-K1223</f>
        <v>0</v>
      </c>
      <c r="P1223" s="8" t="s">
        <v>21</v>
      </c>
    </row>
    <row r="1224" customFormat="false" ht="15" hidden="false" customHeight="false" outlineLevel="0" collapsed="false">
      <c r="A1224" s="2" t="n">
        <v>46127</v>
      </c>
      <c r="B1224" s="3" t="s">
        <v>22</v>
      </c>
      <c r="C1224" s="3" t="s">
        <v>23</v>
      </c>
      <c r="D1224" s="3" t="s">
        <v>70</v>
      </c>
      <c r="E1224" s="3" t="s">
        <v>71</v>
      </c>
      <c r="F1224" s="3" t="s">
        <v>20</v>
      </c>
      <c r="G1224" s="3" t="n">
        <v>25</v>
      </c>
      <c r="H1224" s="4" t="n">
        <v>49.99</v>
      </c>
      <c r="I1224" s="4" t="n">
        <v>19</v>
      </c>
      <c r="J1224" s="5" t="n">
        <v>0.1</v>
      </c>
      <c r="K1224" s="4" t="n">
        <f aca="false">G1224*H1224*(1-J1224)</f>
        <v>1124.775</v>
      </c>
      <c r="L1224" s="4" t="n">
        <f aca="false">G1224*I1224</f>
        <v>475</v>
      </c>
      <c r="M1224" s="4" t="n">
        <f aca="false">K1224-L1224</f>
        <v>649.775</v>
      </c>
      <c r="N1224" s="6" t="n">
        <f aca="false">IF(K1224=0,0,M1224/K1224)</f>
        <v>0.577693316441066</v>
      </c>
      <c r="O1224" s="4" t="n">
        <f aca="false">(G1224*H1224)-K1224</f>
        <v>124.975</v>
      </c>
      <c r="P1224" s="3" t="s">
        <v>21</v>
      </c>
    </row>
    <row r="1225" customFormat="false" ht="15" hidden="false" customHeight="false" outlineLevel="0" collapsed="false">
      <c r="A1225" s="7" t="n">
        <v>46071</v>
      </c>
      <c r="B1225" s="8" t="s">
        <v>64</v>
      </c>
      <c r="C1225" s="8" t="s">
        <v>65</v>
      </c>
      <c r="D1225" s="8" t="s">
        <v>84</v>
      </c>
      <c r="E1225" s="8" t="s">
        <v>85</v>
      </c>
      <c r="F1225" s="8" t="s">
        <v>20</v>
      </c>
      <c r="G1225" s="8" t="n">
        <v>22</v>
      </c>
      <c r="H1225" s="9" t="n">
        <v>34.99</v>
      </c>
      <c r="I1225" s="9" t="n">
        <v>13</v>
      </c>
      <c r="J1225" s="10" t="n">
        <v>0.3</v>
      </c>
      <c r="K1225" s="9" t="n">
        <f aca="false">G1225*H1225*(1-J1225)</f>
        <v>538.846</v>
      </c>
      <c r="L1225" s="9" t="n">
        <f aca="false">G1225*I1225</f>
        <v>286</v>
      </c>
      <c r="M1225" s="9" t="n">
        <f aca="false">K1225-L1225</f>
        <v>252.846</v>
      </c>
      <c r="N1225" s="11" t="n">
        <f aca="false">IF(K1225=0,0,M1225/K1225)</f>
        <v>0.469236108275834</v>
      </c>
      <c r="O1225" s="9" t="n">
        <f aca="false">(G1225*H1225)-K1225</f>
        <v>230.934</v>
      </c>
      <c r="P1225" s="8" t="s">
        <v>21</v>
      </c>
    </row>
    <row r="1226" customFormat="false" ht="15" hidden="false" customHeight="false" outlineLevel="0" collapsed="false">
      <c r="A1226" s="2" t="n">
        <v>46049</v>
      </c>
      <c r="B1226" s="3" t="s">
        <v>27</v>
      </c>
      <c r="C1226" s="3" t="s">
        <v>28</v>
      </c>
      <c r="D1226" s="3" t="s">
        <v>29</v>
      </c>
      <c r="E1226" s="3" t="s">
        <v>30</v>
      </c>
      <c r="F1226" s="3" t="s">
        <v>20</v>
      </c>
      <c r="G1226" s="3" t="n">
        <v>14</v>
      </c>
      <c r="H1226" s="4" t="n">
        <v>89.99</v>
      </c>
      <c r="I1226" s="4" t="n">
        <v>42</v>
      </c>
      <c r="J1226" s="5" t="n">
        <v>0.5</v>
      </c>
      <c r="K1226" s="4" t="n">
        <f aca="false">G1226*H1226*(1-J1226)</f>
        <v>629.93</v>
      </c>
      <c r="L1226" s="4" t="n">
        <f aca="false">G1226*I1226</f>
        <v>588</v>
      </c>
      <c r="M1226" s="4" t="n">
        <f aca="false">K1226-L1226</f>
        <v>41.93</v>
      </c>
      <c r="N1226" s="6" t="n">
        <f aca="false">IF(K1226=0,0,M1226/K1226)</f>
        <v>0.0665629514390487</v>
      </c>
      <c r="O1226" s="4" t="n">
        <f aca="false">(G1226*H1226)-K1226</f>
        <v>629.93</v>
      </c>
      <c r="P1226" s="14" t="s">
        <v>97</v>
      </c>
    </row>
    <row r="1227" customFormat="false" ht="15" hidden="false" customHeight="false" outlineLevel="0" collapsed="false">
      <c r="A1227" s="7" t="n">
        <v>46034</v>
      </c>
      <c r="B1227" s="8" t="s">
        <v>41</v>
      </c>
      <c r="C1227" s="8" t="s">
        <v>28</v>
      </c>
      <c r="D1227" s="8" t="s">
        <v>76</v>
      </c>
      <c r="E1227" s="8" t="s">
        <v>77</v>
      </c>
      <c r="F1227" s="8" t="s">
        <v>34</v>
      </c>
      <c r="G1227" s="8" t="n">
        <v>12</v>
      </c>
      <c r="H1227" s="9" t="n">
        <v>44.99</v>
      </c>
      <c r="I1227" s="9" t="n">
        <v>14</v>
      </c>
      <c r="J1227" s="10" t="n">
        <v>0</v>
      </c>
      <c r="K1227" s="9" t="n">
        <f aca="false">G1227*H1227*(1-J1227)</f>
        <v>539.88</v>
      </c>
      <c r="L1227" s="9" t="n">
        <f aca="false">G1227*I1227</f>
        <v>168</v>
      </c>
      <c r="M1227" s="9" t="n">
        <f aca="false">K1227-L1227</f>
        <v>371.88</v>
      </c>
      <c r="N1227" s="11" t="n">
        <f aca="false">IF(K1227=0,0,M1227/K1227)</f>
        <v>0.688819737719493</v>
      </c>
      <c r="O1227" s="9" t="n">
        <f aca="false">(G1227*H1227)-K1227</f>
        <v>0</v>
      </c>
      <c r="P1227" s="8" t="s">
        <v>21</v>
      </c>
    </row>
    <row r="1228" customFormat="false" ht="15" hidden="false" customHeight="false" outlineLevel="0" collapsed="false">
      <c r="A1228" s="2" t="n">
        <v>46055</v>
      </c>
      <c r="B1228" s="3" t="s">
        <v>31</v>
      </c>
      <c r="C1228" s="3" t="s">
        <v>23</v>
      </c>
      <c r="D1228" s="3" t="s">
        <v>59</v>
      </c>
      <c r="E1228" s="3" t="s">
        <v>60</v>
      </c>
      <c r="F1228" s="3" t="s">
        <v>50</v>
      </c>
      <c r="G1228" s="3" t="n">
        <v>4</v>
      </c>
      <c r="H1228" s="4" t="n">
        <v>24.99</v>
      </c>
      <c r="I1228" s="4" t="n">
        <v>8.5</v>
      </c>
      <c r="J1228" s="5" t="n">
        <v>0</v>
      </c>
      <c r="K1228" s="4" t="n">
        <f aca="false">G1228*H1228*(1-J1228)</f>
        <v>99.96</v>
      </c>
      <c r="L1228" s="4" t="n">
        <f aca="false">G1228*I1228</f>
        <v>34</v>
      </c>
      <c r="M1228" s="4" t="n">
        <f aca="false">K1228-L1228</f>
        <v>65.96</v>
      </c>
      <c r="N1228" s="6" t="n">
        <f aca="false">IF(K1228=0,0,M1228/K1228)</f>
        <v>0.659863945578231</v>
      </c>
      <c r="O1228" s="4" t="n">
        <f aca="false">(G1228*H1228)-K1228</f>
        <v>0</v>
      </c>
      <c r="P1228" s="3" t="s">
        <v>21</v>
      </c>
    </row>
    <row r="1229" customFormat="false" ht="15" hidden="false" customHeight="false" outlineLevel="0" collapsed="false">
      <c r="A1229" s="7" t="n">
        <v>46078</v>
      </c>
      <c r="B1229" s="8" t="s">
        <v>37</v>
      </c>
      <c r="C1229" s="8" t="s">
        <v>17</v>
      </c>
      <c r="D1229" s="8" t="s">
        <v>44</v>
      </c>
      <c r="E1229" s="8" t="s">
        <v>45</v>
      </c>
      <c r="F1229" s="8" t="s">
        <v>40</v>
      </c>
      <c r="G1229" s="8" t="n">
        <v>21</v>
      </c>
      <c r="H1229" s="9" t="n">
        <v>29.99</v>
      </c>
      <c r="I1229" s="9" t="n">
        <v>11</v>
      </c>
      <c r="J1229" s="10" t="n">
        <v>0</v>
      </c>
      <c r="K1229" s="9" t="n">
        <f aca="false">G1229*H1229*(1-J1229)</f>
        <v>629.79</v>
      </c>
      <c r="L1229" s="9" t="n">
        <f aca="false">G1229*I1229</f>
        <v>231</v>
      </c>
      <c r="M1229" s="9" t="n">
        <f aca="false">K1229-L1229</f>
        <v>398.79</v>
      </c>
      <c r="N1229" s="11" t="n">
        <f aca="false">IF(K1229=0,0,M1229/K1229)</f>
        <v>0.633211070356786</v>
      </c>
      <c r="O1229" s="9" t="n">
        <f aca="false">(G1229*H1229)-K1229</f>
        <v>0</v>
      </c>
      <c r="P1229" s="8" t="s">
        <v>21</v>
      </c>
    </row>
    <row r="1230" customFormat="false" ht="15" hidden="false" customHeight="false" outlineLevel="0" collapsed="false">
      <c r="A1230" s="2" t="n">
        <v>46129</v>
      </c>
      <c r="B1230" s="3" t="s">
        <v>37</v>
      </c>
      <c r="C1230" s="3" t="s">
        <v>17</v>
      </c>
      <c r="D1230" s="3" t="s">
        <v>51</v>
      </c>
      <c r="E1230" s="3" t="s">
        <v>52</v>
      </c>
      <c r="F1230" s="3" t="s">
        <v>50</v>
      </c>
      <c r="G1230" s="3" t="n">
        <v>22</v>
      </c>
      <c r="H1230" s="4" t="n">
        <v>19.99</v>
      </c>
      <c r="I1230" s="4" t="n">
        <v>7</v>
      </c>
      <c r="J1230" s="5" t="n">
        <v>0.25</v>
      </c>
      <c r="K1230" s="4" t="n">
        <f aca="false">G1230*H1230*(1-J1230)</f>
        <v>329.835</v>
      </c>
      <c r="L1230" s="4" t="n">
        <f aca="false">G1230*I1230</f>
        <v>154</v>
      </c>
      <c r="M1230" s="4" t="n">
        <f aca="false">K1230-L1230</f>
        <v>175.835</v>
      </c>
      <c r="N1230" s="6" t="n">
        <f aca="false">IF(K1230=0,0,M1230/K1230)</f>
        <v>0.533099883274971</v>
      </c>
      <c r="O1230" s="4" t="n">
        <f aca="false">(G1230*H1230)-K1230</f>
        <v>109.945</v>
      </c>
      <c r="P1230" s="3" t="s">
        <v>21</v>
      </c>
    </row>
    <row r="1231" customFormat="false" ht="15" hidden="false" customHeight="false" outlineLevel="0" collapsed="false">
      <c r="A1231" s="7" t="n">
        <v>46127</v>
      </c>
      <c r="B1231" s="8" t="s">
        <v>22</v>
      </c>
      <c r="C1231" s="8" t="s">
        <v>23</v>
      </c>
      <c r="D1231" s="8" t="s">
        <v>68</v>
      </c>
      <c r="E1231" s="8" t="s">
        <v>69</v>
      </c>
      <c r="F1231" s="8" t="s">
        <v>40</v>
      </c>
      <c r="G1231" s="8" t="n">
        <v>14</v>
      </c>
      <c r="H1231" s="9" t="n">
        <v>24.99</v>
      </c>
      <c r="I1231" s="9" t="n">
        <v>9</v>
      </c>
      <c r="J1231" s="10" t="n">
        <v>0</v>
      </c>
      <c r="K1231" s="9" t="n">
        <f aca="false">G1231*H1231*(1-J1231)</f>
        <v>349.86</v>
      </c>
      <c r="L1231" s="9" t="n">
        <f aca="false">G1231*I1231</f>
        <v>126</v>
      </c>
      <c r="M1231" s="9" t="n">
        <f aca="false">K1231-L1231</f>
        <v>223.86</v>
      </c>
      <c r="N1231" s="11" t="n">
        <f aca="false">IF(K1231=0,0,M1231/K1231)</f>
        <v>0.639855942376951</v>
      </c>
      <c r="O1231" s="9" t="n">
        <f aca="false">(G1231*H1231)-K1231</f>
        <v>0</v>
      </c>
      <c r="P1231" s="8" t="s">
        <v>21</v>
      </c>
    </row>
    <row r="1232" customFormat="false" ht="15" hidden="false" customHeight="false" outlineLevel="0" collapsed="false">
      <c r="A1232" s="2" t="n">
        <v>46073</v>
      </c>
      <c r="B1232" s="3" t="s">
        <v>22</v>
      </c>
      <c r="C1232" s="3" t="s">
        <v>23</v>
      </c>
      <c r="D1232" s="3" t="s">
        <v>18</v>
      </c>
      <c r="E1232" s="3" t="s">
        <v>19</v>
      </c>
      <c r="F1232" s="3" t="s">
        <v>20</v>
      </c>
      <c r="G1232" s="3" t="n">
        <v>17</v>
      </c>
      <c r="H1232" s="4" t="n">
        <v>26.99</v>
      </c>
      <c r="I1232" s="4" t="n">
        <v>10.5</v>
      </c>
      <c r="J1232" s="5" t="n">
        <v>0.3</v>
      </c>
      <c r="K1232" s="4" t="n">
        <f aca="false">G1232*H1232*(1-J1232)</f>
        <v>321.181</v>
      </c>
      <c r="L1232" s="4" t="n">
        <f aca="false">G1232*I1232</f>
        <v>178.5</v>
      </c>
      <c r="M1232" s="4" t="n">
        <f aca="false">K1232-L1232</f>
        <v>142.681</v>
      </c>
      <c r="N1232" s="6" t="n">
        <f aca="false">IF(K1232=0,0,M1232/K1232)</f>
        <v>0.444238606891441</v>
      </c>
      <c r="O1232" s="4" t="n">
        <f aca="false">(G1232*H1232)-K1232</f>
        <v>137.649</v>
      </c>
      <c r="P1232" s="3" t="s">
        <v>21</v>
      </c>
    </row>
    <row r="1233" customFormat="false" ht="15" hidden="false" customHeight="false" outlineLevel="0" collapsed="false">
      <c r="A1233" s="7" t="n">
        <v>46029</v>
      </c>
      <c r="B1233" s="8" t="s">
        <v>27</v>
      </c>
      <c r="C1233" s="8" t="s">
        <v>28</v>
      </c>
      <c r="D1233" s="8" t="s">
        <v>42</v>
      </c>
      <c r="E1233" s="8" t="s">
        <v>43</v>
      </c>
      <c r="F1233" s="8" t="s">
        <v>34</v>
      </c>
      <c r="G1233" s="8" t="n">
        <v>27</v>
      </c>
      <c r="H1233" s="9" t="n">
        <v>11.99</v>
      </c>
      <c r="I1233" s="9" t="n">
        <v>3.5</v>
      </c>
      <c r="J1233" s="10" t="n">
        <v>0</v>
      </c>
      <c r="K1233" s="9" t="n">
        <f aca="false">G1233*H1233*(1-J1233)</f>
        <v>323.73</v>
      </c>
      <c r="L1233" s="9" t="n">
        <f aca="false">G1233*I1233</f>
        <v>94.5</v>
      </c>
      <c r="M1233" s="9" t="n">
        <f aca="false">K1233-L1233</f>
        <v>229.23</v>
      </c>
      <c r="N1233" s="11" t="n">
        <f aca="false">IF(K1233=0,0,M1233/K1233)</f>
        <v>0.708090075062552</v>
      </c>
      <c r="O1233" s="9" t="n">
        <f aca="false">(G1233*H1233)-K1233</f>
        <v>0</v>
      </c>
      <c r="P1233" s="8" t="s">
        <v>21</v>
      </c>
    </row>
    <row r="1234" customFormat="false" ht="15" hidden="false" customHeight="false" outlineLevel="0" collapsed="false">
      <c r="A1234" s="2" t="n">
        <v>46057</v>
      </c>
      <c r="B1234" s="3" t="s">
        <v>22</v>
      </c>
      <c r="C1234" s="3" t="s">
        <v>23</v>
      </c>
      <c r="D1234" s="3" t="s">
        <v>80</v>
      </c>
      <c r="E1234" s="3" t="s">
        <v>81</v>
      </c>
      <c r="F1234" s="3" t="s">
        <v>57</v>
      </c>
      <c r="G1234" s="3" t="n">
        <v>21</v>
      </c>
      <c r="H1234" s="4" t="n">
        <v>17.99</v>
      </c>
      <c r="I1234" s="4" t="n">
        <v>6.5</v>
      </c>
      <c r="J1234" s="5" t="n">
        <v>0</v>
      </c>
      <c r="K1234" s="4" t="n">
        <f aca="false">G1234*H1234*(1-J1234)</f>
        <v>377.79</v>
      </c>
      <c r="L1234" s="4" t="n">
        <f aca="false">G1234*I1234</f>
        <v>136.5</v>
      </c>
      <c r="M1234" s="4" t="n">
        <f aca="false">K1234-L1234</f>
        <v>241.29</v>
      </c>
      <c r="N1234" s="6" t="n">
        <f aca="false">IF(K1234=0,0,M1234/K1234)</f>
        <v>0.638688160088938</v>
      </c>
      <c r="O1234" s="4" t="n">
        <f aca="false">(G1234*H1234)-K1234</f>
        <v>0</v>
      </c>
      <c r="P1234" s="3" t="s">
        <v>21</v>
      </c>
    </row>
    <row r="1235" customFormat="false" ht="15" hidden="false" customHeight="false" outlineLevel="0" collapsed="false">
      <c r="A1235" s="7" t="n">
        <v>46080</v>
      </c>
      <c r="B1235" s="8" t="s">
        <v>41</v>
      </c>
      <c r="C1235" s="8" t="s">
        <v>28</v>
      </c>
      <c r="D1235" s="8" t="s">
        <v>68</v>
      </c>
      <c r="E1235" s="8" t="s">
        <v>69</v>
      </c>
      <c r="F1235" s="8" t="s">
        <v>40</v>
      </c>
      <c r="G1235" s="8" t="n">
        <v>21</v>
      </c>
      <c r="H1235" s="9" t="n">
        <v>24.99</v>
      </c>
      <c r="I1235" s="9" t="n">
        <v>9</v>
      </c>
      <c r="J1235" s="10" t="n">
        <v>0.1</v>
      </c>
      <c r="K1235" s="9" t="n">
        <f aca="false">G1235*H1235*(1-J1235)</f>
        <v>472.311</v>
      </c>
      <c r="L1235" s="9" t="n">
        <f aca="false">G1235*I1235</f>
        <v>189</v>
      </c>
      <c r="M1235" s="9" t="n">
        <f aca="false">K1235-L1235</f>
        <v>283.311</v>
      </c>
      <c r="N1235" s="11" t="n">
        <f aca="false">IF(K1235=0,0,M1235/K1235)</f>
        <v>0.59983993597439</v>
      </c>
      <c r="O1235" s="9" t="n">
        <f aca="false">(G1235*H1235)-K1235</f>
        <v>52.479</v>
      </c>
      <c r="P1235" s="8" t="s">
        <v>21</v>
      </c>
    </row>
    <row r="1236" customFormat="false" ht="15" hidden="false" customHeight="false" outlineLevel="0" collapsed="false">
      <c r="A1236" s="2" t="n">
        <v>46118</v>
      </c>
      <c r="B1236" s="3" t="s">
        <v>27</v>
      </c>
      <c r="C1236" s="3" t="s">
        <v>28</v>
      </c>
      <c r="D1236" s="3" t="s">
        <v>93</v>
      </c>
      <c r="E1236" s="3" t="s">
        <v>94</v>
      </c>
      <c r="F1236" s="3" t="s">
        <v>34</v>
      </c>
      <c r="G1236" s="3" t="n">
        <v>29</v>
      </c>
      <c r="H1236" s="4" t="n">
        <v>29.99</v>
      </c>
      <c r="I1236" s="4" t="n">
        <v>9</v>
      </c>
      <c r="J1236" s="5" t="n">
        <v>0</v>
      </c>
      <c r="K1236" s="4" t="n">
        <f aca="false">G1236*H1236*(1-J1236)</f>
        <v>869.71</v>
      </c>
      <c r="L1236" s="4" t="n">
        <f aca="false">G1236*I1236</f>
        <v>261</v>
      </c>
      <c r="M1236" s="4" t="n">
        <f aca="false">K1236-L1236</f>
        <v>608.71</v>
      </c>
      <c r="N1236" s="6" t="n">
        <f aca="false">IF(K1236=0,0,M1236/K1236)</f>
        <v>0.699899966655552</v>
      </c>
      <c r="O1236" s="4" t="n">
        <f aca="false">(G1236*H1236)-K1236</f>
        <v>0</v>
      </c>
      <c r="P1236" s="3" t="s">
        <v>21</v>
      </c>
    </row>
    <row r="1237" customFormat="false" ht="15" hidden="false" customHeight="false" outlineLevel="0" collapsed="false">
      <c r="A1237" s="7" t="n">
        <v>46030</v>
      </c>
      <c r="B1237" s="8" t="s">
        <v>27</v>
      </c>
      <c r="C1237" s="8" t="s">
        <v>28</v>
      </c>
      <c r="D1237" s="8" t="s">
        <v>68</v>
      </c>
      <c r="E1237" s="8" t="s">
        <v>69</v>
      </c>
      <c r="F1237" s="8" t="s">
        <v>40</v>
      </c>
      <c r="G1237" s="8" t="n">
        <v>21</v>
      </c>
      <c r="H1237" s="9" t="n">
        <v>24.99</v>
      </c>
      <c r="I1237" s="9" t="n">
        <v>9</v>
      </c>
      <c r="J1237" s="10" t="n">
        <v>0</v>
      </c>
      <c r="K1237" s="9" t="n">
        <f aca="false">G1237*H1237*(1-J1237)</f>
        <v>524.79</v>
      </c>
      <c r="L1237" s="9" t="n">
        <f aca="false">G1237*I1237</f>
        <v>189</v>
      </c>
      <c r="M1237" s="9" t="n">
        <f aca="false">K1237-L1237</f>
        <v>335.79</v>
      </c>
      <c r="N1237" s="11" t="n">
        <f aca="false">IF(K1237=0,0,M1237/K1237)</f>
        <v>0.639855942376951</v>
      </c>
      <c r="O1237" s="9" t="n">
        <f aca="false">(G1237*H1237)-K1237</f>
        <v>0</v>
      </c>
      <c r="P1237" s="8" t="s">
        <v>21</v>
      </c>
    </row>
    <row r="1238" customFormat="false" ht="15" hidden="false" customHeight="false" outlineLevel="0" collapsed="false">
      <c r="A1238" s="2" t="n">
        <v>46101</v>
      </c>
      <c r="B1238" s="3" t="s">
        <v>31</v>
      </c>
      <c r="C1238" s="3" t="s">
        <v>23</v>
      </c>
      <c r="D1238" s="3" t="s">
        <v>42</v>
      </c>
      <c r="E1238" s="3" t="s">
        <v>43</v>
      </c>
      <c r="F1238" s="3" t="s">
        <v>34</v>
      </c>
      <c r="G1238" s="3" t="n">
        <v>28</v>
      </c>
      <c r="H1238" s="4" t="n">
        <v>11.99</v>
      </c>
      <c r="I1238" s="4" t="n">
        <v>3.5</v>
      </c>
      <c r="J1238" s="5" t="n">
        <v>0.2</v>
      </c>
      <c r="K1238" s="4" t="n">
        <f aca="false">G1238*H1238*(1-J1238)</f>
        <v>268.576</v>
      </c>
      <c r="L1238" s="4" t="n">
        <f aca="false">G1238*I1238</f>
        <v>98</v>
      </c>
      <c r="M1238" s="4" t="n">
        <f aca="false">K1238-L1238</f>
        <v>170.576</v>
      </c>
      <c r="N1238" s="6" t="n">
        <f aca="false">IF(K1238=0,0,M1238/K1238)</f>
        <v>0.63511259382819</v>
      </c>
      <c r="O1238" s="4" t="n">
        <f aca="false">(G1238*H1238)-K1238</f>
        <v>67.144</v>
      </c>
      <c r="P1238" s="3" t="s">
        <v>21</v>
      </c>
    </row>
    <row r="1239" customFormat="false" ht="15" hidden="false" customHeight="false" outlineLevel="0" collapsed="false">
      <c r="A1239" s="7" t="n">
        <v>46115</v>
      </c>
      <c r="B1239" s="8" t="s">
        <v>27</v>
      </c>
      <c r="C1239" s="8" t="s">
        <v>28</v>
      </c>
      <c r="D1239" s="8" t="s">
        <v>42</v>
      </c>
      <c r="E1239" s="8" t="s">
        <v>43</v>
      </c>
      <c r="F1239" s="8" t="s">
        <v>34</v>
      </c>
      <c r="G1239" s="8" t="n">
        <v>23</v>
      </c>
      <c r="H1239" s="9" t="n">
        <v>11.99</v>
      </c>
      <c r="I1239" s="9" t="n">
        <v>3.5</v>
      </c>
      <c r="J1239" s="10" t="n">
        <v>0</v>
      </c>
      <c r="K1239" s="9" t="n">
        <f aca="false">G1239*H1239*(1-J1239)</f>
        <v>275.77</v>
      </c>
      <c r="L1239" s="9" t="n">
        <f aca="false">G1239*I1239</f>
        <v>80.5</v>
      </c>
      <c r="M1239" s="9" t="n">
        <f aca="false">K1239-L1239</f>
        <v>195.27</v>
      </c>
      <c r="N1239" s="11" t="n">
        <f aca="false">IF(K1239=0,0,M1239/K1239)</f>
        <v>0.708090075062552</v>
      </c>
      <c r="O1239" s="9" t="n">
        <f aca="false">(G1239*H1239)-K1239</f>
        <v>0</v>
      </c>
      <c r="P1239" s="8" t="s">
        <v>21</v>
      </c>
    </row>
    <row r="1240" customFormat="false" ht="15" hidden="false" customHeight="false" outlineLevel="0" collapsed="false">
      <c r="A1240" s="2" t="n">
        <v>46120</v>
      </c>
      <c r="B1240" s="3" t="s">
        <v>58</v>
      </c>
      <c r="C1240" s="3" t="s">
        <v>58</v>
      </c>
      <c r="D1240" s="3" t="s">
        <v>72</v>
      </c>
      <c r="E1240" s="3" t="s">
        <v>73</v>
      </c>
      <c r="F1240" s="3" t="s">
        <v>57</v>
      </c>
      <c r="G1240" s="3" t="n">
        <v>7</v>
      </c>
      <c r="H1240" s="4" t="n">
        <v>19.99</v>
      </c>
      <c r="I1240" s="4" t="n">
        <v>7</v>
      </c>
      <c r="J1240" s="5" t="n">
        <v>0.1</v>
      </c>
      <c r="K1240" s="4" t="n">
        <f aca="false">G1240*H1240*(1-J1240)</f>
        <v>125.937</v>
      </c>
      <c r="L1240" s="4" t="n">
        <f aca="false">G1240*I1240</f>
        <v>49</v>
      </c>
      <c r="M1240" s="4" t="n">
        <f aca="false">K1240-L1240</f>
        <v>76.937</v>
      </c>
      <c r="N1240" s="6" t="n">
        <f aca="false">IF(K1240=0,0,M1240/K1240)</f>
        <v>0.610916569395809</v>
      </c>
      <c r="O1240" s="4" t="n">
        <f aca="false">(G1240*H1240)-K1240</f>
        <v>13.993</v>
      </c>
      <c r="P1240" s="3" t="s">
        <v>21</v>
      </c>
    </row>
    <row r="1241" customFormat="false" ht="15" hidden="false" customHeight="false" outlineLevel="0" collapsed="false">
      <c r="A1241" s="7" t="n">
        <v>46068</v>
      </c>
      <c r="B1241" s="8" t="s">
        <v>41</v>
      </c>
      <c r="C1241" s="8" t="s">
        <v>28</v>
      </c>
      <c r="D1241" s="8" t="s">
        <v>95</v>
      </c>
      <c r="E1241" s="8" t="s">
        <v>96</v>
      </c>
      <c r="F1241" s="8" t="s">
        <v>50</v>
      </c>
      <c r="G1241" s="8" t="n">
        <v>5</v>
      </c>
      <c r="H1241" s="9" t="n">
        <v>34.99</v>
      </c>
      <c r="I1241" s="9" t="n">
        <v>12</v>
      </c>
      <c r="J1241" s="10" t="n">
        <v>0</v>
      </c>
      <c r="K1241" s="9" t="n">
        <f aca="false">G1241*H1241*(1-J1241)</f>
        <v>174.95</v>
      </c>
      <c r="L1241" s="9" t="n">
        <f aca="false">G1241*I1241</f>
        <v>60</v>
      </c>
      <c r="M1241" s="9" t="n">
        <f aca="false">K1241-L1241</f>
        <v>114.95</v>
      </c>
      <c r="N1241" s="11" t="n">
        <f aca="false">IF(K1241=0,0,M1241/K1241)</f>
        <v>0.657044869962847</v>
      </c>
      <c r="O1241" s="9" t="n">
        <f aca="false">(G1241*H1241)-K1241</f>
        <v>0</v>
      </c>
      <c r="P1241" s="8" t="s">
        <v>21</v>
      </c>
    </row>
    <row r="1242" customFormat="false" ht="15" hidden="false" customHeight="false" outlineLevel="0" collapsed="false">
      <c r="A1242" s="2" t="n">
        <v>46046</v>
      </c>
      <c r="B1242" s="3" t="s">
        <v>64</v>
      </c>
      <c r="C1242" s="3" t="s">
        <v>65</v>
      </c>
      <c r="D1242" s="3" t="s">
        <v>38</v>
      </c>
      <c r="E1242" s="3" t="s">
        <v>39</v>
      </c>
      <c r="F1242" s="3" t="s">
        <v>40</v>
      </c>
      <c r="G1242" s="3" t="n">
        <v>2</v>
      </c>
      <c r="H1242" s="4" t="n">
        <v>12.99</v>
      </c>
      <c r="I1242" s="4" t="n">
        <v>4</v>
      </c>
      <c r="J1242" s="5" t="n">
        <v>0.5</v>
      </c>
      <c r="K1242" s="4" t="n">
        <f aca="false">G1242*H1242*(1-J1242)</f>
        <v>12.99</v>
      </c>
      <c r="L1242" s="4" t="n">
        <f aca="false">G1242*I1242</f>
        <v>8</v>
      </c>
      <c r="M1242" s="4" t="n">
        <f aca="false">K1242-L1242</f>
        <v>4.99</v>
      </c>
      <c r="N1242" s="6" t="n">
        <f aca="false">IF(K1242=0,0,M1242/K1242)</f>
        <v>0.384141647421093</v>
      </c>
      <c r="O1242" s="4" t="n">
        <f aca="false">(G1242*H1242)-K1242</f>
        <v>12.99</v>
      </c>
      <c r="P1242" s="14" t="s">
        <v>97</v>
      </c>
    </row>
    <row r="1243" customFormat="false" ht="15" hidden="false" customHeight="false" outlineLevel="0" collapsed="false">
      <c r="A1243" s="7" t="n">
        <v>46059</v>
      </c>
      <c r="B1243" s="8" t="s">
        <v>64</v>
      </c>
      <c r="C1243" s="8" t="s">
        <v>65</v>
      </c>
      <c r="D1243" s="8" t="s">
        <v>61</v>
      </c>
      <c r="E1243" s="8" t="s">
        <v>62</v>
      </c>
      <c r="F1243" s="8" t="s">
        <v>34</v>
      </c>
      <c r="G1243" s="8" t="n">
        <v>24</v>
      </c>
      <c r="H1243" s="9" t="n">
        <v>14.99</v>
      </c>
      <c r="I1243" s="9" t="n">
        <v>4.5</v>
      </c>
      <c r="J1243" s="10" t="n">
        <v>0.2</v>
      </c>
      <c r="K1243" s="9" t="n">
        <f aca="false">G1243*H1243*(1-J1243)</f>
        <v>287.808</v>
      </c>
      <c r="L1243" s="9" t="n">
        <f aca="false">G1243*I1243</f>
        <v>108</v>
      </c>
      <c r="M1243" s="9" t="n">
        <f aca="false">K1243-L1243</f>
        <v>179.808</v>
      </c>
      <c r="N1243" s="11" t="n">
        <f aca="false">IF(K1243=0,0,M1243/K1243)</f>
        <v>0.624749833222148</v>
      </c>
      <c r="O1243" s="9" t="n">
        <f aca="false">(G1243*H1243)-K1243</f>
        <v>71.952</v>
      </c>
      <c r="P1243" s="8" t="s">
        <v>21</v>
      </c>
    </row>
    <row r="1244" customFormat="false" ht="15" hidden="false" customHeight="false" outlineLevel="0" collapsed="false">
      <c r="A1244" s="2" t="n">
        <v>46083</v>
      </c>
      <c r="B1244" s="3" t="s">
        <v>27</v>
      </c>
      <c r="C1244" s="3" t="s">
        <v>28</v>
      </c>
      <c r="D1244" s="3" t="s">
        <v>88</v>
      </c>
      <c r="E1244" s="3" t="s">
        <v>89</v>
      </c>
      <c r="F1244" s="3" t="s">
        <v>57</v>
      </c>
      <c r="G1244" s="3" t="n">
        <v>2</v>
      </c>
      <c r="H1244" s="4" t="n">
        <v>15.95</v>
      </c>
      <c r="I1244" s="4" t="n">
        <v>4.5</v>
      </c>
      <c r="J1244" s="5" t="n">
        <v>0</v>
      </c>
      <c r="K1244" s="4" t="n">
        <f aca="false">G1244*H1244*(1-J1244)</f>
        <v>31.9</v>
      </c>
      <c r="L1244" s="4" t="n">
        <f aca="false">G1244*I1244</f>
        <v>9</v>
      </c>
      <c r="M1244" s="4" t="n">
        <f aca="false">K1244-L1244</f>
        <v>22.9</v>
      </c>
      <c r="N1244" s="6" t="n">
        <f aca="false">IF(K1244=0,0,M1244/K1244)</f>
        <v>0.717868338557994</v>
      </c>
      <c r="O1244" s="4" t="n">
        <f aca="false">(G1244*H1244)-K1244</f>
        <v>0</v>
      </c>
      <c r="P1244" s="12" t="s">
        <v>63</v>
      </c>
    </row>
    <row r="1245" customFormat="false" ht="15" hidden="false" customHeight="false" outlineLevel="0" collapsed="false">
      <c r="A1245" s="7" t="n">
        <v>46062</v>
      </c>
      <c r="B1245" s="8" t="s">
        <v>22</v>
      </c>
      <c r="C1245" s="8" t="s">
        <v>23</v>
      </c>
      <c r="D1245" s="8" t="s">
        <v>88</v>
      </c>
      <c r="E1245" s="8" t="s">
        <v>89</v>
      </c>
      <c r="F1245" s="8" t="s">
        <v>57</v>
      </c>
      <c r="G1245" s="8" t="n">
        <v>1</v>
      </c>
      <c r="H1245" s="9" t="n">
        <v>12.99</v>
      </c>
      <c r="I1245" s="9" t="n">
        <v>4.5</v>
      </c>
      <c r="J1245" s="10" t="n">
        <v>0.05</v>
      </c>
      <c r="K1245" s="9" t="n">
        <f aca="false">G1245*H1245*(1-J1245)</f>
        <v>12.3405</v>
      </c>
      <c r="L1245" s="9" t="n">
        <f aca="false">G1245*I1245</f>
        <v>4.5</v>
      </c>
      <c r="M1245" s="9" t="n">
        <f aca="false">K1245-L1245</f>
        <v>7.8405</v>
      </c>
      <c r="N1245" s="11" t="n">
        <f aca="false">IF(K1245=0,0,M1245/K1245)</f>
        <v>0.635347028078279</v>
      </c>
      <c r="O1245" s="9" t="n">
        <f aca="false">(G1245*H1245)-K1245</f>
        <v>0.6495</v>
      </c>
      <c r="P1245" s="8" t="s">
        <v>21</v>
      </c>
    </row>
    <row r="1246" customFormat="false" ht="15" hidden="false" customHeight="false" outlineLevel="0" collapsed="false">
      <c r="A1246" s="2" t="n">
        <v>46045</v>
      </c>
      <c r="B1246" s="3" t="s">
        <v>27</v>
      </c>
      <c r="C1246" s="3" t="s">
        <v>28</v>
      </c>
      <c r="D1246" s="3" t="s">
        <v>80</v>
      </c>
      <c r="E1246" s="3" t="s">
        <v>81</v>
      </c>
      <c r="F1246" s="3" t="s">
        <v>57</v>
      </c>
      <c r="G1246" s="3" t="n">
        <v>26</v>
      </c>
      <c r="H1246" s="4" t="n">
        <v>17.99</v>
      </c>
      <c r="I1246" s="4" t="n">
        <v>6.5</v>
      </c>
      <c r="J1246" s="5" t="n">
        <v>0.2</v>
      </c>
      <c r="K1246" s="4" t="n">
        <f aca="false">G1246*H1246*(1-J1246)</f>
        <v>374.192</v>
      </c>
      <c r="L1246" s="4" t="n">
        <f aca="false">G1246*I1246</f>
        <v>169</v>
      </c>
      <c r="M1246" s="4" t="n">
        <f aca="false">K1246-L1246</f>
        <v>205.192</v>
      </c>
      <c r="N1246" s="6" t="n">
        <f aca="false">IF(K1246=0,0,M1246/K1246)</f>
        <v>0.548360200111173</v>
      </c>
      <c r="O1246" s="4" t="n">
        <f aca="false">(G1246*H1246)-K1246</f>
        <v>93.5479999999999</v>
      </c>
      <c r="P1246" s="3" t="s">
        <v>21</v>
      </c>
    </row>
    <row r="1247" customFormat="false" ht="15" hidden="false" customHeight="false" outlineLevel="0" collapsed="false">
      <c r="A1247" s="7" t="n">
        <v>46094</v>
      </c>
      <c r="B1247" s="8" t="s">
        <v>22</v>
      </c>
      <c r="C1247" s="8" t="s">
        <v>23</v>
      </c>
      <c r="D1247" s="8" t="s">
        <v>88</v>
      </c>
      <c r="E1247" s="8" t="s">
        <v>89</v>
      </c>
      <c r="F1247" s="8" t="s">
        <v>57</v>
      </c>
      <c r="G1247" s="8" t="n">
        <v>27</v>
      </c>
      <c r="H1247" s="9" t="n">
        <v>12.99</v>
      </c>
      <c r="I1247" s="9" t="n">
        <v>4.5</v>
      </c>
      <c r="J1247" s="10" t="n">
        <v>0</v>
      </c>
      <c r="K1247" s="9" t="n">
        <f aca="false">G1247*H1247*(1-J1247)</f>
        <v>350.73</v>
      </c>
      <c r="L1247" s="9" t="n">
        <f aca="false">G1247*I1247</f>
        <v>121.5</v>
      </c>
      <c r="M1247" s="9" t="n">
        <f aca="false">K1247-L1247</f>
        <v>229.23</v>
      </c>
      <c r="N1247" s="11" t="n">
        <f aca="false">IF(K1247=0,0,M1247/K1247)</f>
        <v>0.653579676674365</v>
      </c>
      <c r="O1247" s="9" t="n">
        <f aca="false">(G1247*H1247)-K1247</f>
        <v>0</v>
      </c>
      <c r="P1247" s="8" t="s">
        <v>21</v>
      </c>
    </row>
    <row r="1248" customFormat="false" ht="15" hidden="false" customHeight="false" outlineLevel="0" collapsed="false">
      <c r="A1248" s="2" t="n">
        <v>46096</v>
      </c>
      <c r="B1248" s="3" t="s">
        <v>41</v>
      </c>
      <c r="C1248" s="3" t="s">
        <v>28</v>
      </c>
      <c r="D1248" s="3" t="s">
        <v>46</v>
      </c>
      <c r="E1248" s="3" t="s">
        <v>47</v>
      </c>
      <c r="F1248" s="3" t="s">
        <v>20</v>
      </c>
      <c r="G1248" s="3" t="n">
        <v>17</v>
      </c>
      <c r="H1248" s="4" t="n">
        <v>44.99</v>
      </c>
      <c r="I1248" s="4" t="n">
        <v>18</v>
      </c>
      <c r="J1248" s="5" t="n">
        <v>0.3</v>
      </c>
      <c r="K1248" s="4" t="n">
        <f aca="false">G1248*H1248*(1-J1248)</f>
        <v>535.381</v>
      </c>
      <c r="L1248" s="4" t="n">
        <f aca="false">G1248*I1248</f>
        <v>306</v>
      </c>
      <c r="M1248" s="4" t="n">
        <f aca="false">K1248-L1248</f>
        <v>229.381</v>
      </c>
      <c r="N1248" s="6" t="n">
        <f aca="false">IF(K1248=0,0,M1248/K1248)</f>
        <v>0.428444416219477</v>
      </c>
      <c r="O1248" s="4" t="n">
        <f aca="false">(G1248*H1248)-K1248</f>
        <v>229.449</v>
      </c>
      <c r="P1248" s="3" t="s">
        <v>21</v>
      </c>
    </row>
    <row r="1249" customFormat="false" ht="15" hidden="false" customHeight="false" outlineLevel="0" collapsed="false">
      <c r="A1249" s="7" t="n">
        <v>46101</v>
      </c>
      <c r="B1249" s="8" t="s">
        <v>31</v>
      </c>
      <c r="C1249" s="8" t="s">
        <v>23</v>
      </c>
      <c r="D1249" s="8" t="s">
        <v>46</v>
      </c>
      <c r="E1249" s="8" t="s">
        <v>47</v>
      </c>
      <c r="F1249" s="8" t="s">
        <v>20</v>
      </c>
      <c r="G1249" s="8" t="n">
        <v>19</v>
      </c>
      <c r="H1249" s="9" t="n">
        <v>44.99</v>
      </c>
      <c r="I1249" s="9" t="n">
        <v>18</v>
      </c>
      <c r="J1249" s="10" t="n">
        <v>0.3</v>
      </c>
      <c r="K1249" s="9" t="n">
        <f aca="false">G1249*H1249*(1-J1249)</f>
        <v>598.367</v>
      </c>
      <c r="L1249" s="9" t="n">
        <f aca="false">G1249*I1249</f>
        <v>342</v>
      </c>
      <c r="M1249" s="9" t="n">
        <f aca="false">K1249-L1249</f>
        <v>256.367</v>
      </c>
      <c r="N1249" s="11" t="n">
        <f aca="false">IF(K1249=0,0,M1249/K1249)</f>
        <v>0.428444416219477</v>
      </c>
      <c r="O1249" s="9" t="n">
        <f aca="false">(G1249*H1249)-K1249</f>
        <v>256.443</v>
      </c>
      <c r="P1249" s="8" t="s">
        <v>21</v>
      </c>
    </row>
    <row r="1250" customFormat="false" ht="15" hidden="false" customHeight="false" outlineLevel="0" collapsed="false">
      <c r="A1250" s="2" t="n">
        <v>46074</v>
      </c>
      <c r="B1250" s="3" t="s">
        <v>37</v>
      </c>
      <c r="C1250" s="3" t="s">
        <v>17</v>
      </c>
      <c r="D1250" s="3" t="s">
        <v>38</v>
      </c>
      <c r="E1250" s="3" t="s">
        <v>39</v>
      </c>
      <c r="F1250" s="3" t="s">
        <v>40</v>
      </c>
      <c r="G1250" s="3" t="n">
        <v>2</v>
      </c>
      <c r="H1250" s="4" t="n">
        <v>12.99</v>
      </c>
      <c r="I1250" s="4" t="n">
        <v>4</v>
      </c>
      <c r="J1250" s="5" t="n">
        <v>0.2</v>
      </c>
      <c r="K1250" s="4" t="n">
        <f aca="false">G1250*H1250*(1-J1250)</f>
        <v>20.784</v>
      </c>
      <c r="L1250" s="4" t="n">
        <f aca="false">G1250*I1250</f>
        <v>8</v>
      </c>
      <c r="M1250" s="4" t="n">
        <f aca="false">K1250-L1250</f>
        <v>12.784</v>
      </c>
      <c r="N1250" s="6" t="n">
        <f aca="false">IF(K1250=0,0,M1250/K1250)</f>
        <v>0.615088529638183</v>
      </c>
      <c r="O1250" s="4" t="n">
        <f aca="false">(G1250*H1250)-K1250</f>
        <v>5.196</v>
      </c>
      <c r="P1250" s="3" t="s">
        <v>21</v>
      </c>
    </row>
    <row r="1251" customFormat="false" ht="15" hidden="false" customHeight="false" outlineLevel="0" collapsed="false">
      <c r="A1251" s="7" t="n">
        <v>46056</v>
      </c>
      <c r="B1251" s="8" t="s">
        <v>41</v>
      </c>
      <c r="C1251" s="8" t="s">
        <v>28</v>
      </c>
      <c r="D1251" s="8" t="s">
        <v>29</v>
      </c>
      <c r="E1251" s="8" t="s">
        <v>30</v>
      </c>
      <c r="F1251" s="8" t="s">
        <v>20</v>
      </c>
      <c r="G1251" s="8" t="n">
        <v>7</v>
      </c>
      <c r="H1251" s="9" t="n">
        <v>89.99</v>
      </c>
      <c r="I1251" s="9" t="n">
        <v>42</v>
      </c>
      <c r="J1251" s="10" t="n">
        <v>0.2</v>
      </c>
      <c r="K1251" s="9" t="n">
        <f aca="false">G1251*H1251*(1-J1251)</f>
        <v>503.944</v>
      </c>
      <c r="L1251" s="9" t="n">
        <f aca="false">G1251*I1251</f>
        <v>294</v>
      </c>
      <c r="M1251" s="9" t="n">
        <f aca="false">K1251-L1251</f>
        <v>209.944</v>
      </c>
      <c r="N1251" s="11" t="n">
        <f aca="false">IF(K1251=0,0,M1251/K1251)</f>
        <v>0.416601844649405</v>
      </c>
      <c r="O1251" s="9" t="n">
        <f aca="false">(G1251*H1251)-K1251</f>
        <v>125.986</v>
      </c>
      <c r="P1251" s="8" t="s">
        <v>21</v>
      </c>
    </row>
    <row r="1252" customFormat="false" ht="15" hidden="false" customHeight="false" outlineLevel="0" collapsed="false">
      <c r="A1252" s="2" t="n">
        <v>46051</v>
      </c>
      <c r="B1252" s="3" t="s">
        <v>41</v>
      </c>
      <c r="C1252" s="3" t="s">
        <v>28</v>
      </c>
      <c r="D1252" s="3" t="s">
        <v>42</v>
      </c>
      <c r="E1252" s="3" t="s">
        <v>43</v>
      </c>
      <c r="F1252" s="3" t="s">
        <v>34</v>
      </c>
      <c r="G1252" s="3" t="n">
        <v>6</v>
      </c>
      <c r="H1252" s="4" t="n">
        <v>11.99</v>
      </c>
      <c r="I1252" s="4" t="n">
        <v>3.5</v>
      </c>
      <c r="J1252" s="5" t="n">
        <v>0</v>
      </c>
      <c r="K1252" s="4" t="n">
        <f aca="false">G1252*H1252*(1-J1252)</f>
        <v>71.94</v>
      </c>
      <c r="L1252" s="4" t="n">
        <f aca="false">G1252*I1252</f>
        <v>21</v>
      </c>
      <c r="M1252" s="4" t="n">
        <f aca="false">K1252-L1252</f>
        <v>50.94</v>
      </c>
      <c r="N1252" s="6" t="n">
        <f aca="false">IF(K1252=0,0,M1252/K1252)</f>
        <v>0.708090075062552</v>
      </c>
      <c r="O1252" s="4" t="n">
        <f aca="false">(G1252*H1252)-K1252</f>
        <v>0</v>
      </c>
      <c r="P1252" s="3" t="s">
        <v>21</v>
      </c>
    </row>
    <row r="1253" customFormat="false" ht="15" hidden="false" customHeight="false" outlineLevel="0" collapsed="false">
      <c r="A1253" s="7" t="n">
        <v>46057</v>
      </c>
      <c r="B1253" s="8" t="s">
        <v>37</v>
      </c>
      <c r="C1253" s="8" t="s">
        <v>17</v>
      </c>
      <c r="D1253" s="8" t="s">
        <v>76</v>
      </c>
      <c r="E1253" s="8" t="s">
        <v>77</v>
      </c>
      <c r="F1253" s="8" t="s">
        <v>34</v>
      </c>
      <c r="G1253" s="8" t="n">
        <v>11</v>
      </c>
      <c r="H1253" s="9" t="n">
        <v>44.99</v>
      </c>
      <c r="I1253" s="9" t="n">
        <v>14</v>
      </c>
      <c r="J1253" s="10" t="n">
        <v>0</v>
      </c>
      <c r="K1253" s="9" t="n">
        <f aca="false">G1253*H1253*(1-J1253)</f>
        <v>494.89</v>
      </c>
      <c r="L1253" s="9" t="n">
        <f aca="false">G1253*I1253</f>
        <v>154</v>
      </c>
      <c r="M1253" s="9" t="n">
        <f aca="false">K1253-L1253</f>
        <v>340.89</v>
      </c>
      <c r="N1253" s="11" t="n">
        <f aca="false">IF(K1253=0,0,M1253/K1253)</f>
        <v>0.688819737719493</v>
      </c>
      <c r="O1253" s="9" t="n">
        <f aca="false">(G1253*H1253)-K1253</f>
        <v>0</v>
      </c>
      <c r="P1253" s="8" t="s">
        <v>21</v>
      </c>
    </row>
    <row r="1254" customFormat="false" ht="15" hidden="false" customHeight="false" outlineLevel="0" collapsed="false">
      <c r="A1254" s="2" t="n">
        <v>46050</v>
      </c>
      <c r="B1254" s="3" t="s">
        <v>41</v>
      </c>
      <c r="C1254" s="3" t="s">
        <v>28</v>
      </c>
      <c r="D1254" s="3" t="s">
        <v>46</v>
      </c>
      <c r="E1254" s="3" t="s">
        <v>47</v>
      </c>
      <c r="F1254" s="3" t="s">
        <v>20</v>
      </c>
      <c r="G1254" s="3" t="n">
        <v>3</v>
      </c>
      <c r="H1254" s="4" t="n">
        <v>44.99</v>
      </c>
      <c r="I1254" s="4" t="n">
        <v>18</v>
      </c>
      <c r="J1254" s="5" t="n">
        <v>0.1</v>
      </c>
      <c r="K1254" s="4" t="n">
        <f aca="false">G1254*H1254*(1-J1254)</f>
        <v>121.473</v>
      </c>
      <c r="L1254" s="4" t="n">
        <f aca="false">G1254*I1254</f>
        <v>54</v>
      </c>
      <c r="M1254" s="4" t="n">
        <f aca="false">K1254-L1254</f>
        <v>67.473</v>
      </c>
      <c r="N1254" s="6" t="n">
        <f aca="false">IF(K1254=0,0,M1254/K1254)</f>
        <v>0.555456768170705</v>
      </c>
      <c r="O1254" s="4" t="n">
        <f aca="false">(G1254*H1254)-K1254</f>
        <v>13.497</v>
      </c>
      <c r="P1254" s="3" t="s">
        <v>21</v>
      </c>
    </row>
    <row r="1255" customFormat="false" ht="15" hidden="false" customHeight="false" outlineLevel="0" collapsed="false">
      <c r="A1255" s="7" t="n">
        <v>46036</v>
      </c>
      <c r="B1255" s="8" t="s">
        <v>64</v>
      </c>
      <c r="C1255" s="8" t="s">
        <v>65</v>
      </c>
      <c r="D1255" s="8" t="s">
        <v>48</v>
      </c>
      <c r="E1255" s="8" t="s">
        <v>49</v>
      </c>
      <c r="F1255" s="8" t="s">
        <v>50</v>
      </c>
      <c r="G1255" s="8" t="n">
        <v>16</v>
      </c>
      <c r="H1255" s="9" t="n">
        <v>54.99</v>
      </c>
      <c r="I1255" s="9" t="n">
        <v>20</v>
      </c>
      <c r="J1255" s="10" t="n">
        <v>0.3</v>
      </c>
      <c r="K1255" s="9" t="n">
        <f aca="false">G1255*H1255*(1-J1255)</f>
        <v>615.888</v>
      </c>
      <c r="L1255" s="9" t="n">
        <f aca="false">G1255*I1255</f>
        <v>320</v>
      </c>
      <c r="M1255" s="9" t="n">
        <f aca="false">K1255-L1255</f>
        <v>295.888</v>
      </c>
      <c r="N1255" s="11" t="n">
        <f aca="false">IF(K1255=0,0,M1255/K1255)</f>
        <v>0.480425012339906</v>
      </c>
      <c r="O1255" s="9" t="n">
        <f aca="false">(G1255*H1255)-K1255</f>
        <v>263.952</v>
      </c>
      <c r="P1255" s="8" t="s">
        <v>21</v>
      </c>
    </row>
    <row r="1256" customFormat="false" ht="15" hidden="false" customHeight="false" outlineLevel="0" collapsed="false">
      <c r="A1256" s="2" t="n">
        <v>46127</v>
      </c>
      <c r="B1256" s="3" t="s">
        <v>22</v>
      </c>
      <c r="C1256" s="3" t="s">
        <v>23</v>
      </c>
      <c r="D1256" s="3" t="s">
        <v>93</v>
      </c>
      <c r="E1256" s="3" t="s">
        <v>94</v>
      </c>
      <c r="F1256" s="3" t="s">
        <v>34</v>
      </c>
      <c r="G1256" s="3" t="n">
        <v>9</v>
      </c>
      <c r="H1256" s="4" t="n">
        <v>29.99</v>
      </c>
      <c r="I1256" s="4" t="n">
        <v>9</v>
      </c>
      <c r="J1256" s="5" t="n">
        <v>0</v>
      </c>
      <c r="K1256" s="4" t="n">
        <f aca="false">G1256*H1256*(1-J1256)</f>
        <v>269.91</v>
      </c>
      <c r="L1256" s="4" t="n">
        <f aca="false">G1256*I1256</f>
        <v>81</v>
      </c>
      <c r="M1256" s="4" t="n">
        <f aca="false">K1256-L1256</f>
        <v>188.91</v>
      </c>
      <c r="N1256" s="6" t="n">
        <f aca="false">IF(K1256=0,0,M1256/K1256)</f>
        <v>0.699899966655552</v>
      </c>
      <c r="O1256" s="4" t="n">
        <f aca="false">(G1256*H1256)-K1256</f>
        <v>0</v>
      </c>
      <c r="P1256" s="3" t="s">
        <v>21</v>
      </c>
    </row>
    <row r="1257" customFormat="false" ht="15" hidden="false" customHeight="false" outlineLevel="0" collapsed="false">
      <c r="A1257" s="7" t="n">
        <v>46065</v>
      </c>
      <c r="B1257" s="8" t="s">
        <v>64</v>
      </c>
      <c r="C1257" s="8" t="s">
        <v>65</v>
      </c>
      <c r="D1257" s="8" t="s">
        <v>55</v>
      </c>
      <c r="E1257" s="8" t="s">
        <v>56</v>
      </c>
      <c r="F1257" s="8" t="s">
        <v>57</v>
      </c>
      <c r="G1257" s="8" t="n">
        <v>7</v>
      </c>
      <c r="H1257" s="9" t="n">
        <v>29.99</v>
      </c>
      <c r="I1257" s="9" t="n">
        <v>11</v>
      </c>
      <c r="J1257" s="10" t="n">
        <v>0</v>
      </c>
      <c r="K1257" s="9" t="n">
        <f aca="false">G1257*H1257*(1-J1257)</f>
        <v>209.93</v>
      </c>
      <c r="L1257" s="9" t="n">
        <f aca="false">G1257*I1257</f>
        <v>77</v>
      </c>
      <c r="M1257" s="9" t="n">
        <f aca="false">K1257-L1257</f>
        <v>132.93</v>
      </c>
      <c r="N1257" s="11" t="n">
        <f aca="false">IF(K1257=0,0,M1257/K1257)</f>
        <v>0.633211070356786</v>
      </c>
      <c r="O1257" s="9" t="n">
        <f aca="false">(G1257*H1257)-K1257</f>
        <v>0</v>
      </c>
      <c r="P1257" s="8" t="s">
        <v>21</v>
      </c>
    </row>
    <row r="1258" customFormat="false" ht="15" hidden="false" customHeight="false" outlineLevel="0" collapsed="false">
      <c r="A1258" s="2" t="n">
        <v>46090</v>
      </c>
      <c r="B1258" s="3" t="s">
        <v>27</v>
      </c>
      <c r="C1258" s="3" t="s">
        <v>28</v>
      </c>
      <c r="D1258" s="3" t="s">
        <v>44</v>
      </c>
      <c r="E1258" s="3" t="s">
        <v>45</v>
      </c>
      <c r="F1258" s="3" t="s">
        <v>40</v>
      </c>
      <c r="G1258" s="3" t="n">
        <v>6</v>
      </c>
      <c r="H1258" s="4" t="n">
        <v>29.99</v>
      </c>
      <c r="I1258" s="4" t="n">
        <v>11</v>
      </c>
      <c r="J1258" s="5" t="n">
        <v>0.05</v>
      </c>
      <c r="K1258" s="4" t="n">
        <f aca="false">G1258*H1258*(1-J1258)</f>
        <v>170.943</v>
      </c>
      <c r="L1258" s="4" t="n">
        <f aca="false">G1258*I1258</f>
        <v>66</v>
      </c>
      <c r="M1258" s="4" t="n">
        <f aca="false">K1258-L1258</f>
        <v>104.943</v>
      </c>
      <c r="N1258" s="6" t="n">
        <f aca="false">IF(K1258=0,0,M1258/K1258)</f>
        <v>0.613906389849248</v>
      </c>
      <c r="O1258" s="4" t="n">
        <f aca="false">(G1258*H1258)-K1258</f>
        <v>8.99700000000001</v>
      </c>
      <c r="P1258" s="3" t="s">
        <v>21</v>
      </c>
    </row>
    <row r="1259" customFormat="false" ht="15" hidden="false" customHeight="false" outlineLevel="0" collapsed="false">
      <c r="A1259" s="7" t="n">
        <v>46050</v>
      </c>
      <c r="B1259" s="8" t="s">
        <v>58</v>
      </c>
      <c r="C1259" s="8" t="s">
        <v>58</v>
      </c>
      <c r="D1259" s="8" t="s">
        <v>29</v>
      </c>
      <c r="E1259" s="8" t="s">
        <v>30</v>
      </c>
      <c r="F1259" s="8" t="s">
        <v>20</v>
      </c>
      <c r="G1259" s="8" t="n">
        <v>240</v>
      </c>
      <c r="H1259" s="9" t="n">
        <v>89.99</v>
      </c>
      <c r="I1259" s="9" t="n">
        <v>42</v>
      </c>
      <c r="J1259" s="10" t="n">
        <v>0</v>
      </c>
      <c r="K1259" s="9" t="n">
        <f aca="false">G1259*H1259*(1-J1259)</f>
        <v>21597.6</v>
      </c>
      <c r="L1259" s="9" t="n">
        <f aca="false">G1259*I1259</f>
        <v>10080</v>
      </c>
      <c r="M1259" s="9" t="n">
        <f aca="false">K1259-L1259</f>
        <v>11517.6</v>
      </c>
      <c r="N1259" s="11" t="n">
        <f aca="false">IF(K1259=0,0,M1259/K1259)</f>
        <v>0.533281475719524</v>
      </c>
      <c r="O1259" s="9" t="n">
        <f aca="false">(G1259*H1259)-K1259</f>
        <v>0</v>
      </c>
      <c r="P1259" s="13" t="s">
        <v>92</v>
      </c>
    </row>
    <row r="1260" customFormat="false" ht="15" hidden="false" customHeight="false" outlineLevel="0" collapsed="false">
      <c r="A1260" s="2" t="n">
        <v>46048</v>
      </c>
      <c r="B1260" s="3" t="s">
        <v>16</v>
      </c>
      <c r="C1260" s="3" t="s">
        <v>17</v>
      </c>
      <c r="D1260" s="3" t="s">
        <v>76</v>
      </c>
      <c r="E1260" s="3" t="s">
        <v>77</v>
      </c>
      <c r="F1260" s="3" t="s">
        <v>34</v>
      </c>
      <c r="G1260" s="3" t="n">
        <v>25</v>
      </c>
      <c r="H1260" s="4" t="n">
        <v>44.99</v>
      </c>
      <c r="I1260" s="4" t="n">
        <v>14</v>
      </c>
      <c r="J1260" s="5" t="n">
        <v>0.2</v>
      </c>
      <c r="K1260" s="4" t="n">
        <f aca="false">G1260*H1260*(1-J1260)</f>
        <v>899.8</v>
      </c>
      <c r="L1260" s="4" t="n">
        <f aca="false">G1260*I1260</f>
        <v>350</v>
      </c>
      <c r="M1260" s="4" t="n">
        <f aca="false">K1260-L1260</f>
        <v>549.8</v>
      </c>
      <c r="N1260" s="6" t="n">
        <f aca="false">IF(K1260=0,0,M1260/K1260)</f>
        <v>0.611024672149367</v>
      </c>
      <c r="O1260" s="4" t="n">
        <f aca="false">(G1260*H1260)-K1260</f>
        <v>224.95</v>
      </c>
      <c r="P1260" s="3" t="s">
        <v>21</v>
      </c>
    </row>
    <row r="1261" customFormat="false" ht="15" hidden="false" customHeight="false" outlineLevel="0" collapsed="false">
      <c r="A1261" s="7" t="n">
        <v>46086</v>
      </c>
      <c r="B1261" s="8" t="s">
        <v>37</v>
      </c>
      <c r="C1261" s="8" t="s">
        <v>17</v>
      </c>
      <c r="D1261" s="8" t="s">
        <v>82</v>
      </c>
      <c r="E1261" s="8" t="s">
        <v>83</v>
      </c>
      <c r="F1261" s="8" t="s">
        <v>26</v>
      </c>
      <c r="G1261" s="8" t="n">
        <v>24</v>
      </c>
      <c r="H1261" s="9" t="n">
        <v>44.99</v>
      </c>
      <c r="I1261" s="9" t="n">
        <v>18</v>
      </c>
      <c r="J1261" s="10" t="n">
        <v>0</v>
      </c>
      <c r="K1261" s="9" t="n">
        <f aca="false">G1261*H1261*(1-J1261)</f>
        <v>1079.76</v>
      </c>
      <c r="L1261" s="9" t="n">
        <f aca="false">G1261*I1261</f>
        <v>432</v>
      </c>
      <c r="M1261" s="9" t="n">
        <f aca="false">K1261-L1261</f>
        <v>647.76</v>
      </c>
      <c r="N1261" s="11" t="n">
        <f aca="false">IF(K1261=0,0,M1261/K1261)</f>
        <v>0.599911091353634</v>
      </c>
      <c r="O1261" s="9" t="n">
        <f aca="false">(G1261*H1261)-K1261</f>
        <v>0</v>
      </c>
      <c r="P1261" s="8" t="s">
        <v>21</v>
      </c>
    </row>
    <row r="1262" customFormat="false" ht="15" hidden="false" customHeight="false" outlineLevel="0" collapsed="false">
      <c r="A1262" s="2" t="n">
        <v>46025</v>
      </c>
      <c r="B1262" s="3" t="s">
        <v>31</v>
      </c>
      <c r="C1262" s="3" t="s">
        <v>23</v>
      </c>
      <c r="D1262" s="3" t="s">
        <v>66</v>
      </c>
      <c r="E1262" s="3" t="s">
        <v>67</v>
      </c>
      <c r="F1262" s="3" t="s">
        <v>57</v>
      </c>
      <c r="G1262" s="3" t="n">
        <v>30</v>
      </c>
      <c r="H1262" s="4" t="n">
        <v>14.99</v>
      </c>
      <c r="I1262" s="4" t="n">
        <v>5.5</v>
      </c>
      <c r="J1262" s="5" t="n">
        <v>0</v>
      </c>
      <c r="K1262" s="4" t="n">
        <f aca="false">G1262*H1262*(1-J1262)</f>
        <v>449.7</v>
      </c>
      <c r="L1262" s="4" t="n">
        <f aca="false">G1262*I1262</f>
        <v>165</v>
      </c>
      <c r="M1262" s="4" t="n">
        <f aca="false">K1262-L1262</f>
        <v>284.7</v>
      </c>
      <c r="N1262" s="6" t="n">
        <f aca="false">IF(K1262=0,0,M1262/K1262)</f>
        <v>0.633088725817211</v>
      </c>
      <c r="O1262" s="4" t="n">
        <f aca="false">(G1262*H1262)-K1262</f>
        <v>0</v>
      </c>
      <c r="P1262" s="3" t="s">
        <v>21</v>
      </c>
    </row>
    <row r="1263" customFormat="false" ht="15" hidden="false" customHeight="false" outlineLevel="0" collapsed="false">
      <c r="A1263" s="7" t="n">
        <v>46036</v>
      </c>
      <c r="B1263" s="8" t="s">
        <v>27</v>
      </c>
      <c r="C1263" s="8" t="s">
        <v>28</v>
      </c>
      <c r="D1263" s="8" t="s">
        <v>80</v>
      </c>
      <c r="E1263" s="8" t="s">
        <v>81</v>
      </c>
      <c r="F1263" s="8" t="s">
        <v>57</v>
      </c>
      <c r="G1263" s="8" t="n">
        <v>5</v>
      </c>
      <c r="H1263" s="9" t="n">
        <v>17.99</v>
      </c>
      <c r="I1263" s="9" t="n">
        <v>6.5</v>
      </c>
      <c r="J1263" s="10" t="n">
        <v>0</v>
      </c>
      <c r="K1263" s="9" t="n">
        <f aca="false">G1263*H1263*(1-J1263)</f>
        <v>89.95</v>
      </c>
      <c r="L1263" s="9" t="n">
        <f aca="false">G1263*I1263</f>
        <v>32.5</v>
      </c>
      <c r="M1263" s="9" t="n">
        <f aca="false">K1263-L1263</f>
        <v>57.45</v>
      </c>
      <c r="N1263" s="11" t="n">
        <f aca="false">IF(K1263=0,0,M1263/K1263)</f>
        <v>0.638688160088938</v>
      </c>
      <c r="O1263" s="9" t="n">
        <f aca="false">(G1263*H1263)-K1263</f>
        <v>0</v>
      </c>
      <c r="P1263" s="8" t="s">
        <v>21</v>
      </c>
    </row>
    <row r="1264" customFormat="false" ht="15" hidden="false" customHeight="false" outlineLevel="0" collapsed="false">
      <c r="A1264" s="2" t="n">
        <v>46046</v>
      </c>
      <c r="B1264" s="3" t="s">
        <v>16</v>
      </c>
      <c r="C1264" s="3" t="s">
        <v>17</v>
      </c>
      <c r="D1264" s="3" t="s">
        <v>44</v>
      </c>
      <c r="E1264" s="3" t="s">
        <v>45</v>
      </c>
      <c r="F1264" s="3" t="s">
        <v>40</v>
      </c>
      <c r="G1264" s="3" t="n">
        <v>23</v>
      </c>
      <c r="H1264" s="4" t="n">
        <v>29.99</v>
      </c>
      <c r="I1264" s="4" t="n">
        <v>11</v>
      </c>
      <c r="J1264" s="5" t="n">
        <v>0.3</v>
      </c>
      <c r="K1264" s="4" t="n">
        <f aca="false">G1264*H1264*(1-J1264)</f>
        <v>482.839</v>
      </c>
      <c r="L1264" s="4" t="n">
        <f aca="false">G1264*I1264</f>
        <v>253</v>
      </c>
      <c r="M1264" s="4" t="n">
        <f aca="false">K1264-L1264</f>
        <v>229.839</v>
      </c>
      <c r="N1264" s="6" t="n">
        <f aca="false">IF(K1264=0,0,M1264/K1264)</f>
        <v>0.476015814795408</v>
      </c>
      <c r="O1264" s="4" t="n">
        <f aca="false">(G1264*H1264)-K1264</f>
        <v>206.931</v>
      </c>
      <c r="P1264" s="3" t="s">
        <v>21</v>
      </c>
    </row>
    <row r="1265" customFormat="false" ht="15" hidden="false" customHeight="false" outlineLevel="0" collapsed="false">
      <c r="A1265" s="7" t="n">
        <v>46122</v>
      </c>
      <c r="B1265" s="8" t="s">
        <v>22</v>
      </c>
      <c r="C1265" s="8" t="s">
        <v>23</v>
      </c>
      <c r="D1265" s="8" t="s">
        <v>93</v>
      </c>
      <c r="E1265" s="8" t="s">
        <v>94</v>
      </c>
      <c r="F1265" s="8" t="s">
        <v>34</v>
      </c>
      <c r="G1265" s="8" t="n">
        <v>29</v>
      </c>
      <c r="H1265" s="9" t="n">
        <v>29.99</v>
      </c>
      <c r="I1265" s="9" t="n">
        <v>9</v>
      </c>
      <c r="J1265" s="10" t="n">
        <v>0.2</v>
      </c>
      <c r="K1265" s="9" t="n">
        <f aca="false">G1265*H1265*(1-J1265)</f>
        <v>695.768</v>
      </c>
      <c r="L1265" s="9" t="n">
        <f aca="false">G1265*I1265</f>
        <v>261</v>
      </c>
      <c r="M1265" s="9" t="n">
        <f aca="false">K1265-L1265</f>
        <v>434.768</v>
      </c>
      <c r="N1265" s="11" t="n">
        <f aca="false">IF(K1265=0,0,M1265/K1265)</f>
        <v>0.62487495831944</v>
      </c>
      <c r="O1265" s="9" t="n">
        <f aca="false">(G1265*H1265)-K1265</f>
        <v>173.942</v>
      </c>
      <c r="P1265" s="8" t="s">
        <v>21</v>
      </c>
    </row>
    <row r="1266" customFormat="false" ht="15" hidden="false" customHeight="false" outlineLevel="0" collapsed="false">
      <c r="A1266" s="2" t="n">
        <v>46043</v>
      </c>
      <c r="B1266" s="3" t="s">
        <v>64</v>
      </c>
      <c r="C1266" s="3" t="s">
        <v>65</v>
      </c>
      <c r="D1266" s="3" t="s">
        <v>80</v>
      </c>
      <c r="E1266" s="3" t="s">
        <v>81</v>
      </c>
      <c r="F1266" s="3" t="s">
        <v>57</v>
      </c>
      <c r="G1266" s="3" t="n">
        <v>24</v>
      </c>
      <c r="H1266" s="4" t="n">
        <v>17.99</v>
      </c>
      <c r="I1266" s="4" t="n">
        <v>6.5</v>
      </c>
      <c r="J1266" s="5" t="n">
        <v>0.05</v>
      </c>
      <c r="K1266" s="4" t="n">
        <f aca="false">G1266*H1266*(1-J1266)</f>
        <v>410.172</v>
      </c>
      <c r="L1266" s="4" t="n">
        <f aca="false">G1266*I1266</f>
        <v>156</v>
      </c>
      <c r="M1266" s="4" t="n">
        <f aca="false">K1266-L1266</f>
        <v>254.172</v>
      </c>
      <c r="N1266" s="6" t="n">
        <f aca="false">IF(K1266=0,0,M1266/K1266)</f>
        <v>0.61967174746204</v>
      </c>
      <c r="O1266" s="4" t="n">
        <f aca="false">(G1266*H1266)-K1266</f>
        <v>21.588</v>
      </c>
      <c r="P1266" s="3" t="s">
        <v>21</v>
      </c>
    </row>
    <row r="1267" customFormat="false" ht="15" hidden="false" customHeight="false" outlineLevel="0" collapsed="false">
      <c r="A1267" s="7" t="n">
        <v>46081</v>
      </c>
      <c r="B1267" s="8" t="s">
        <v>58</v>
      </c>
      <c r="C1267" s="8" t="s">
        <v>58</v>
      </c>
      <c r="D1267" s="8" t="s">
        <v>35</v>
      </c>
      <c r="E1267" s="8" t="s">
        <v>36</v>
      </c>
      <c r="F1267" s="8" t="s">
        <v>26</v>
      </c>
      <c r="G1267" s="8" t="n">
        <v>23</v>
      </c>
      <c r="H1267" s="9" t="n">
        <v>69.99</v>
      </c>
      <c r="I1267" s="9" t="n">
        <v>30</v>
      </c>
      <c r="J1267" s="10" t="n">
        <v>0.25</v>
      </c>
      <c r="K1267" s="9" t="n">
        <f aca="false">G1267*H1267*(1-J1267)</f>
        <v>1207.3275</v>
      </c>
      <c r="L1267" s="9" t="n">
        <f aca="false">G1267*I1267</f>
        <v>690</v>
      </c>
      <c r="M1267" s="9" t="n">
        <f aca="false">K1267-L1267</f>
        <v>517.3275</v>
      </c>
      <c r="N1267" s="11" t="n">
        <f aca="false">IF(K1267=0,0,M1267/K1267)</f>
        <v>0.428489784254894</v>
      </c>
      <c r="O1267" s="9" t="n">
        <f aca="false">(G1267*H1267)-K1267</f>
        <v>402.4425</v>
      </c>
      <c r="P1267" s="8" t="s">
        <v>21</v>
      </c>
    </row>
    <row r="1268" customFormat="false" ht="15" hidden="false" customHeight="false" outlineLevel="0" collapsed="false">
      <c r="A1268" s="2" t="n">
        <v>46128</v>
      </c>
      <c r="B1268" s="3" t="s">
        <v>64</v>
      </c>
      <c r="C1268" s="3" t="s">
        <v>65</v>
      </c>
      <c r="D1268" s="3" t="s">
        <v>93</v>
      </c>
      <c r="E1268" s="3" t="s">
        <v>94</v>
      </c>
      <c r="F1268" s="3" t="s">
        <v>34</v>
      </c>
      <c r="G1268" s="3" t="n">
        <v>16</v>
      </c>
      <c r="H1268" s="4" t="n">
        <v>29.99</v>
      </c>
      <c r="I1268" s="4" t="n">
        <v>9</v>
      </c>
      <c r="J1268" s="5" t="n">
        <v>0.2</v>
      </c>
      <c r="K1268" s="4" t="n">
        <f aca="false">G1268*H1268*(1-J1268)</f>
        <v>383.872</v>
      </c>
      <c r="L1268" s="4" t="n">
        <f aca="false">G1268*I1268</f>
        <v>144</v>
      </c>
      <c r="M1268" s="4" t="n">
        <f aca="false">K1268-L1268</f>
        <v>239.872</v>
      </c>
      <c r="N1268" s="6" t="n">
        <f aca="false">IF(K1268=0,0,M1268/K1268)</f>
        <v>0.62487495831944</v>
      </c>
      <c r="O1268" s="4" t="n">
        <f aca="false">(G1268*H1268)-K1268</f>
        <v>95.968</v>
      </c>
      <c r="P1268" s="3" t="s">
        <v>21</v>
      </c>
    </row>
    <row r="1269" customFormat="false" ht="15" hidden="false" customHeight="false" outlineLevel="0" collapsed="false">
      <c r="A1269" s="7" t="n">
        <v>46119</v>
      </c>
      <c r="B1269" s="8" t="s">
        <v>27</v>
      </c>
      <c r="C1269" s="8" t="s">
        <v>28</v>
      </c>
      <c r="D1269" s="8" t="s">
        <v>48</v>
      </c>
      <c r="E1269" s="8" t="s">
        <v>49</v>
      </c>
      <c r="F1269" s="8" t="s">
        <v>50</v>
      </c>
      <c r="G1269" s="8" t="n">
        <v>10</v>
      </c>
      <c r="H1269" s="9" t="n">
        <v>59.99</v>
      </c>
      <c r="I1269" s="9" t="n">
        <v>20</v>
      </c>
      <c r="J1269" s="10" t="n">
        <v>0.3</v>
      </c>
      <c r="K1269" s="9" t="n">
        <f aca="false">G1269*H1269*(1-J1269)</f>
        <v>419.93</v>
      </c>
      <c r="L1269" s="9" t="n">
        <f aca="false">G1269*I1269</f>
        <v>200</v>
      </c>
      <c r="M1269" s="9" t="n">
        <f aca="false">K1269-L1269</f>
        <v>219.93</v>
      </c>
      <c r="N1269" s="11" t="n">
        <f aca="false">IF(K1269=0,0,M1269/K1269)</f>
        <v>0.523730145500441</v>
      </c>
      <c r="O1269" s="9" t="n">
        <f aca="false">(G1269*H1269)-K1269</f>
        <v>179.97</v>
      </c>
      <c r="P1269" s="8" t="s">
        <v>21</v>
      </c>
    </row>
    <row r="1270" customFormat="false" ht="15" hidden="false" customHeight="false" outlineLevel="0" collapsed="false">
      <c r="A1270" s="2" t="n">
        <v>46037</v>
      </c>
      <c r="B1270" s="3" t="s">
        <v>27</v>
      </c>
      <c r="C1270" s="3" t="s">
        <v>28</v>
      </c>
      <c r="D1270" s="3" t="s">
        <v>76</v>
      </c>
      <c r="E1270" s="3" t="s">
        <v>77</v>
      </c>
      <c r="F1270" s="3" t="s">
        <v>34</v>
      </c>
      <c r="G1270" s="3" t="n">
        <v>28</v>
      </c>
      <c r="H1270" s="4" t="n">
        <v>44.99</v>
      </c>
      <c r="I1270" s="4" t="n">
        <v>14</v>
      </c>
      <c r="J1270" s="5" t="n">
        <v>0.15</v>
      </c>
      <c r="K1270" s="4" t="n">
        <f aca="false">G1270*H1270*(1-J1270)</f>
        <v>1070.762</v>
      </c>
      <c r="L1270" s="4" t="n">
        <f aca="false">G1270*I1270</f>
        <v>392</v>
      </c>
      <c r="M1270" s="4" t="n">
        <f aca="false">K1270-L1270</f>
        <v>678.762</v>
      </c>
      <c r="N1270" s="6" t="n">
        <f aca="false">IF(K1270=0,0,M1270/K1270)</f>
        <v>0.633905573787639</v>
      </c>
      <c r="O1270" s="4" t="n">
        <f aca="false">(G1270*H1270)-K1270</f>
        <v>188.958</v>
      </c>
      <c r="P1270" s="3" t="s">
        <v>21</v>
      </c>
    </row>
    <row r="1271" customFormat="false" ht="15" hidden="false" customHeight="false" outlineLevel="0" collapsed="false">
      <c r="A1271" s="7" t="n">
        <v>46107</v>
      </c>
      <c r="B1271" s="8" t="s">
        <v>58</v>
      </c>
      <c r="C1271" s="8" t="s">
        <v>58</v>
      </c>
      <c r="D1271" s="8" t="s">
        <v>55</v>
      </c>
      <c r="E1271" s="8" t="s">
        <v>56</v>
      </c>
      <c r="F1271" s="8" t="s">
        <v>57</v>
      </c>
      <c r="G1271" s="8" t="n">
        <v>20</v>
      </c>
      <c r="H1271" s="9" t="n">
        <v>29.99</v>
      </c>
      <c r="I1271" s="9" t="n">
        <v>11</v>
      </c>
      <c r="J1271" s="10" t="n">
        <v>0.25</v>
      </c>
      <c r="K1271" s="9" t="n">
        <f aca="false">G1271*H1271*(1-J1271)</f>
        <v>449.85</v>
      </c>
      <c r="L1271" s="9" t="n">
        <f aca="false">G1271*I1271</f>
        <v>220</v>
      </c>
      <c r="M1271" s="9" t="n">
        <f aca="false">K1271-L1271</f>
        <v>229.85</v>
      </c>
      <c r="N1271" s="11" t="n">
        <f aca="false">IF(K1271=0,0,M1271/K1271)</f>
        <v>0.510948093809047</v>
      </c>
      <c r="O1271" s="9" t="n">
        <f aca="false">(G1271*H1271)-K1271</f>
        <v>149.95</v>
      </c>
      <c r="P1271" s="8" t="s">
        <v>21</v>
      </c>
    </row>
    <row r="1272" customFormat="false" ht="15" hidden="false" customHeight="false" outlineLevel="0" collapsed="false">
      <c r="A1272" s="2" t="n">
        <v>46128</v>
      </c>
      <c r="B1272" s="3" t="s">
        <v>41</v>
      </c>
      <c r="C1272" s="3" t="s">
        <v>28</v>
      </c>
      <c r="D1272" s="3" t="s">
        <v>74</v>
      </c>
      <c r="E1272" s="3" t="s">
        <v>75</v>
      </c>
      <c r="F1272" s="3" t="s">
        <v>40</v>
      </c>
      <c r="G1272" s="3" t="n">
        <v>23</v>
      </c>
      <c r="H1272" s="4" t="n">
        <v>29.99</v>
      </c>
      <c r="I1272" s="4" t="n">
        <v>13</v>
      </c>
      <c r="J1272" s="5" t="n">
        <v>0</v>
      </c>
      <c r="K1272" s="4" t="n">
        <f aca="false">G1272*H1272*(1-J1272)</f>
        <v>689.77</v>
      </c>
      <c r="L1272" s="4" t="n">
        <f aca="false">G1272*I1272</f>
        <v>299</v>
      </c>
      <c r="M1272" s="4" t="n">
        <f aca="false">K1272-L1272</f>
        <v>390.77</v>
      </c>
      <c r="N1272" s="6" t="n">
        <f aca="false">IF(K1272=0,0,M1272/K1272)</f>
        <v>0.566522174058019</v>
      </c>
      <c r="O1272" s="4" t="n">
        <f aca="false">(G1272*H1272)-K1272</f>
        <v>0</v>
      </c>
      <c r="P1272" s="3" t="s">
        <v>21</v>
      </c>
    </row>
    <row r="1273" customFormat="false" ht="15" hidden="false" customHeight="false" outlineLevel="0" collapsed="false">
      <c r="A1273" s="7" t="n">
        <v>46034</v>
      </c>
      <c r="B1273" s="8" t="s">
        <v>27</v>
      </c>
      <c r="C1273" s="8" t="s">
        <v>28</v>
      </c>
      <c r="D1273" s="8" t="s">
        <v>95</v>
      </c>
      <c r="E1273" s="8" t="s">
        <v>96</v>
      </c>
      <c r="F1273" s="8" t="s">
        <v>50</v>
      </c>
      <c r="G1273" s="8" t="n">
        <v>23</v>
      </c>
      <c r="H1273" s="9" t="n">
        <v>34.99</v>
      </c>
      <c r="I1273" s="9" t="n">
        <v>12</v>
      </c>
      <c r="J1273" s="10" t="n">
        <v>0.15</v>
      </c>
      <c r="K1273" s="9" t="n">
        <f aca="false">G1273*H1273*(1-J1273)</f>
        <v>684.0545</v>
      </c>
      <c r="L1273" s="9" t="n">
        <f aca="false">G1273*I1273</f>
        <v>276</v>
      </c>
      <c r="M1273" s="9" t="n">
        <f aca="false">K1273-L1273</f>
        <v>408.0545</v>
      </c>
      <c r="N1273" s="11" t="n">
        <f aca="false">IF(K1273=0,0,M1273/K1273)</f>
        <v>0.596523376426878</v>
      </c>
      <c r="O1273" s="9" t="n">
        <f aca="false">(G1273*H1273)-K1273</f>
        <v>120.7155</v>
      </c>
      <c r="P1273" s="8" t="s">
        <v>21</v>
      </c>
    </row>
    <row r="1274" customFormat="false" ht="15" hidden="false" customHeight="false" outlineLevel="0" collapsed="false">
      <c r="A1274" s="2" t="n">
        <v>46078</v>
      </c>
      <c r="B1274" s="3" t="s">
        <v>64</v>
      </c>
      <c r="C1274" s="3" t="s">
        <v>65</v>
      </c>
      <c r="D1274" s="3" t="s">
        <v>93</v>
      </c>
      <c r="E1274" s="3" t="s">
        <v>94</v>
      </c>
      <c r="F1274" s="3" t="s">
        <v>34</v>
      </c>
      <c r="G1274" s="3" t="n">
        <v>15</v>
      </c>
      <c r="H1274" s="4" t="n">
        <v>29.99</v>
      </c>
      <c r="I1274" s="4" t="n">
        <v>9</v>
      </c>
      <c r="J1274" s="5" t="n">
        <v>0.1</v>
      </c>
      <c r="K1274" s="4" t="n">
        <f aca="false">G1274*H1274*(1-J1274)</f>
        <v>404.865</v>
      </c>
      <c r="L1274" s="4" t="n">
        <f aca="false">G1274*I1274</f>
        <v>135</v>
      </c>
      <c r="M1274" s="4" t="n">
        <f aca="false">K1274-L1274</f>
        <v>269.865</v>
      </c>
      <c r="N1274" s="6" t="n">
        <f aca="false">IF(K1274=0,0,M1274/K1274)</f>
        <v>0.666555518506169</v>
      </c>
      <c r="O1274" s="4" t="n">
        <f aca="false">(G1274*H1274)-K1274</f>
        <v>44.985</v>
      </c>
      <c r="P1274" s="3" t="s">
        <v>21</v>
      </c>
    </row>
    <row r="1275" customFormat="false" ht="15" hidden="false" customHeight="false" outlineLevel="0" collapsed="false">
      <c r="A1275" s="7" t="n">
        <v>46032</v>
      </c>
      <c r="B1275" s="8" t="s">
        <v>22</v>
      </c>
      <c r="C1275" s="8" t="s">
        <v>23</v>
      </c>
      <c r="D1275" s="8" t="s">
        <v>72</v>
      </c>
      <c r="E1275" s="8" t="s">
        <v>73</v>
      </c>
      <c r="F1275" s="8" t="s">
        <v>57</v>
      </c>
      <c r="G1275" s="8" t="n">
        <v>1</v>
      </c>
      <c r="H1275" s="9" t="n">
        <v>19.99</v>
      </c>
      <c r="I1275" s="9" t="n">
        <v>7</v>
      </c>
      <c r="J1275" s="10" t="n">
        <v>0.45</v>
      </c>
      <c r="K1275" s="9" t="n">
        <f aca="false">G1275*H1275*(1-J1275)</f>
        <v>10.9945</v>
      </c>
      <c r="L1275" s="9" t="n">
        <f aca="false">G1275*I1275</f>
        <v>7</v>
      </c>
      <c r="M1275" s="9" t="n">
        <f aca="false">K1275-L1275</f>
        <v>3.9945</v>
      </c>
      <c r="N1275" s="11" t="n">
        <f aca="false">IF(K1275=0,0,M1275/K1275)</f>
        <v>0.363318022647688</v>
      </c>
      <c r="O1275" s="9" t="n">
        <f aca="false">(G1275*H1275)-K1275</f>
        <v>8.9955</v>
      </c>
      <c r="P1275" s="14" t="s">
        <v>97</v>
      </c>
    </row>
    <row r="1276" customFormat="false" ht="15" hidden="false" customHeight="false" outlineLevel="0" collapsed="false">
      <c r="A1276" s="2" t="n">
        <v>46057</v>
      </c>
      <c r="B1276" s="3" t="s">
        <v>58</v>
      </c>
      <c r="C1276" s="3" t="s">
        <v>58</v>
      </c>
      <c r="D1276" s="3" t="s">
        <v>95</v>
      </c>
      <c r="E1276" s="3" t="s">
        <v>96</v>
      </c>
      <c r="F1276" s="3" t="s">
        <v>50</v>
      </c>
      <c r="G1276" s="3" t="n">
        <v>8</v>
      </c>
      <c r="H1276" s="4" t="n">
        <v>34.99</v>
      </c>
      <c r="I1276" s="4" t="n">
        <v>12</v>
      </c>
      <c r="J1276" s="5" t="n">
        <v>0</v>
      </c>
      <c r="K1276" s="4" t="n">
        <f aca="false">G1276*H1276*(1-J1276)</f>
        <v>279.92</v>
      </c>
      <c r="L1276" s="4" t="n">
        <f aca="false">G1276*I1276</f>
        <v>96</v>
      </c>
      <c r="M1276" s="4" t="n">
        <f aca="false">K1276-L1276</f>
        <v>183.92</v>
      </c>
      <c r="N1276" s="6" t="n">
        <f aca="false">IF(K1276=0,0,M1276/K1276)</f>
        <v>0.657044869962847</v>
      </c>
      <c r="O1276" s="4" t="n">
        <f aca="false">(G1276*H1276)-K1276</f>
        <v>0</v>
      </c>
      <c r="P1276" s="3" t="s">
        <v>21</v>
      </c>
    </row>
    <row r="1277" customFormat="false" ht="15" hidden="false" customHeight="false" outlineLevel="0" collapsed="false">
      <c r="A1277" s="7" t="n">
        <v>46056</v>
      </c>
      <c r="B1277" s="8" t="s">
        <v>58</v>
      </c>
      <c r="C1277" s="8" t="s">
        <v>58</v>
      </c>
      <c r="D1277" s="8" t="s">
        <v>32</v>
      </c>
      <c r="E1277" s="8" t="s">
        <v>33</v>
      </c>
      <c r="F1277" s="8" t="s">
        <v>34</v>
      </c>
      <c r="G1277" s="8" t="n">
        <v>25</v>
      </c>
      <c r="H1277" s="9" t="n">
        <v>18.99</v>
      </c>
      <c r="I1277" s="9" t="n">
        <v>6</v>
      </c>
      <c r="J1277" s="10" t="n">
        <v>0</v>
      </c>
      <c r="K1277" s="9" t="n">
        <f aca="false">G1277*H1277*(1-J1277)</f>
        <v>474.75</v>
      </c>
      <c r="L1277" s="9" t="n">
        <f aca="false">G1277*I1277</f>
        <v>150</v>
      </c>
      <c r="M1277" s="9" t="n">
        <f aca="false">K1277-L1277</f>
        <v>324.75</v>
      </c>
      <c r="N1277" s="11" t="n">
        <f aca="false">IF(K1277=0,0,M1277/K1277)</f>
        <v>0.684044233807267</v>
      </c>
      <c r="O1277" s="9" t="n">
        <f aca="false">(G1277*H1277)-K1277</f>
        <v>0</v>
      </c>
      <c r="P1277" s="8" t="s">
        <v>21</v>
      </c>
    </row>
    <row r="1278" customFormat="false" ht="15" hidden="false" customHeight="false" outlineLevel="0" collapsed="false">
      <c r="A1278" s="2" t="n">
        <v>46086</v>
      </c>
      <c r="B1278" s="3" t="s">
        <v>37</v>
      </c>
      <c r="C1278" s="3" t="s">
        <v>17</v>
      </c>
      <c r="D1278" s="3" t="s">
        <v>61</v>
      </c>
      <c r="E1278" s="3" t="s">
        <v>62</v>
      </c>
      <c r="F1278" s="3" t="s">
        <v>34</v>
      </c>
      <c r="G1278" s="3" t="n">
        <v>17</v>
      </c>
      <c r="H1278" s="4" t="n">
        <v>12.99</v>
      </c>
      <c r="I1278" s="4" t="n">
        <v>4.5</v>
      </c>
      <c r="J1278" s="5" t="n">
        <v>0.05</v>
      </c>
      <c r="K1278" s="4" t="n">
        <f aca="false">G1278*H1278*(1-J1278)</f>
        <v>209.7885</v>
      </c>
      <c r="L1278" s="4" t="n">
        <f aca="false">G1278*I1278</f>
        <v>76.5</v>
      </c>
      <c r="M1278" s="4" t="n">
        <f aca="false">K1278-L1278</f>
        <v>133.2885</v>
      </c>
      <c r="N1278" s="6" t="n">
        <f aca="false">IF(K1278=0,0,M1278/K1278)</f>
        <v>0.635347028078279</v>
      </c>
      <c r="O1278" s="4" t="n">
        <f aca="false">(G1278*H1278)-K1278</f>
        <v>11.0415</v>
      </c>
      <c r="P1278" s="3" t="s">
        <v>21</v>
      </c>
    </row>
    <row r="1279" customFormat="false" ht="15" hidden="false" customHeight="false" outlineLevel="0" collapsed="false">
      <c r="A1279" s="7" t="n">
        <v>46116</v>
      </c>
      <c r="B1279" s="8" t="s">
        <v>58</v>
      </c>
      <c r="C1279" s="8" t="s">
        <v>58</v>
      </c>
      <c r="D1279" s="8" t="s">
        <v>86</v>
      </c>
      <c r="E1279" s="8" t="s">
        <v>87</v>
      </c>
      <c r="F1279" s="8" t="s">
        <v>40</v>
      </c>
      <c r="G1279" s="8" t="n">
        <v>2</v>
      </c>
      <c r="H1279" s="9" t="n">
        <v>16.99</v>
      </c>
      <c r="I1279" s="9" t="n">
        <v>5.5</v>
      </c>
      <c r="J1279" s="10" t="n">
        <v>0</v>
      </c>
      <c r="K1279" s="9" t="n">
        <f aca="false">G1279*H1279*(1-J1279)</f>
        <v>33.98</v>
      </c>
      <c r="L1279" s="9" t="n">
        <f aca="false">G1279*I1279</f>
        <v>11</v>
      </c>
      <c r="M1279" s="9" t="n">
        <f aca="false">K1279-L1279</f>
        <v>22.98</v>
      </c>
      <c r="N1279" s="11" t="n">
        <f aca="false">IF(K1279=0,0,M1279/K1279)</f>
        <v>0.676280164802825</v>
      </c>
      <c r="O1279" s="9" t="n">
        <f aca="false">(G1279*H1279)-K1279</f>
        <v>0</v>
      </c>
      <c r="P1279" s="8" t="s">
        <v>21</v>
      </c>
    </row>
    <row r="1280" customFormat="false" ht="15" hidden="false" customHeight="false" outlineLevel="0" collapsed="false">
      <c r="A1280" s="2" t="n">
        <v>46091</v>
      </c>
      <c r="B1280" s="3" t="s">
        <v>64</v>
      </c>
      <c r="C1280" s="3" t="s">
        <v>65</v>
      </c>
      <c r="D1280" s="3" t="s">
        <v>93</v>
      </c>
      <c r="E1280" s="3" t="s">
        <v>94</v>
      </c>
      <c r="F1280" s="3" t="s">
        <v>34</v>
      </c>
      <c r="G1280" s="3" t="n">
        <v>2</v>
      </c>
      <c r="H1280" s="4" t="n">
        <v>29.99</v>
      </c>
      <c r="I1280" s="4" t="n">
        <v>9</v>
      </c>
      <c r="J1280" s="5" t="n">
        <v>0.2</v>
      </c>
      <c r="K1280" s="4" t="n">
        <f aca="false">G1280*H1280*(1-J1280)</f>
        <v>47.984</v>
      </c>
      <c r="L1280" s="4" t="n">
        <f aca="false">G1280*I1280</f>
        <v>18</v>
      </c>
      <c r="M1280" s="4" t="n">
        <f aca="false">K1280-L1280</f>
        <v>29.984</v>
      </c>
      <c r="N1280" s="6" t="n">
        <f aca="false">IF(K1280=0,0,M1280/K1280)</f>
        <v>0.62487495831944</v>
      </c>
      <c r="O1280" s="4" t="n">
        <f aca="false">(G1280*H1280)-K1280</f>
        <v>11.996</v>
      </c>
      <c r="P1280" s="3" t="s">
        <v>21</v>
      </c>
    </row>
    <row r="1281" customFormat="false" ht="15" hidden="false" customHeight="false" outlineLevel="0" collapsed="false">
      <c r="A1281" s="7" t="n">
        <v>46118</v>
      </c>
      <c r="B1281" s="8" t="s">
        <v>31</v>
      </c>
      <c r="C1281" s="8" t="s">
        <v>23</v>
      </c>
      <c r="D1281" s="8" t="s">
        <v>32</v>
      </c>
      <c r="E1281" s="8" t="s">
        <v>33</v>
      </c>
      <c r="F1281" s="8" t="s">
        <v>34</v>
      </c>
      <c r="G1281" s="8" t="n">
        <v>25</v>
      </c>
      <c r="H1281" s="9" t="n">
        <v>18.99</v>
      </c>
      <c r="I1281" s="9" t="n">
        <v>6</v>
      </c>
      <c r="J1281" s="10" t="n">
        <v>0.3</v>
      </c>
      <c r="K1281" s="9" t="n">
        <f aca="false">G1281*H1281*(1-J1281)</f>
        <v>332.325</v>
      </c>
      <c r="L1281" s="9" t="n">
        <f aca="false">G1281*I1281</f>
        <v>150</v>
      </c>
      <c r="M1281" s="9" t="n">
        <f aca="false">K1281-L1281</f>
        <v>182.325</v>
      </c>
      <c r="N1281" s="11" t="n">
        <f aca="false">IF(K1281=0,0,M1281/K1281)</f>
        <v>0.548634619724667</v>
      </c>
      <c r="O1281" s="9" t="n">
        <f aca="false">(G1281*H1281)-K1281</f>
        <v>142.425</v>
      </c>
      <c r="P1281" s="8" t="s">
        <v>21</v>
      </c>
    </row>
    <row r="1282" customFormat="false" ht="15" hidden="false" customHeight="false" outlineLevel="0" collapsed="false">
      <c r="A1282" s="2" t="n">
        <v>46086</v>
      </c>
      <c r="B1282" s="3" t="s">
        <v>41</v>
      </c>
      <c r="C1282" s="3" t="s">
        <v>28</v>
      </c>
      <c r="D1282" s="3" t="s">
        <v>35</v>
      </c>
      <c r="E1282" s="3" t="s">
        <v>36</v>
      </c>
      <c r="F1282" s="3" t="s">
        <v>26</v>
      </c>
      <c r="G1282" s="3" t="n">
        <v>25</v>
      </c>
      <c r="H1282" s="4" t="n">
        <v>69.99</v>
      </c>
      <c r="I1282" s="4" t="n">
        <v>30</v>
      </c>
      <c r="J1282" s="5" t="n">
        <v>0.15</v>
      </c>
      <c r="K1282" s="4" t="n">
        <f aca="false">G1282*H1282*(1-J1282)</f>
        <v>1487.2875</v>
      </c>
      <c r="L1282" s="4" t="n">
        <f aca="false">G1282*I1282</f>
        <v>750</v>
      </c>
      <c r="M1282" s="4" t="n">
        <f aca="false">K1282-L1282</f>
        <v>737.2875</v>
      </c>
      <c r="N1282" s="6" t="n">
        <f aca="false">IF(K1282=0,0,M1282/K1282)</f>
        <v>0.495726280224906</v>
      </c>
      <c r="O1282" s="4" t="n">
        <f aca="false">(G1282*H1282)-K1282</f>
        <v>262.4625</v>
      </c>
      <c r="P1282" s="3" t="s">
        <v>21</v>
      </c>
    </row>
    <row r="1283" customFormat="false" ht="15" hidden="false" customHeight="false" outlineLevel="0" collapsed="false">
      <c r="A1283" s="7" t="n">
        <v>46091</v>
      </c>
      <c r="B1283" s="8" t="s">
        <v>37</v>
      </c>
      <c r="C1283" s="8" t="s">
        <v>17</v>
      </c>
      <c r="D1283" s="8" t="s">
        <v>66</v>
      </c>
      <c r="E1283" s="8" t="s">
        <v>67</v>
      </c>
      <c r="F1283" s="8" t="s">
        <v>57</v>
      </c>
      <c r="G1283" s="8" t="n">
        <v>8</v>
      </c>
      <c r="H1283" s="9" t="n">
        <v>14.99</v>
      </c>
      <c r="I1283" s="9" t="n">
        <v>5.5</v>
      </c>
      <c r="J1283" s="10" t="n">
        <v>0.05</v>
      </c>
      <c r="K1283" s="9" t="n">
        <f aca="false">G1283*H1283*(1-J1283)</f>
        <v>113.924</v>
      </c>
      <c r="L1283" s="9" t="n">
        <f aca="false">G1283*I1283</f>
        <v>44</v>
      </c>
      <c r="M1283" s="9" t="n">
        <f aca="false">K1283-L1283</f>
        <v>69.924</v>
      </c>
      <c r="N1283" s="11" t="n">
        <f aca="false">IF(K1283=0,0,M1283/K1283)</f>
        <v>0.613777606123381</v>
      </c>
      <c r="O1283" s="9" t="n">
        <f aca="false">(G1283*H1283)-K1283</f>
        <v>5.99600000000001</v>
      </c>
      <c r="P1283" s="8" t="s">
        <v>21</v>
      </c>
    </row>
    <row r="1284" customFormat="false" ht="15" hidden="false" customHeight="false" outlineLevel="0" collapsed="false">
      <c r="A1284" s="2" t="n">
        <v>46097</v>
      </c>
      <c r="B1284" s="3" t="s">
        <v>16</v>
      </c>
      <c r="C1284" s="3" t="s">
        <v>17</v>
      </c>
      <c r="D1284" s="3" t="s">
        <v>59</v>
      </c>
      <c r="E1284" s="3" t="s">
        <v>60</v>
      </c>
      <c r="F1284" s="3" t="s">
        <v>50</v>
      </c>
      <c r="G1284" s="3" t="n">
        <v>21</v>
      </c>
      <c r="H1284" s="4" t="n">
        <v>24.99</v>
      </c>
      <c r="I1284" s="4" t="n">
        <v>8.5</v>
      </c>
      <c r="J1284" s="5" t="n">
        <v>0.1</v>
      </c>
      <c r="K1284" s="4" t="n">
        <f aca="false">G1284*H1284*(1-J1284)</f>
        <v>472.311</v>
      </c>
      <c r="L1284" s="4" t="n">
        <f aca="false">G1284*I1284</f>
        <v>178.5</v>
      </c>
      <c r="M1284" s="4" t="n">
        <f aca="false">K1284-L1284</f>
        <v>293.811</v>
      </c>
      <c r="N1284" s="6" t="n">
        <f aca="false">IF(K1284=0,0,M1284/K1284)</f>
        <v>0.622071050642479</v>
      </c>
      <c r="O1284" s="4" t="n">
        <f aca="false">(G1284*H1284)-K1284</f>
        <v>52.479</v>
      </c>
      <c r="P1284" s="3" t="s">
        <v>21</v>
      </c>
    </row>
    <row r="1285" customFormat="false" ht="15" hidden="false" customHeight="false" outlineLevel="0" collapsed="false">
      <c r="A1285" s="7" t="n">
        <v>46128</v>
      </c>
      <c r="B1285" s="8" t="s">
        <v>41</v>
      </c>
      <c r="C1285" s="8" t="s">
        <v>28</v>
      </c>
      <c r="D1285" s="8" t="s">
        <v>55</v>
      </c>
      <c r="E1285" s="8" t="s">
        <v>56</v>
      </c>
      <c r="F1285" s="8" t="s">
        <v>57</v>
      </c>
      <c r="G1285" s="8" t="n">
        <v>26</v>
      </c>
      <c r="H1285" s="9" t="n">
        <v>29.99</v>
      </c>
      <c r="I1285" s="9" t="n">
        <v>11</v>
      </c>
      <c r="J1285" s="10" t="n">
        <v>0.2</v>
      </c>
      <c r="K1285" s="9" t="n">
        <f aca="false">G1285*H1285*(1-J1285)</f>
        <v>623.792</v>
      </c>
      <c r="L1285" s="9" t="n">
        <f aca="false">G1285*I1285</f>
        <v>286</v>
      </c>
      <c r="M1285" s="9" t="n">
        <f aca="false">K1285-L1285</f>
        <v>337.792</v>
      </c>
      <c r="N1285" s="11" t="n">
        <f aca="false">IF(K1285=0,0,M1285/K1285)</f>
        <v>0.541513837945982</v>
      </c>
      <c r="O1285" s="9" t="n">
        <f aca="false">(G1285*H1285)-K1285</f>
        <v>155.948</v>
      </c>
      <c r="P1285" s="8" t="s">
        <v>21</v>
      </c>
    </row>
    <row r="1286" customFormat="false" ht="15" hidden="false" customHeight="false" outlineLevel="0" collapsed="false">
      <c r="A1286" s="2" t="n">
        <v>46033</v>
      </c>
      <c r="B1286" s="3" t="s">
        <v>41</v>
      </c>
      <c r="C1286" s="3" t="s">
        <v>28</v>
      </c>
      <c r="D1286" s="3" t="s">
        <v>80</v>
      </c>
      <c r="E1286" s="3" t="s">
        <v>81</v>
      </c>
      <c r="F1286" s="3" t="s">
        <v>57</v>
      </c>
      <c r="G1286" s="3" t="n">
        <v>10</v>
      </c>
      <c r="H1286" s="4" t="n">
        <v>17.99</v>
      </c>
      <c r="I1286" s="4" t="n">
        <v>6.5</v>
      </c>
      <c r="J1286" s="5" t="n">
        <v>0</v>
      </c>
      <c r="K1286" s="4" t="n">
        <f aca="false">G1286*H1286*(1-J1286)</f>
        <v>179.9</v>
      </c>
      <c r="L1286" s="4" t="n">
        <f aca="false">G1286*I1286</f>
        <v>65</v>
      </c>
      <c r="M1286" s="4" t="n">
        <f aca="false">K1286-L1286</f>
        <v>114.9</v>
      </c>
      <c r="N1286" s="6" t="n">
        <f aca="false">IF(K1286=0,0,M1286/K1286)</f>
        <v>0.638688160088938</v>
      </c>
      <c r="O1286" s="4" t="n">
        <f aca="false">(G1286*H1286)-K1286</f>
        <v>0</v>
      </c>
      <c r="P1286" s="3" t="s">
        <v>21</v>
      </c>
    </row>
    <row r="1287" customFormat="false" ht="15" hidden="false" customHeight="false" outlineLevel="0" collapsed="false">
      <c r="A1287" s="7" t="n">
        <v>46117</v>
      </c>
      <c r="B1287" s="8" t="s">
        <v>64</v>
      </c>
      <c r="C1287" s="8" t="s">
        <v>65</v>
      </c>
      <c r="D1287" s="8" t="s">
        <v>93</v>
      </c>
      <c r="E1287" s="8" t="s">
        <v>94</v>
      </c>
      <c r="F1287" s="8" t="s">
        <v>34</v>
      </c>
      <c r="G1287" s="8" t="n">
        <v>11</v>
      </c>
      <c r="H1287" s="9" t="n">
        <v>29.99</v>
      </c>
      <c r="I1287" s="9" t="n">
        <v>9</v>
      </c>
      <c r="J1287" s="10" t="n">
        <v>0.1</v>
      </c>
      <c r="K1287" s="9" t="n">
        <f aca="false">G1287*H1287*(1-J1287)</f>
        <v>296.901</v>
      </c>
      <c r="L1287" s="9" t="n">
        <f aca="false">G1287*I1287</f>
        <v>99</v>
      </c>
      <c r="M1287" s="9" t="n">
        <f aca="false">K1287-L1287</f>
        <v>197.901</v>
      </c>
      <c r="N1287" s="11" t="n">
        <f aca="false">IF(K1287=0,0,M1287/K1287)</f>
        <v>0.666555518506169</v>
      </c>
      <c r="O1287" s="9" t="n">
        <f aca="false">(G1287*H1287)-K1287</f>
        <v>32.989</v>
      </c>
      <c r="P1287" s="8" t="s">
        <v>21</v>
      </c>
    </row>
    <row r="1288" customFormat="false" ht="15" hidden="false" customHeight="false" outlineLevel="0" collapsed="false">
      <c r="A1288" s="2" t="n">
        <v>46092</v>
      </c>
      <c r="B1288" s="3" t="s">
        <v>16</v>
      </c>
      <c r="C1288" s="3" t="s">
        <v>17</v>
      </c>
      <c r="D1288" s="3" t="s">
        <v>32</v>
      </c>
      <c r="E1288" s="3" t="s">
        <v>33</v>
      </c>
      <c r="F1288" s="3" t="s">
        <v>34</v>
      </c>
      <c r="G1288" s="3" t="n">
        <v>28</v>
      </c>
      <c r="H1288" s="4" t="n">
        <v>18.99</v>
      </c>
      <c r="I1288" s="4" t="n">
        <v>6</v>
      </c>
      <c r="J1288" s="5" t="n">
        <v>0.1</v>
      </c>
      <c r="K1288" s="4" t="n">
        <f aca="false">G1288*H1288*(1-J1288)</f>
        <v>478.548</v>
      </c>
      <c r="L1288" s="4" t="n">
        <f aca="false">G1288*I1288</f>
        <v>168</v>
      </c>
      <c r="M1288" s="4" t="n">
        <f aca="false">K1288-L1288</f>
        <v>310.548</v>
      </c>
      <c r="N1288" s="6" t="n">
        <f aca="false">IF(K1288=0,0,M1288/K1288)</f>
        <v>0.64893803756363</v>
      </c>
      <c r="O1288" s="4" t="n">
        <f aca="false">(G1288*H1288)-K1288</f>
        <v>53.172</v>
      </c>
      <c r="P1288" s="3" t="s">
        <v>21</v>
      </c>
    </row>
    <row r="1289" customFormat="false" ht="15" hidden="false" customHeight="false" outlineLevel="0" collapsed="false">
      <c r="A1289" s="7" t="n">
        <v>46036</v>
      </c>
      <c r="B1289" s="8" t="s">
        <v>27</v>
      </c>
      <c r="C1289" s="8" t="s">
        <v>28</v>
      </c>
      <c r="D1289" s="8" t="s">
        <v>80</v>
      </c>
      <c r="E1289" s="8" t="s">
        <v>81</v>
      </c>
      <c r="F1289" s="8" t="s">
        <v>57</v>
      </c>
      <c r="G1289" s="8" t="n">
        <v>7</v>
      </c>
      <c r="H1289" s="9" t="n">
        <v>17.99</v>
      </c>
      <c r="I1289" s="9" t="n">
        <v>6.5</v>
      </c>
      <c r="J1289" s="10" t="n">
        <v>0</v>
      </c>
      <c r="K1289" s="9" t="n">
        <f aca="false">G1289*H1289*(1-J1289)</f>
        <v>125.93</v>
      </c>
      <c r="L1289" s="9" t="n">
        <f aca="false">G1289*I1289</f>
        <v>45.5</v>
      </c>
      <c r="M1289" s="9" t="n">
        <f aca="false">K1289-L1289</f>
        <v>80.43</v>
      </c>
      <c r="N1289" s="11" t="n">
        <f aca="false">IF(K1289=0,0,M1289/K1289)</f>
        <v>0.638688160088938</v>
      </c>
      <c r="O1289" s="9" t="n">
        <f aca="false">(G1289*H1289)-K1289</f>
        <v>0</v>
      </c>
      <c r="P1289" s="8" t="s">
        <v>21</v>
      </c>
    </row>
    <row r="1290" customFormat="false" ht="15" hidden="false" customHeight="false" outlineLevel="0" collapsed="false">
      <c r="A1290" s="2" t="n">
        <v>46037</v>
      </c>
      <c r="B1290" s="3" t="s">
        <v>58</v>
      </c>
      <c r="C1290" s="3" t="s">
        <v>58</v>
      </c>
      <c r="D1290" s="3" t="s">
        <v>78</v>
      </c>
      <c r="E1290" s="3" t="s">
        <v>79</v>
      </c>
      <c r="F1290" s="3" t="s">
        <v>20</v>
      </c>
      <c r="G1290" s="3" t="n">
        <v>8</v>
      </c>
      <c r="H1290" s="4" t="n">
        <v>39.99</v>
      </c>
      <c r="I1290" s="4" t="n">
        <v>16</v>
      </c>
      <c r="J1290" s="5" t="n">
        <v>0.55</v>
      </c>
      <c r="K1290" s="4" t="n">
        <f aca="false">G1290*H1290*(1-J1290)</f>
        <v>143.964</v>
      </c>
      <c r="L1290" s="4" t="n">
        <f aca="false">G1290*I1290</f>
        <v>128</v>
      </c>
      <c r="M1290" s="4" t="n">
        <f aca="false">K1290-L1290</f>
        <v>15.964</v>
      </c>
      <c r="N1290" s="6" t="n">
        <f aca="false">IF(K1290=0,0,M1290/K1290)</f>
        <v>0.110888833319441</v>
      </c>
      <c r="O1290" s="4" t="n">
        <f aca="false">(G1290*H1290)-K1290</f>
        <v>175.956</v>
      </c>
      <c r="P1290" s="14" t="s">
        <v>97</v>
      </c>
    </row>
    <row r="1291" customFormat="false" ht="15" hidden="false" customHeight="false" outlineLevel="0" collapsed="false">
      <c r="A1291" s="7" t="n">
        <v>46123</v>
      </c>
      <c r="B1291" s="8" t="s">
        <v>31</v>
      </c>
      <c r="C1291" s="8" t="s">
        <v>23</v>
      </c>
      <c r="D1291" s="8" t="s">
        <v>59</v>
      </c>
      <c r="E1291" s="8" t="s">
        <v>60</v>
      </c>
      <c r="F1291" s="8" t="s">
        <v>50</v>
      </c>
      <c r="G1291" s="8" t="n">
        <v>4</v>
      </c>
      <c r="H1291" s="9" t="n">
        <v>24.99</v>
      </c>
      <c r="I1291" s="9" t="n">
        <v>8.5</v>
      </c>
      <c r="J1291" s="10" t="n">
        <v>0</v>
      </c>
      <c r="K1291" s="9" t="n">
        <f aca="false">G1291*H1291*(1-J1291)</f>
        <v>99.96</v>
      </c>
      <c r="L1291" s="9" t="n">
        <f aca="false">G1291*I1291</f>
        <v>34</v>
      </c>
      <c r="M1291" s="9" t="n">
        <f aca="false">K1291-L1291</f>
        <v>65.96</v>
      </c>
      <c r="N1291" s="11" t="n">
        <f aca="false">IF(K1291=0,0,M1291/K1291)</f>
        <v>0.659863945578231</v>
      </c>
      <c r="O1291" s="9" t="n">
        <f aca="false">(G1291*H1291)-K1291</f>
        <v>0</v>
      </c>
      <c r="P1291" s="8" t="s">
        <v>21</v>
      </c>
    </row>
    <row r="1292" customFormat="false" ht="15" hidden="false" customHeight="false" outlineLevel="0" collapsed="false">
      <c r="A1292" s="2" t="n">
        <v>46118</v>
      </c>
      <c r="B1292" s="3" t="s">
        <v>58</v>
      </c>
      <c r="C1292" s="3" t="s">
        <v>58</v>
      </c>
      <c r="D1292" s="3" t="s">
        <v>72</v>
      </c>
      <c r="E1292" s="3" t="s">
        <v>73</v>
      </c>
      <c r="F1292" s="3" t="s">
        <v>57</v>
      </c>
      <c r="G1292" s="3" t="n">
        <v>17</v>
      </c>
      <c r="H1292" s="4" t="n">
        <v>19.99</v>
      </c>
      <c r="I1292" s="4" t="n">
        <v>7</v>
      </c>
      <c r="J1292" s="5" t="n">
        <v>0</v>
      </c>
      <c r="K1292" s="4" t="n">
        <f aca="false">G1292*H1292*(1-J1292)</f>
        <v>339.83</v>
      </c>
      <c r="L1292" s="4" t="n">
        <f aca="false">G1292*I1292</f>
        <v>119</v>
      </c>
      <c r="M1292" s="4" t="n">
        <f aca="false">K1292-L1292</f>
        <v>220.83</v>
      </c>
      <c r="N1292" s="6" t="n">
        <f aca="false">IF(K1292=0,0,M1292/K1292)</f>
        <v>0.649824912456228</v>
      </c>
      <c r="O1292" s="4" t="n">
        <f aca="false">(G1292*H1292)-K1292</f>
        <v>0</v>
      </c>
      <c r="P1292" s="3" t="s">
        <v>21</v>
      </c>
    </row>
    <row r="1293" customFormat="false" ht="15" hidden="false" customHeight="false" outlineLevel="0" collapsed="false">
      <c r="A1293" s="7" t="n">
        <v>46120</v>
      </c>
      <c r="B1293" s="8" t="s">
        <v>58</v>
      </c>
      <c r="C1293" s="8" t="s">
        <v>58</v>
      </c>
      <c r="D1293" s="8" t="s">
        <v>42</v>
      </c>
      <c r="E1293" s="8" t="s">
        <v>43</v>
      </c>
      <c r="F1293" s="8" t="s">
        <v>34</v>
      </c>
      <c r="G1293" s="8" t="n">
        <v>3</v>
      </c>
      <c r="H1293" s="9" t="n">
        <v>11.99</v>
      </c>
      <c r="I1293" s="9" t="n">
        <v>3.5</v>
      </c>
      <c r="J1293" s="10" t="n">
        <v>0</v>
      </c>
      <c r="K1293" s="9" t="n">
        <f aca="false">G1293*H1293*(1-J1293)</f>
        <v>35.97</v>
      </c>
      <c r="L1293" s="9" t="n">
        <f aca="false">G1293*I1293</f>
        <v>10.5</v>
      </c>
      <c r="M1293" s="9" t="n">
        <f aca="false">K1293-L1293</f>
        <v>25.47</v>
      </c>
      <c r="N1293" s="11" t="n">
        <f aca="false">IF(K1293=0,0,M1293/K1293)</f>
        <v>0.708090075062552</v>
      </c>
      <c r="O1293" s="9" t="n">
        <f aca="false">(G1293*H1293)-K1293</f>
        <v>0</v>
      </c>
      <c r="P1293" s="8" t="s">
        <v>21</v>
      </c>
    </row>
    <row r="1294" customFormat="false" ht="15" hidden="false" customHeight="false" outlineLevel="0" collapsed="false">
      <c r="A1294" s="2" t="n">
        <v>46047</v>
      </c>
      <c r="B1294" s="3" t="s">
        <v>31</v>
      </c>
      <c r="C1294" s="3" t="s">
        <v>23</v>
      </c>
      <c r="D1294" s="3" t="s">
        <v>53</v>
      </c>
      <c r="E1294" s="3" t="s">
        <v>54</v>
      </c>
      <c r="F1294" s="3" t="s">
        <v>50</v>
      </c>
      <c r="G1294" s="3" t="n">
        <v>11</v>
      </c>
      <c r="H1294" s="4" t="n">
        <v>22.99</v>
      </c>
      <c r="I1294" s="4" t="n">
        <v>8</v>
      </c>
      <c r="J1294" s="5" t="n">
        <v>0.1</v>
      </c>
      <c r="K1294" s="4" t="n">
        <f aca="false">G1294*H1294*(1-J1294)</f>
        <v>227.601</v>
      </c>
      <c r="L1294" s="4" t="n">
        <f aca="false">G1294*I1294</f>
        <v>88</v>
      </c>
      <c r="M1294" s="4" t="n">
        <f aca="false">K1294-L1294</f>
        <v>139.601</v>
      </c>
      <c r="N1294" s="6" t="n">
        <f aca="false">IF(K1294=0,0,M1294/K1294)</f>
        <v>0.613358465033106</v>
      </c>
      <c r="O1294" s="4" t="n">
        <f aca="false">(G1294*H1294)-K1294</f>
        <v>25.289</v>
      </c>
      <c r="P1294" s="3" t="s">
        <v>21</v>
      </c>
    </row>
    <row r="1295" customFormat="false" ht="15" hidden="false" customHeight="false" outlineLevel="0" collapsed="false">
      <c r="A1295" s="7" t="n">
        <v>46118</v>
      </c>
      <c r="B1295" s="8" t="s">
        <v>41</v>
      </c>
      <c r="C1295" s="8" t="s">
        <v>28</v>
      </c>
      <c r="D1295" s="8" t="s">
        <v>84</v>
      </c>
      <c r="E1295" s="8" t="s">
        <v>85</v>
      </c>
      <c r="F1295" s="8" t="s">
        <v>20</v>
      </c>
      <c r="G1295" s="8" t="n">
        <v>18</v>
      </c>
      <c r="H1295" s="9" t="n">
        <v>34.99</v>
      </c>
      <c r="I1295" s="9" t="n">
        <v>13</v>
      </c>
      <c r="J1295" s="10" t="n">
        <v>0</v>
      </c>
      <c r="K1295" s="9" t="n">
        <f aca="false">G1295*H1295*(1-J1295)</f>
        <v>629.82</v>
      </c>
      <c r="L1295" s="9" t="n">
        <f aca="false">G1295*I1295</f>
        <v>234</v>
      </c>
      <c r="M1295" s="9" t="n">
        <f aca="false">K1295-L1295</f>
        <v>395.82</v>
      </c>
      <c r="N1295" s="11" t="n">
        <f aca="false">IF(K1295=0,0,M1295/K1295)</f>
        <v>0.628465275793084</v>
      </c>
      <c r="O1295" s="9" t="n">
        <f aca="false">(G1295*H1295)-K1295</f>
        <v>0</v>
      </c>
      <c r="P1295" s="8" t="s">
        <v>21</v>
      </c>
    </row>
    <row r="1296" customFormat="false" ht="15" hidden="false" customHeight="false" outlineLevel="0" collapsed="false">
      <c r="A1296" s="2" t="n">
        <v>46119</v>
      </c>
      <c r="B1296" s="3" t="s">
        <v>37</v>
      </c>
      <c r="C1296" s="3" t="s">
        <v>17</v>
      </c>
      <c r="D1296" s="3" t="s">
        <v>42</v>
      </c>
      <c r="E1296" s="3" t="s">
        <v>43</v>
      </c>
      <c r="F1296" s="3" t="s">
        <v>34</v>
      </c>
      <c r="G1296" s="3" t="n">
        <v>8</v>
      </c>
      <c r="H1296" s="4" t="n">
        <v>11.99</v>
      </c>
      <c r="I1296" s="4" t="n">
        <v>3.5</v>
      </c>
      <c r="J1296" s="5" t="n">
        <v>0.3</v>
      </c>
      <c r="K1296" s="4" t="n">
        <f aca="false">G1296*H1296*(1-J1296)</f>
        <v>67.144</v>
      </c>
      <c r="L1296" s="4" t="n">
        <f aca="false">G1296*I1296</f>
        <v>28</v>
      </c>
      <c r="M1296" s="4" t="n">
        <f aca="false">K1296-L1296</f>
        <v>39.144</v>
      </c>
      <c r="N1296" s="6" t="n">
        <f aca="false">IF(K1296=0,0,M1296/K1296)</f>
        <v>0.582985821517932</v>
      </c>
      <c r="O1296" s="4" t="n">
        <f aca="false">(G1296*H1296)-K1296</f>
        <v>28.776</v>
      </c>
      <c r="P1296" s="3" t="s">
        <v>21</v>
      </c>
    </row>
    <row r="1297" customFormat="false" ht="15" hidden="false" customHeight="false" outlineLevel="0" collapsed="false">
      <c r="A1297" s="7" t="n">
        <v>46050</v>
      </c>
      <c r="B1297" s="8" t="s">
        <v>31</v>
      </c>
      <c r="C1297" s="8" t="s">
        <v>23</v>
      </c>
      <c r="D1297" s="8" t="s">
        <v>88</v>
      </c>
      <c r="E1297" s="8" t="s">
        <v>89</v>
      </c>
      <c r="F1297" s="8" t="s">
        <v>57</v>
      </c>
      <c r="G1297" s="8" t="n">
        <v>17</v>
      </c>
      <c r="H1297" s="9" t="n">
        <v>12.99</v>
      </c>
      <c r="I1297" s="9" t="n">
        <v>4.5</v>
      </c>
      <c r="J1297" s="10" t="n">
        <v>0</v>
      </c>
      <c r="K1297" s="9" t="n">
        <f aca="false">G1297*H1297*(1-J1297)</f>
        <v>220.83</v>
      </c>
      <c r="L1297" s="9" t="n">
        <f aca="false">G1297*I1297</f>
        <v>76.5</v>
      </c>
      <c r="M1297" s="9" t="n">
        <f aca="false">K1297-L1297</f>
        <v>144.33</v>
      </c>
      <c r="N1297" s="11" t="n">
        <f aca="false">IF(K1297=0,0,M1297/K1297)</f>
        <v>0.653579676674365</v>
      </c>
      <c r="O1297" s="9" t="n">
        <f aca="false">(G1297*H1297)-K1297</f>
        <v>0</v>
      </c>
      <c r="P1297" s="8" t="s">
        <v>21</v>
      </c>
    </row>
    <row r="1298" customFormat="false" ht="15" hidden="false" customHeight="false" outlineLevel="0" collapsed="false">
      <c r="A1298" s="2" t="n">
        <v>46096</v>
      </c>
      <c r="B1298" s="3" t="s">
        <v>37</v>
      </c>
      <c r="C1298" s="3" t="s">
        <v>17</v>
      </c>
      <c r="D1298" s="3" t="s">
        <v>61</v>
      </c>
      <c r="E1298" s="3" t="s">
        <v>62</v>
      </c>
      <c r="F1298" s="3" t="s">
        <v>34</v>
      </c>
      <c r="G1298" s="3" t="n">
        <v>23</v>
      </c>
      <c r="H1298" s="4" t="n">
        <v>12.99</v>
      </c>
      <c r="I1298" s="4" t="n">
        <v>4.5</v>
      </c>
      <c r="J1298" s="5" t="n">
        <v>0.1</v>
      </c>
      <c r="K1298" s="4" t="n">
        <f aca="false">G1298*H1298*(1-J1298)</f>
        <v>268.893</v>
      </c>
      <c r="L1298" s="4" t="n">
        <f aca="false">G1298*I1298</f>
        <v>103.5</v>
      </c>
      <c r="M1298" s="4" t="n">
        <f aca="false">K1298-L1298</f>
        <v>165.393</v>
      </c>
      <c r="N1298" s="6" t="n">
        <f aca="false">IF(K1298=0,0,M1298/K1298)</f>
        <v>0.615088529638183</v>
      </c>
      <c r="O1298" s="4" t="n">
        <f aca="false">(G1298*H1298)-K1298</f>
        <v>29.877</v>
      </c>
      <c r="P1298" s="3" t="s">
        <v>21</v>
      </c>
    </row>
    <row r="1299" customFormat="false" ht="15" hidden="false" customHeight="false" outlineLevel="0" collapsed="false">
      <c r="A1299" s="7" t="n">
        <v>46054</v>
      </c>
      <c r="B1299" s="8" t="s">
        <v>37</v>
      </c>
      <c r="C1299" s="8" t="s">
        <v>17</v>
      </c>
      <c r="D1299" s="8" t="s">
        <v>70</v>
      </c>
      <c r="E1299" s="8" t="s">
        <v>71</v>
      </c>
      <c r="F1299" s="8" t="s">
        <v>20</v>
      </c>
      <c r="G1299" s="8" t="n">
        <v>24</v>
      </c>
      <c r="H1299" s="9" t="n">
        <v>49.99</v>
      </c>
      <c r="I1299" s="9" t="n">
        <v>19</v>
      </c>
      <c r="J1299" s="10" t="n">
        <v>0</v>
      </c>
      <c r="K1299" s="9" t="n">
        <f aca="false">G1299*H1299*(1-J1299)</f>
        <v>1199.76</v>
      </c>
      <c r="L1299" s="9" t="n">
        <f aca="false">G1299*I1299</f>
        <v>456</v>
      </c>
      <c r="M1299" s="9" t="n">
        <f aca="false">K1299-L1299</f>
        <v>743.76</v>
      </c>
      <c r="N1299" s="11" t="n">
        <f aca="false">IF(K1299=0,0,M1299/K1299)</f>
        <v>0.619923984796959</v>
      </c>
      <c r="O1299" s="9" t="n">
        <f aca="false">(G1299*H1299)-K1299</f>
        <v>0</v>
      </c>
      <c r="P1299" s="8" t="s">
        <v>21</v>
      </c>
    </row>
    <row r="1300" customFormat="false" ht="15" hidden="false" customHeight="false" outlineLevel="0" collapsed="false">
      <c r="A1300" s="2" t="n">
        <v>46051</v>
      </c>
      <c r="B1300" s="3" t="s">
        <v>31</v>
      </c>
      <c r="C1300" s="3" t="s">
        <v>23</v>
      </c>
      <c r="D1300" s="3" t="s">
        <v>74</v>
      </c>
      <c r="E1300" s="3" t="s">
        <v>75</v>
      </c>
      <c r="F1300" s="3" t="s">
        <v>40</v>
      </c>
      <c r="G1300" s="3" t="n">
        <v>1</v>
      </c>
      <c r="H1300" s="4" t="n">
        <v>29.99</v>
      </c>
      <c r="I1300" s="4" t="n">
        <v>13</v>
      </c>
      <c r="J1300" s="5" t="n">
        <v>0</v>
      </c>
      <c r="K1300" s="4" t="n">
        <f aca="false">G1300*H1300*(1-J1300)</f>
        <v>29.99</v>
      </c>
      <c r="L1300" s="4" t="n">
        <f aca="false">G1300*I1300</f>
        <v>13</v>
      </c>
      <c r="M1300" s="4" t="n">
        <f aca="false">K1300-L1300</f>
        <v>16.99</v>
      </c>
      <c r="N1300" s="6" t="n">
        <f aca="false">IF(K1300=0,0,M1300/K1300)</f>
        <v>0.566522174058019</v>
      </c>
      <c r="O1300" s="4" t="n">
        <f aca="false">(G1300*H1300)-K1300</f>
        <v>0</v>
      </c>
      <c r="P1300" s="3" t="s">
        <v>21</v>
      </c>
    </row>
    <row r="1301" customFormat="false" ht="15" hidden="false" customHeight="false" outlineLevel="0" collapsed="false">
      <c r="A1301" s="7" t="n">
        <v>46094</v>
      </c>
      <c r="B1301" s="8" t="s">
        <v>58</v>
      </c>
      <c r="C1301" s="8" t="s">
        <v>58</v>
      </c>
      <c r="D1301" s="8" t="s">
        <v>78</v>
      </c>
      <c r="E1301" s="8" t="s">
        <v>79</v>
      </c>
      <c r="F1301" s="8" t="s">
        <v>20</v>
      </c>
      <c r="G1301" s="8" t="n">
        <v>12</v>
      </c>
      <c r="H1301" s="9" t="n">
        <v>39.99</v>
      </c>
      <c r="I1301" s="9" t="n">
        <v>16</v>
      </c>
      <c r="J1301" s="10" t="n">
        <v>0.3</v>
      </c>
      <c r="K1301" s="9" t="n">
        <f aca="false">G1301*H1301*(1-J1301)</f>
        <v>335.916</v>
      </c>
      <c r="L1301" s="9" t="n">
        <f aca="false">G1301*I1301</f>
        <v>192</v>
      </c>
      <c r="M1301" s="9" t="n">
        <f aca="false">K1301-L1301</f>
        <v>143.916</v>
      </c>
      <c r="N1301" s="11" t="n">
        <f aca="false">IF(K1301=0,0,M1301/K1301)</f>
        <v>0.428428535705355</v>
      </c>
      <c r="O1301" s="9" t="n">
        <f aca="false">(G1301*H1301)-K1301</f>
        <v>143.964</v>
      </c>
      <c r="P1301" s="8" t="s">
        <v>21</v>
      </c>
    </row>
    <row r="1302" customFormat="false" ht="15" hidden="false" customHeight="false" outlineLevel="0" collapsed="false">
      <c r="A1302" s="2" t="n">
        <v>46121</v>
      </c>
      <c r="B1302" s="3" t="s">
        <v>64</v>
      </c>
      <c r="C1302" s="3" t="s">
        <v>65</v>
      </c>
      <c r="D1302" s="3" t="s">
        <v>55</v>
      </c>
      <c r="E1302" s="3" t="s">
        <v>56</v>
      </c>
      <c r="F1302" s="3" t="s">
        <v>57</v>
      </c>
      <c r="G1302" s="3" t="n">
        <v>25</v>
      </c>
      <c r="H1302" s="4" t="n">
        <v>29.99</v>
      </c>
      <c r="I1302" s="4" t="n">
        <v>11</v>
      </c>
      <c r="J1302" s="5" t="n">
        <v>0</v>
      </c>
      <c r="K1302" s="4" t="n">
        <f aca="false">G1302*H1302*(1-J1302)</f>
        <v>749.75</v>
      </c>
      <c r="L1302" s="4" t="n">
        <f aca="false">G1302*I1302</f>
        <v>275</v>
      </c>
      <c r="M1302" s="4" t="n">
        <f aca="false">K1302-L1302</f>
        <v>474.75</v>
      </c>
      <c r="N1302" s="6" t="n">
        <f aca="false">IF(K1302=0,0,M1302/K1302)</f>
        <v>0.633211070356786</v>
      </c>
      <c r="O1302" s="4" t="n">
        <f aca="false">(G1302*H1302)-K1302</f>
        <v>0</v>
      </c>
      <c r="P1302" s="3" t="s">
        <v>21</v>
      </c>
    </row>
    <row r="1303" customFormat="false" ht="15" hidden="false" customHeight="false" outlineLevel="0" collapsed="false">
      <c r="A1303" s="7" t="n">
        <v>46035</v>
      </c>
      <c r="B1303" s="8" t="s">
        <v>31</v>
      </c>
      <c r="C1303" s="8" t="s">
        <v>23</v>
      </c>
      <c r="D1303" s="8" t="s">
        <v>88</v>
      </c>
      <c r="E1303" s="8" t="s">
        <v>89</v>
      </c>
      <c r="F1303" s="8" t="s">
        <v>57</v>
      </c>
      <c r="G1303" s="8" t="n">
        <v>21</v>
      </c>
      <c r="H1303" s="9" t="n">
        <v>12.99</v>
      </c>
      <c r="I1303" s="9" t="n">
        <v>4.5</v>
      </c>
      <c r="J1303" s="10" t="n">
        <v>0.1</v>
      </c>
      <c r="K1303" s="9" t="n">
        <f aca="false">G1303*H1303*(1-J1303)</f>
        <v>245.511</v>
      </c>
      <c r="L1303" s="9" t="n">
        <f aca="false">G1303*I1303</f>
        <v>94.5</v>
      </c>
      <c r="M1303" s="9" t="n">
        <f aca="false">K1303-L1303</f>
        <v>151.011</v>
      </c>
      <c r="N1303" s="11" t="n">
        <f aca="false">IF(K1303=0,0,M1303/K1303)</f>
        <v>0.615088529638183</v>
      </c>
      <c r="O1303" s="9" t="n">
        <f aca="false">(G1303*H1303)-K1303</f>
        <v>27.279</v>
      </c>
      <c r="P1303" s="8" t="s">
        <v>21</v>
      </c>
    </row>
    <row r="1304" customFormat="false" ht="15" hidden="false" customHeight="false" outlineLevel="0" collapsed="false">
      <c r="A1304" s="2" t="n">
        <v>46109</v>
      </c>
      <c r="B1304" s="3" t="s">
        <v>22</v>
      </c>
      <c r="C1304" s="3" t="s">
        <v>23</v>
      </c>
      <c r="D1304" s="3" t="s">
        <v>88</v>
      </c>
      <c r="E1304" s="3" t="s">
        <v>89</v>
      </c>
      <c r="F1304" s="3" t="s">
        <v>57</v>
      </c>
      <c r="G1304" s="3" t="n">
        <v>14</v>
      </c>
      <c r="H1304" s="4" t="n">
        <v>12.99</v>
      </c>
      <c r="I1304" s="4" t="n">
        <v>4.5</v>
      </c>
      <c r="J1304" s="5" t="n">
        <v>0</v>
      </c>
      <c r="K1304" s="4" t="n">
        <f aca="false">G1304*H1304*(1-J1304)</f>
        <v>181.86</v>
      </c>
      <c r="L1304" s="4" t="n">
        <f aca="false">G1304*I1304</f>
        <v>63</v>
      </c>
      <c r="M1304" s="4" t="n">
        <f aca="false">K1304-L1304</f>
        <v>118.86</v>
      </c>
      <c r="N1304" s="6" t="n">
        <f aca="false">IF(K1304=0,0,M1304/K1304)</f>
        <v>0.653579676674365</v>
      </c>
      <c r="O1304" s="4" t="n">
        <f aca="false">(G1304*H1304)-K1304</f>
        <v>0</v>
      </c>
      <c r="P1304" s="3" t="s">
        <v>21</v>
      </c>
    </row>
    <row r="1305" customFormat="false" ht="15" hidden="false" customHeight="false" outlineLevel="0" collapsed="false">
      <c r="A1305" s="7" t="n">
        <v>46076</v>
      </c>
      <c r="B1305" s="8" t="s">
        <v>16</v>
      </c>
      <c r="C1305" s="8" t="s">
        <v>17</v>
      </c>
      <c r="D1305" s="8" t="s">
        <v>66</v>
      </c>
      <c r="E1305" s="8" t="s">
        <v>67</v>
      </c>
      <c r="F1305" s="8" t="s">
        <v>57</v>
      </c>
      <c r="G1305" s="8" t="n">
        <v>30</v>
      </c>
      <c r="H1305" s="9" t="n">
        <v>14.99</v>
      </c>
      <c r="I1305" s="9" t="n">
        <v>5.5</v>
      </c>
      <c r="J1305" s="10" t="n">
        <v>0.3</v>
      </c>
      <c r="K1305" s="9" t="n">
        <f aca="false">G1305*H1305*(1-J1305)</f>
        <v>314.79</v>
      </c>
      <c r="L1305" s="9" t="n">
        <f aca="false">G1305*I1305</f>
        <v>165</v>
      </c>
      <c r="M1305" s="9" t="n">
        <f aca="false">K1305-L1305</f>
        <v>149.79</v>
      </c>
      <c r="N1305" s="11" t="n">
        <f aca="false">IF(K1305=0,0,M1305/K1305)</f>
        <v>0.475841036881731</v>
      </c>
      <c r="O1305" s="9" t="n">
        <f aca="false">(G1305*H1305)-K1305</f>
        <v>134.91</v>
      </c>
      <c r="P1305" s="8" t="s">
        <v>21</v>
      </c>
    </row>
    <row r="1306" customFormat="false" ht="15" hidden="false" customHeight="false" outlineLevel="0" collapsed="false">
      <c r="A1306" s="2" t="n">
        <v>46122</v>
      </c>
      <c r="B1306" s="3" t="s">
        <v>41</v>
      </c>
      <c r="C1306" s="3" t="s">
        <v>28</v>
      </c>
      <c r="D1306" s="3" t="s">
        <v>35</v>
      </c>
      <c r="E1306" s="3" t="s">
        <v>36</v>
      </c>
      <c r="F1306" s="3" t="s">
        <v>26</v>
      </c>
      <c r="G1306" s="3" t="n">
        <v>24</v>
      </c>
      <c r="H1306" s="4" t="n">
        <v>69.99</v>
      </c>
      <c r="I1306" s="4" t="n">
        <v>30</v>
      </c>
      <c r="J1306" s="5" t="n">
        <v>0.1</v>
      </c>
      <c r="K1306" s="4" t="n">
        <f aca="false">G1306*H1306*(1-J1306)</f>
        <v>1511.784</v>
      </c>
      <c r="L1306" s="4" t="n">
        <f aca="false">G1306*I1306</f>
        <v>720</v>
      </c>
      <c r="M1306" s="4" t="n">
        <f aca="false">K1306-L1306</f>
        <v>791.784</v>
      </c>
      <c r="N1306" s="6" t="n">
        <f aca="false">IF(K1306=0,0,M1306/K1306)</f>
        <v>0.523741486879078</v>
      </c>
      <c r="O1306" s="4" t="n">
        <f aca="false">(G1306*H1306)-K1306</f>
        <v>167.976</v>
      </c>
      <c r="P1306" s="3" t="s">
        <v>21</v>
      </c>
    </row>
    <row r="1307" customFormat="false" ht="15" hidden="false" customHeight="false" outlineLevel="0" collapsed="false">
      <c r="A1307" s="7" t="n">
        <v>46051</v>
      </c>
      <c r="B1307" s="8" t="s">
        <v>37</v>
      </c>
      <c r="C1307" s="8" t="s">
        <v>17</v>
      </c>
      <c r="D1307" s="8" t="s">
        <v>42</v>
      </c>
      <c r="E1307" s="8" t="s">
        <v>43</v>
      </c>
      <c r="F1307" s="8" t="s">
        <v>34</v>
      </c>
      <c r="G1307" s="8" t="n">
        <v>7</v>
      </c>
      <c r="H1307" s="9" t="n">
        <v>11.99</v>
      </c>
      <c r="I1307" s="9" t="n">
        <v>3.5</v>
      </c>
      <c r="J1307" s="10" t="n">
        <v>0</v>
      </c>
      <c r="K1307" s="9" t="n">
        <f aca="false">G1307*H1307*(1-J1307)</f>
        <v>83.93</v>
      </c>
      <c r="L1307" s="9" t="n">
        <f aca="false">G1307*I1307</f>
        <v>24.5</v>
      </c>
      <c r="M1307" s="9" t="n">
        <f aca="false">K1307-L1307</f>
        <v>59.43</v>
      </c>
      <c r="N1307" s="11" t="n">
        <f aca="false">IF(K1307=0,0,M1307/K1307)</f>
        <v>0.708090075062552</v>
      </c>
      <c r="O1307" s="9" t="n">
        <f aca="false">(G1307*H1307)-K1307</f>
        <v>0</v>
      </c>
      <c r="P1307" s="8" t="s">
        <v>21</v>
      </c>
    </row>
    <row r="1308" customFormat="false" ht="15" hidden="false" customHeight="false" outlineLevel="0" collapsed="false">
      <c r="A1308" s="2" t="n">
        <v>46113</v>
      </c>
      <c r="B1308" s="3" t="s">
        <v>58</v>
      </c>
      <c r="C1308" s="3" t="s">
        <v>58</v>
      </c>
      <c r="D1308" s="3" t="s">
        <v>66</v>
      </c>
      <c r="E1308" s="3" t="s">
        <v>67</v>
      </c>
      <c r="F1308" s="3" t="s">
        <v>57</v>
      </c>
      <c r="G1308" s="3" t="n">
        <v>8</v>
      </c>
      <c r="H1308" s="4" t="n">
        <v>14.99</v>
      </c>
      <c r="I1308" s="4" t="n">
        <v>5.5</v>
      </c>
      <c r="J1308" s="5" t="n">
        <v>0</v>
      </c>
      <c r="K1308" s="4" t="n">
        <f aca="false">G1308*H1308*(1-J1308)</f>
        <v>119.92</v>
      </c>
      <c r="L1308" s="4" t="n">
        <f aca="false">G1308*I1308</f>
        <v>44</v>
      </c>
      <c r="M1308" s="4" t="n">
        <f aca="false">K1308-L1308</f>
        <v>75.92</v>
      </c>
      <c r="N1308" s="6" t="n">
        <f aca="false">IF(K1308=0,0,M1308/K1308)</f>
        <v>0.633088725817211</v>
      </c>
      <c r="O1308" s="4" t="n">
        <f aca="false">(G1308*H1308)-K1308</f>
        <v>0</v>
      </c>
      <c r="P1308" s="3" t="s">
        <v>21</v>
      </c>
    </row>
    <row r="1309" customFormat="false" ht="15" hidden="false" customHeight="false" outlineLevel="0" collapsed="false">
      <c r="A1309" s="7" t="n">
        <v>46111</v>
      </c>
      <c r="B1309" s="8" t="s">
        <v>41</v>
      </c>
      <c r="C1309" s="8" t="s">
        <v>28</v>
      </c>
      <c r="D1309" s="8" t="s">
        <v>66</v>
      </c>
      <c r="E1309" s="8" t="s">
        <v>67</v>
      </c>
      <c r="F1309" s="8" t="s">
        <v>57</v>
      </c>
      <c r="G1309" s="8" t="n">
        <v>3</v>
      </c>
      <c r="H1309" s="9" t="n">
        <v>14.99</v>
      </c>
      <c r="I1309" s="9" t="n">
        <v>5.5</v>
      </c>
      <c r="J1309" s="10" t="n">
        <v>0.3</v>
      </c>
      <c r="K1309" s="9" t="n">
        <f aca="false">G1309*H1309*(1-J1309)</f>
        <v>31.479</v>
      </c>
      <c r="L1309" s="9" t="n">
        <f aca="false">G1309*I1309</f>
        <v>16.5</v>
      </c>
      <c r="M1309" s="9" t="n">
        <f aca="false">K1309-L1309</f>
        <v>14.979</v>
      </c>
      <c r="N1309" s="11" t="n">
        <f aca="false">IF(K1309=0,0,M1309/K1309)</f>
        <v>0.475841036881731</v>
      </c>
      <c r="O1309" s="9" t="n">
        <f aca="false">(G1309*H1309)-K1309</f>
        <v>13.491</v>
      </c>
      <c r="P1309" s="8" t="s">
        <v>21</v>
      </c>
    </row>
    <row r="1310" customFormat="false" ht="15" hidden="false" customHeight="false" outlineLevel="0" collapsed="false">
      <c r="A1310" s="2" t="n">
        <v>46030</v>
      </c>
      <c r="B1310" s="3" t="s">
        <v>37</v>
      </c>
      <c r="C1310" s="3" t="s">
        <v>17</v>
      </c>
      <c r="D1310" s="3" t="s">
        <v>51</v>
      </c>
      <c r="E1310" s="3" t="s">
        <v>52</v>
      </c>
      <c r="F1310" s="3" t="s">
        <v>50</v>
      </c>
      <c r="G1310" s="3" t="n">
        <v>15</v>
      </c>
      <c r="H1310" s="4" t="n">
        <v>19.99</v>
      </c>
      <c r="I1310" s="4" t="n">
        <v>7</v>
      </c>
      <c r="J1310" s="5" t="n">
        <v>0</v>
      </c>
      <c r="K1310" s="4" t="n">
        <f aca="false">G1310*H1310*(1-J1310)</f>
        <v>299.85</v>
      </c>
      <c r="L1310" s="4" t="n">
        <f aca="false">G1310*I1310</f>
        <v>105</v>
      </c>
      <c r="M1310" s="4" t="n">
        <f aca="false">K1310-L1310</f>
        <v>194.85</v>
      </c>
      <c r="N1310" s="6" t="n">
        <f aca="false">IF(K1310=0,0,M1310/K1310)</f>
        <v>0.649824912456228</v>
      </c>
      <c r="O1310" s="4" t="n">
        <f aca="false">(G1310*H1310)-K1310</f>
        <v>0</v>
      </c>
      <c r="P1310" s="3" t="s">
        <v>21</v>
      </c>
    </row>
    <row r="1311" customFormat="false" ht="15" hidden="false" customHeight="false" outlineLevel="0" collapsed="false">
      <c r="A1311" s="7" t="n">
        <v>46075</v>
      </c>
      <c r="B1311" s="8" t="s">
        <v>41</v>
      </c>
      <c r="C1311" s="8" t="s">
        <v>28</v>
      </c>
      <c r="D1311" s="8" t="s">
        <v>78</v>
      </c>
      <c r="E1311" s="8" t="s">
        <v>79</v>
      </c>
      <c r="F1311" s="8" t="s">
        <v>20</v>
      </c>
      <c r="G1311" s="8" t="n">
        <v>2</v>
      </c>
      <c r="H1311" s="9" t="n">
        <v>39.99</v>
      </c>
      <c r="I1311" s="9" t="n">
        <v>16</v>
      </c>
      <c r="J1311" s="10" t="n">
        <v>0.25</v>
      </c>
      <c r="K1311" s="9" t="n">
        <f aca="false">G1311*H1311*(1-J1311)</f>
        <v>59.985</v>
      </c>
      <c r="L1311" s="9" t="n">
        <f aca="false">G1311*I1311</f>
        <v>32</v>
      </c>
      <c r="M1311" s="9" t="n">
        <f aca="false">K1311-L1311</f>
        <v>27.985</v>
      </c>
      <c r="N1311" s="11" t="n">
        <f aca="false">IF(K1311=0,0,M1311/K1311)</f>
        <v>0.466533299991665</v>
      </c>
      <c r="O1311" s="9" t="n">
        <f aca="false">(G1311*H1311)-K1311</f>
        <v>19.995</v>
      </c>
      <c r="P1311" s="8" t="s">
        <v>21</v>
      </c>
    </row>
    <row r="1312" customFormat="false" ht="15" hidden="false" customHeight="false" outlineLevel="0" collapsed="false">
      <c r="A1312" s="2" t="n">
        <v>46115</v>
      </c>
      <c r="B1312" s="3" t="s">
        <v>22</v>
      </c>
      <c r="C1312" s="3" t="s">
        <v>23</v>
      </c>
      <c r="D1312" s="3" t="s">
        <v>42</v>
      </c>
      <c r="E1312" s="3" t="s">
        <v>43</v>
      </c>
      <c r="F1312" s="3" t="s">
        <v>34</v>
      </c>
      <c r="G1312" s="3" t="n">
        <v>24</v>
      </c>
      <c r="H1312" s="4" t="n">
        <v>11.99</v>
      </c>
      <c r="I1312" s="4" t="n">
        <v>3.5</v>
      </c>
      <c r="J1312" s="5" t="n">
        <v>0.25</v>
      </c>
      <c r="K1312" s="4" t="n">
        <f aca="false">G1312*H1312*(1-J1312)</f>
        <v>215.82</v>
      </c>
      <c r="L1312" s="4" t="n">
        <f aca="false">G1312*I1312</f>
        <v>84</v>
      </c>
      <c r="M1312" s="4" t="n">
        <f aca="false">K1312-L1312</f>
        <v>131.82</v>
      </c>
      <c r="N1312" s="6" t="n">
        <f aca="false">IF(K1312=0,0,M1312/K1312)</f>
        <v>0.61078676675007</v>
      </c>
      <c r="O1312" s="4" t="n">
        <f aca="false">(G1312*H1312)-K1312</f>
        <v>71.94</v>
      </c>
      <c r="P1312" s="3" t="s">
        <v>21</v>
      </c>
    </row>
    <row r="1313" customFormat="false" ht="15" hidden="false" customHeight="false" outlineLevel="0" collapsed="false">
      <c r="A1313" s="7" t="n">
        <v>46103</v>
      </c>
      <c r="B1313" s="8" t="s">
        <v>16</v>
      </c>
      <c r="C1313" s="8" t="s">
        <v>17</v>
      </c>
      <c r="D1313" s="8" t="s">
        <v>38</v>
      </c>
      <c r="E1313" s="8" t="s">
        <v>39</v>
      </c>
      <c r="F1313" s="8" t="s">
        <v>40</v>
      </c>
      <c r="G1313" s="8" t="n">
        <v>14</v>
      </c>
      <c r="H1313" s="9" t="n">
        <v>12.99</v>
      </c>
      <c r="I1313" s="9" t="n">
        <v>4</v>
      </c>
      <c r="J1313" s="10" t="n">
        <v>0.25</v>
      </c>
      <c r="K1313" s="9" t="n">
        <f aca="false">G1313*H1313*(1-J1313)</f>
        <v>136.395</v>
      </c>
      <c r="L1313" s="9" t="n">
        <f aca="false">G1313*I1313</f>
        <v>56</v>
      </c>
      <c r="M1313" s="9" t="n">
        <f aca="false">K1313-L1313</f>
        <v>80.395</v>
      </c>
      <c r="N1313" s="11" t="n">
        <f aca="false">IF(K1313=0,0,M1313/K1313)</f>
        <v>0.589427764947396</v>
      </c>
      <c r="O1313" s="9" t="n">
        <f aca="false">(G1313*H1313)-K1313</f>
        <v>45.465</v>
      </c>
      <c r="P1313" s="8" t="s">
        <v>21</v>
      </c>
    </row>
    <row r="1314" customFormat="false" ht="15" hidden="false" customHeight="false" outlineLevel="0" collapsed="false">
      <c r="A1314" s="2" t="n">
        <v>46071</v>
      </c>
      <c r="B1314" s="3" t="s">
        <v>27</v>
      </c>
      <c r="C1314" s="3" t="s">
        <v>28</v>
      </c>
      <c r="D1314" s="3" t="s">
        <v>51</v>
      </c>
      <c r="E1314" s="3" t="s">
        <v>52</v>
      </c>
      <c r="F1314" s="3" t="s">
        <v>50</v>
      </c>
      <c r="G1314" s="3" t="n">
        <v>15</v>
      </c>
      <c r="H1314" s="4" t="n">
        <v>19.99</v>
      </c>
      <c r="I1314" s="4" t="n">
        <v>7</v>
      </c>
      <c r="J1314" s="5" t="n">
        <v>0.15</v>
      </c>
      <c r="K1314" s="4" t="n">
        <f aca="false">G1314*H1314*(1-J1314)</f>
        <v>254.8725</v>
      </c>
      <c r="L1314" s="4" t="n">
        <f aca="false">G1314*I1314</f>
        <v>105</v>
      </c>
      <c r="M1314" s="4" t="n">
        <f aca="false">K1314-L1314</f>
        <v>149.8725</v>
      </c>
      <c r="N1314" s="6" t="n">
        <f aca="false">IF(K1314=0,0,M1314/K1314)</f>
        <v>0.588029308772033</v>
      </c>
      <c r="O1314" s="4" t="n">
        <f aca="false">(G1314*H1314)-K1314</f>
        <v>44.9775</v>
      </c>
      <c r="P1314" s="3" t="s">
        <v>21</v>
      </c>
    </row>
    <row r="1315" customFormat="false" ht="15" hidden="false" customHeight="false" outlineLevel="0" collapsed="false">
      <c r="A1315" s="7" t="n">
        <v>46101</v>
      </c>
      <c r="B1315" s="8" t="s">
        <v>41</v>
      </c>
      <c r="C1315" s="8" t="s">
        <v>28</v>
      </c>
      <c r="D1315" s="8" t="s">
        <v>82</v>
      </c>
      <c r="E1315" s="8" t="s">
        <v>83</v>
      </c>
      <c r="F1315" s="8" t="s">
        <v>26</v>
      </c>
      <c r="G1315" s="8" t="n">
        <v>19</v>
      </c>
      <c r="H1315" s="9" t="n">
        <v>44.99</v>
      </c>
      <c r="I1315" s="9" t="n">
        <v>18</v>
      </c>
      <c r="J1315" s="10" t="n">
        <v>0.1</v>
      </c>
      <c r="K1315" s="9" t="n">
        <f aca="false">G1315*H1315*(1-J1315)</f>
        <v>769.329</v>
      </c>
      <c r="L1315" s="9" t="n">
        <f aca="false">G1315*I1315</f>
        <v>342</v>
      </c>
      <c r="M1315" s="9" t="n">
        <f aca="false">K1315-L1315</f>
        <v>427.329</v>
      </c>
      <c r="N1315" s="11" t="n">
        <f aca="false">IF(K1315=0,0,M1315/K1315)</f>
        <v>0.555456768170705</v>
      </c>
      <c r="O1315" s="9" t="n">
        <f aca="false">(G1315*H1315)-K1315</f>
        <v>85.481</v>
      </c>
      <c r="P1315" s="8" t="s">
        <v>21</v>
      </c>
    </row>
    <row r="1316" customFormat="false" ht="15" hidden="false" customHeight="false" outlineLevel="0" collapsed="false">
      <c r="A1316" s="2" t="n">
        <v>46084</v>
      </c>
      <c r="B1316" s="3" t="s">
        <v>41</v>
      </c>
      <c r="C1316" s="3" t="s">
        <v>28</v>
      </c>
      <c r="D1316" s="3" t="s">
        <v>76</v>
      </c>
      <c r="E1316" s="3" t="s">
        <v>77</v>
      </c>
      <c r="F1316" s="3" t="s">
        <v>34</v>
      </c>
      <c r="G1316" s="3" t="n">
        <v>22</v>
      </c>
      <c r="H1316" s="4" t="n">
        <v>49.99</v>
      </c>
      <c r="I1316" s="4" t="n">
        <v>14</v>
      </c>
      <c r="J1316" s="5" t="n">
        <v>0.3</v>
      </c>
      <c r="K1316" s="4" t="n">
        <f aca="false">G1316*H1316*(1-J1316)</f>
        <v>769.846</v>
      </c>
      <c r="L1316" s="4" t="n">
        <f aca="false">G1316*I1316</f>
        <v>308</v>
      </c>
      <c r="M1316" s="4" t="n">
        <f aca="false">K1316-L1316</f>
        <v>461.846</v>
      </c>
      <c r="N1316" s="6" t="n">
        <f aca="false">IF(K1316=0,0,M1316/K1316)</f>
        <v>0.599919983996799</v>
      </c>
      <c r="O1316" s="4" t="n">
        <f aca="false">(G1316*H1316)-K1316</f>
        <v>329.934</v>
      </c>
      <c r="P1316" s="3" t="s">
        <v>21</v>
      </c>
    </row>
    <row r="1317" customFormat="false" ht="15" hidden="false" customHeight="false" outlineLevel="0" collapsed="false">
      <c r="A1317" s="7" t="n">
        <v>46030</v>
      </c>
      <c r="B1317" s="8" t="s">
        <v>27</v>
      </c>
      <c r="C1317" s="8" t="s">
        <v>28</v>
      </c>
      <c r="D1317" s="8" t="s">
        <v>42</v>
      </c>
      <c r="E1317" s="8" t="s">
        <v>43</v>
      </c>
      <c r="F1317" s="8" t="s">
        <v>34</v>
      </c>
      <c r="G1317" s="8" t="n">
        <v>13</v>
      </c>
      <c r="H1317" s="9" t="n">
        <v>11.99</v>
      </c>
      <c r="I1317" s="9" t="n">
        <v>3.5</v>
      </c>
      <c r="J1317" s="10" t="n">
        <v>0</v>
      </c>
      <c r="K1317" s="9" t="n">
        <f aca="false">G1317*H1317*(1-J1317)</f>
        <v>155.87</v>
      </c>
      <c r="L1317" s="9" t="n">
        <f aca="false">G1317*I1317</f>
        <v>45.5</v>
      </c>
      <c r="M1317" s="9" t="n">
        <f aca="false">K1317-L1317</f>
        <v>110.37</v>
      </c>
      <c r="N1317" s="11" t="n">
        <f aca="false">IF(K1317=0,0,M1317/K1317)</f>
        <v>0.708090075062552</v>
      </c>
      <c r="O1317" s="9" t="n">
        <f aca="false">(G1317*H1317)-K1317</f>
        <v>0</v>
      </c>
      <c r="P1317" s="8" t="s">
        <v>21</v>
      </c>
    </row>
    <row r="1318" customFormat="false" ht="15" hidden="false" customHeight="false" outlineLevel="0" collapsed="false">
      <c r="A1318" s="2" t="n">
        <v>46131</v>
      </c>
      <c r="B1318" s="3" t="s">
        <v>41</v>
      </c>
      <c r="C1318" s="3" t="s">
        <v>28</v>
      </c>
      <c r="D1318" s="3" t="s">
        <v>29</v>
      </c>
      <c r="E1318" s="3" t="s">
        <v>30</v>
      </c>
      <c r="F1318" s="3" t="s">
        <v>20</v>
      </c>
      <c r="G1318" s="3" t="n">
        <v>16</v>
      </c>
      <c r="H1318" s="4" t="n">
        <v>79.99</v>
      </c>
      <c r="I1318" s="4" t="n">
        <v>42</v>
      </c>
      <c r="J1318" s="5" t="n">
        <v>0</v>
      </c>
      <c r="K1318" s="4" t="n">
        <f aca="false">G1318*H1318*(1-J1318)</f>
        <v>1279.84</v>
      </c>
      <c r="L1318" s="4" t="n">
        <f aca="false">G1318*I1318</f>
        <v>672</v>
      </c>
      <c r="M1318" s="4" t="n">
        <f aca="false">K1318-L1318</f>
        <v>607.84</v>
      </c>
      <c r="N1318" s="6" t="n">
        <f aca="false">IF(K1318=0,0,M1318/K1318)</f>
        <v>0.474934366795849</v>
      </c>
      <c r="O1318" s="4" t="n">
        <f aca="false">(G1318*H1318)-K1318</f>
        <v>0</v>
      </c>
      <c r="P1318" s="3" t="s">
        <v>21</v>
      </c>
    </row>
    <row r="1319" customFormat="false" ht="15" hidden="false" customHeight="false" outlineLevel="0" collapsed="false">
      <c r="A1319" s="7" t="n">
        <v>46125</v>
      </c>
      <c r="B1319" s="8" t="s">
        <v>22</v>
      </c>
      <c r="C1319" s="8" t="s">
        <v>23</v>
      </c>
      <c r="D1319" s="8" t="s">
        <v>24</v>
      </c>
      <c r="E1319" s="8" t="s">
        <v>25</v>
      </c>
      <c r="F1319" s="8" t="s">
        <v>26</v>
      </c>
      <c r="G1319" s="8" t="n">
        <v>29</v>
      </c>
      <c r="H1319" s="9" t="n">
        <v>54.99</v>
      </c>
      <c r="I1319" s="9" t="n">
        <v>24</v>
      </c>
      <c r="J1319" s="10" t="n">
        <v>0.15</v>
      </c>
      <c r="K1319" s="9" t="n">
        <f aca="false">G1319*H1319*(1-J1319)</f>
        <v>1355.5035</v>
      </c>
      <c r="L1319" s="9" t="n">
        <f aca="false">G1319*I1319</f>
        <v>696</v>
      </c>
      <c r="M1319" s="9" t="n">
        <f aca="false">K1319-L1319</f>
        <v>659.5035</v>
      </c>
      <c r="N1319" s="11" t="n">
        <f aca="false">IF(K1319=0,0,M1319/K1319)</f>
        <v>0.486537659253554</v>
      </c>
      <c r="O1319" s="9" t="n">
        <f aca="false">(G1319*H1319)-K1319</f>
        <v>239.2065</v>
      </c>
      <c r="P1319" s="8" t="s">
        <v>21</v>
      </c>
    </row>
    <row r="1320" customFormat="false" ht="15" hidden="false" customHeight="false" outlineLevel="0" collapsed="false">
      <c r="A1320" s="2" t="n">
        <v>46111</v>
      </c>
      <c r="B1320" s="3" t="s">
        <v>58</v>
      </c>
      <c r="C1320" s="3" t="s">
        <v>58</v>
      </c>
      <c r="D1320" s="3" t="s">
        <v>76</v>
      </c>
      <c r="E1320" s="3" t="s">
        <v>77</v>
      </c>
      <c r="F1320" s="3" t="s">
        <v>34</v>
      </c>
      <c r="G1320" s="3" t="n">
        <v>402</v>
      </c>
      <c r="H1320" s="4" t="n">
        <v>49.99</v>
      </c>
      <c r="I1320" s="4" t="n">
        <v>14</v>
      </c>
      <c r="J1320" s="5" t="n">
        <v>0</v>
      </c>
      <c r="K1320" s="4" t="n">
        <f aca="false">G1320*H1320*(1-J1320)</f>
        <v>20095.98</v>
      </c>
      <c r="L1320" s="4" t="n">
        <f aca="false">G1320*I1320</f>
        <v>5628</v>
      </c>
      <c r="M1320" s="4" t="n">
        <f aca="false">K1320-L1320</f>
        <v>14467.98</v>
      </c>
      <c r="N1320" s="6" t="n">
        <f aca="false">IF(K1320=0,0,M1320/K1320)</f>
        <v>0.71994398879776</v>
      </c>
      <c r="O1320" s="4" t="n">
        <f aca="false">(G1320*H1320)-K1320</f>
        <v>0</v>
      </c>
      <c r="P1320" s="13" t="s">
        <v>92</v>
      </c>
    </row>
    <row r="1321" customFormat="false" ht="15" hidden="false" customHeight="false" outlineLevel="0" collapsed="false">
      <c r="A1321" s="7" t="n">
        <v>46129</v>
      </c>
      <c r="B1321" s="8" t="s">
        <v>64</v>
      </c>
      <c r="C1321" s="8" t="s">
        <v>65</v>
      </c>
      <c r="D1321" s="8" t="s">
        <v>18</v>
      </c>
      <c r="E1321" s="8" t="s">
        <v>19</v>
      </c>
      <c r="F1321" s="8" t="s">
        <v>20</v>
      </c>
      <c r="G1321" s="8" t="n">
        <v>8</v>
      </c>
      <c r="H1321" s="9" t="n">
        <v>26.99</v>
      </c>
      <c r="I1321" s="9" t="n">
        <v>10.5</v>
      </c>
      <c r="J1321" s="10" t="n">
        <v>0</v>
      </c>
      <c r="K1321" s="9" t="n">
        <f aca="false">G1321*H1321*(1-J1321)</f>
        <v>215.92</v>
      </c>
      <c r="L1321" s="9" t="n">
        <f aca="false">G1321*I1321</f>
        <v>84</v>
      </c>
      <c r="M1321" s="9" t="n">
        <f aca="false">K1321-L1321</f>
        <v>131.92</v>
      </c>
      <c r="N1321" s="11" t="n">
        <f aca="false">IF(K1321=0,0,M1321/K1321)</f>
        <v>0.610967024824009</v>
      </c>
      <c r="O1321" s="9" t="n">
        <f aca="false">(G1321*H1321)-K1321</f>
        <v>0</v>
      </c>
      <c r="P1321" s="8" t="s">
        <v>21</v>
      </c>
    </row>
    <row r="1322" customFormat="false" ht="15" hidden="false" customHeight="false" outlineLevel="0" collapsed="false">
      <c r="A1322" s="2" t="n">
        <v>46107</v>
      </c>
      <c r="B1322" s="3" t="s">
        <v>37</v>
      </c>
      <c r="C1322" s="3" t="s">
        <v>17</v>
      </c>
      <c r="D1322" s="3" t="s">
        <v>35</v>
      </c>
      <c r="E1322" s="3" t="s">
        <v>36</v>
      </c>
      <c r="F1322" s="3" t="s">
        <v>26</v>
      </c>
      <c r="G1322" s="3" t="n">
        <v>2</v>
      </c>
      <c r="H1322" s="4" t="n">
        <v>69.99</v>
      </c>
      <c r="I1322" s="4" t="n">
        <v>30</v>
      </c>
      <c r="J1322" s="5" t="n">
        <v>0</v>
      </c>
      <c r="K1322" s="4" t="n">
        <f aca="false">G1322*H1322*(1-J1322)</f>
        <v>139.98</v>
      </c>
      <c r="L1322" s="4" t="n">
        <f aca="false">G1322*I1322</f>
        <v>60</v>
      </c>
      <c r="M1322" s="4" t="n">
        <f aca="false">K1322-L1322</f>
        <v>79.98</v>
      </c>
      <c r="N1322" s="6" t="n">
        <f aca="false">IF(K1322=0,0,M1322/K1322)</f>
        <v>0.57136733819117</v>
      </c>
      <c r="O1322" s="4" t="n">
        <f aca="false">(G1322*H1322)-K1322</f>
        <v>0</v>
      </c>
      <c r="P1322" s="3" t="s">
        <v>21</v>
      </c>
    </row>
    <row r="1323" customFormat="false" ht="15" hidden="false" customHeight="false" outlineLevel="0" collapsed="false">
      <c r="A1323" s="7" t="n">
        <v>46081</v>
      </c>
      <c r="B1323" s="8" t="s">
        <v>27</v>
      </c>
      <c r="C1323" s="8" t="s">
        <v>28</v>
      </c>
      <c r="D1323" s="8" t="s">
        <v>76</v>
      </c>
      <c r="E1323" s="8" t="s">
        <v>77</v>
      </c>
      <c r="F1323" s="8" t="s">
        <v>34</v>
      </c>
      <c r="G1323" s="8" t="n">
        <v>1</v>
      </c>
      <c r="H1323" s="9" t="n">
        <v>49.99</v>
      </c>
      <c r="I1323" s="9" t="n">
        <v>14</v>
      </c>
      <c r="J1323" s="10" t="n">
        <v>0.15</v>
      </c>
      <c r="K1323" s="9" t="n">
        <f aca="false">G1323*H1323*(1-J1323)</f>
        <v>42.4915</v>
      </c>
      <c r="L1323" s="9" t="n">
        <f aca="false">G1323*I1323</f>
        <v>14</v>
      </c>
      <c r="M1323" s="9" t="n">
        <f aca="false">K1323-L1323</f>
        <v>28.4915</v>
      </c>
      <c r="N1323" s="11" t="n">
        <f aca="false">IF(K1323=0,0,M1323/K1323)</f>
        <v>0.67052233976207</v>
      </c>
      <c r="O1323" s="9" t="n">
        <f aca="false">(G1323*H1323)-K1323</f>
        <v>7.4985</v>
      </c>
      <c r="P1323" s="8" t="s">
        <v>21</v>
      </c>
    </row>
    <row r="1324" customFormat="false" ht="15" hidden="false" customHeight="false" outlineLevel="0" collapsed="false">
      <c r="A1324" s="2" t="n">
        <v>46032</v>
      </c>
      <c r="B1324" s="3" t="s">
        <v>22</v>
      </c>
      <c r="C1324" s="3" t="s">
        <v>23</v>
      </c>
      <c r="D1324" s="3" t="s">
        <v>86</v>
      </c>
      <c r="E1324" s="3" t="s">
        <v>87</v>
      </c>
      <c r="F1324" s="3" t="s">
        <v>40</v>
      </c>
      <c r="G1324" s="3" t="n">
        <v>1</v>
      </c>
      <c r="H1324" s="4" t="n">
        <v>16.99</v>
      </c>
      <c r="I1324" s="4" t="n">
        <v>5.5</v>
      </c>
      <c r="J1324" s="5" t="n">
        <v>0.2</v>
      </c>
      <c r="K1324" s="4" t="n">
        <f aca="false">G1324*H1324*(1-J1324)</f>
        <v>13.592</v>
      </c>
      <c r="L1324" s="4" t="n">
        <f aca="false">G1324*I1324</f>
        <v>5.5</v>
      </c>
      <c r="M1324" s="4" t="n">
        <f aca="false">K1324-L1324</f>
        <v>8.092</v>
      </c>
      <c r="N1324" s="6" t="n">
        <f aca="false">IF(K1324=0,0,M1324/K1324)</f>
        <v>0.595350206003532</v>
      </c>
      <c r="O1324" s="4" t="n">
        <f aca="false">(G1324*H1324)-K1324</f>
        <v>3.398</v>
      </c>
      <c r="P1324" s="3" t="s">
        <v>21</v>
      </c>
    </row>
    <row r="1325" customFormat="false" ht="15" hidden="false" customHeight="false" outlineLevel="0" collapsed="false">
      <c r="A1325" s="7" t="n">
        <v>46098</v>
      </c>
      <c r="B1325" s="8" t="s">
        <v>41</v>
      </c>
      <c r="C1325" s="8" t="s">
        <v>28</v>
      </c>
      <c r="D1325" s="8" t="s">
        <v>55</v>
      </c>
      <c r="E1325" s="8" t="s">
        <v>56</v>
      </c>
      <c r="F1325" s="8" t="s">
        <v>57</v>
      </c>
      <c r="G1325" s="8" t="n">
        <v>27</v>
      </c>
      <c r="H1325" s="9" t="n">
        <v>29.99</v>
      </c>
      <c r="I1325" s="9" t="n">
        <v>11</v>
      </c>
      <c r="J1325" s="10" t="n">
        <v>0.2</v>
      </c>
      <c r="K1325" s="9" t="n">
        <f aca="false">G1325*H1325*(1-J1325)</f>
        <v>647.784</v>
      </c>
      <c r="L1325" s="9" t="n">
        <f aca="false">G1325*I1325</f>
        <v>297</v>
      </c>
      <c r="M1325" s="9" t="n">
        <f aca="false">K1325-L1325</f>
        <v>350.784</v>
      </c>
      <c r="N1325" s="11" t="n">
        <f aca="false">IF(K1325=0,0,M1325/K1325)</f>
        <v>0.541513837945982</v>
      </c>
      <c r="O1325" s="9" t="n">
        <f aca="false">(G1325*H1325)-K1325</f>
        <v>161.946</v>
      </c>
      <c r="P1325" s="8" t="s">
        <v>21</v>
      </c>
    </row>
    <row r="1326" customFormat="false" ht="15" hidden="false" customHeight="false" outlineLevel="0" collapsed="false">
      <c r="A1326" s="2" t="n">
        <v>46111</v>
      </c>
      <c r="B1326" s="3" t="s">
        <v>27</v>
      </c>
      <c r="C1326" s="3" t="s">
        <v>28</v>
      </c>
      <c r="D1326" s="3" t="s">
        <v>61</v>
      </c>
      <c r="E1326" s="3" t="s">
        <v>62</v>
      </c>
      <c r="F1326" s="3" t="s">
        <v>34</v>
      </c>
      <c r="G1326" s="3" t="n">
        <v>13</v>
      </c>
      <c r="H1326" s="4" t="n">
        <v>12.99</v>
      </c>
      <c r="I1326" s="4" t="n">
        <v>4.5</v>
      </c>
      <c r="J1326" s="5" t="n">
        <v>0.05</v>
      </c>
      <c r="K1326" s="4" t="n">
        <f aca="false">G1326*H1326*(1-J1326)</f>
        <v>160.4265</v>
      </c>
      <c r="L1326" s="4" t="n">
        <f aca="false">G1326*I1326</f>
        <v>58.5</v>
      </c>
      <c r="M1326" s="4" t="n">
        <f aca="false">K1326-L1326</f>
        <v>101.9265</v>
      </c>
      <c r="N1326" s="6" t="n">
        <f aca="false">IF(K1326=0,0,M1326/K1326)</f>
        <v>0.635347028078279</v>
      </c>
      <c r="O1326" s="4" t="n">
        <f aca="false">(G1326*H1326)-K1326</f>
        <v>8.4435</v>
      </c>
      <c r="P1326" s="3" t="s">
        <v>21</v>
      </c>
    </row>
    <row r="1327" customFormat="false" ht="15" hidden="false" customHeight="false" outlineLevel="0" collapsed="false">
      <c r="A1327" s="7" t="n">
        <v>46072</v>
      </c>
      <c r="B1327" s="8" t="s">
        <v>37</v>
      </c>
      <c r="C1327" s="8" t="s">
        <v>17</v>
      </c>
      <c r="D1327" s="8" t="s">
        <v>24</v>
      </c>
      <c r="E1327" s="8" t="s">
        <v>25</v>
      </c>
      <c r="F1327" s="8" t="s">
        <v>26</v>
      </c>
      <c r="G1327" s="8" t="n">
        <v>17</v>
      </c>
      <c r="H1327" s="9" t="n">
        <v>54.99</v>
      </c>
      <c r="I1327" s="9" t="n">
        <v>24</v>
      </c>
      <c r="J1327" s="10" t="n">
        <v>0.3</v>
      </c>
      <c r="K1327" s="9" t="n">
        <f aca="false">G1327*H1327*(1-J1327)</f>
        <v>654.381</v>
      </c>
      <c r="L1327" s="9" t="n">
        <f aca="false">G1327*I1327</f>
        <v>408</v>
      </c>
      <c r="M1327" s="9" t="n">
        <f aca="false">K1327-L1327</f>
        <v>246.381</v>
      </c>
      <c r="N1327" s="11" t="n">
        <f aca="false">IF(K1327=0,0,M1327/K1327)</f>
        <v>0.376510014807887</v>
      </c>
      <c r="O1327" s="9" t="n">
        <f aca="false">(G1327*H1327)-K1327</f>
        <v>280.449</v>
      </c>
      <c r="P1327" s="8" t="s">
        <v>21</v>
      </c>
    </row>
    <row r="1328" customFormat="false" ht="15" hidden="false" customHeight="false" outlineLevel="0" collapsed="false">
      <c r="A1328" s="2" t="n">
        <v>46033</v>
      </c>
      <c r="B1328" s="3" t="s">
        <v>27</v>
      </c>
      <c r="C1328" s="3" t="s">
        <v>28</v>
      </c>
      <c r="D1328" s="3" t="s">
        <v>68</v>
      </c>
      <c r="E1328" s="3" t="s">
        <v>69</v>
      </c>
      <c r="F1328" s="3" t="s">
        <v>40</v>
      </c>
      <c r="G1328" s="3" t="n">
        <v>27</v>
      </c>
      <c r="H1328" s="4" t="n">
        <v>24.99</v>
      </c>
      <c r="I1328" s="4" t="n">
        <v>9</v>
      </c>
      <c r="J1328" s="5" t="n">
        <v>0</v>
      </c>
      <c r="K1328" s="4" t="n">
        <f aca="false">G1328*H1328*(1-J1328)</f>
        <v>674.73</v>
      </c>
      <c r="L1328" s="4" t="n">
        <f aca="false">G1328*I1328</f>
        <v>243</v>
      </c>
      <c r="M1328" s="4" t="n">
        <f aca="false">K1328-L1328</f>
        <v>431.73</v>
      </c>
      <c r="N1328" s="6" t="n">
        <f aca="false">IF(K1328=0,0,M1328/K1328)</f>
        <v>0.639855942376951</v>
      </c>
      <c r="O1328" s="4" t="n">
        <f aca="false">(G1328*H1328)-K1328</f>
        <v>0</v>
      </c>
      <c r="P1328" s="3" t="s">
        <v>21</v>
      </c>
    </row>
    <row r="1329" customFormat="false" ht="15" hidden="false" customHeight="false" outlineLevel="0" collapsed="false">
      <c r="A1329" s="7" t="n">
        <v>46114</v>
      </c>
      <c r="B1329" s="8" t="s">
        <v>22</v>
      </c>
      <c r="C1329" s="8" t="s">
        <v>23</v>
      </c>
      <c r="D1329" s="8" t="s">
        <v>18</v>
      </c>
      <c r="E1329" s="8" t="s">
        <v>19</v>
      </c>
      <c r="F1329" s="8" t="s">
        <v>20</v>
      </c>
      <c r="G1329" s="8" t="n">
        <v>30</v>
      </c>
      <c r="H1329" s="9" t="n">
        <v>26.99</v>
      </c>
      <c r="I1329" s="9" t="n">
        <v>10.5</v>
      </c>
      <c r="J1329" s="10" t="n">
        <v>0</v>
      </c>
      <c r="K1329" s="9" t="n">
        <f aca="false">G1329*H1329*(1-J1329)</f>
        <v>809.7</v>
      </c>
      <c r="L1329" s="9" t="n">
        <f aca="false">G1329*I1329</f>
        <v>315</v>
      </c>
      <c r="M1329" s="9" t="n">
        <f aca="false">K1329-L1329</f>
        <v>494.7</v>
      </c>
      <c r="N1329" s="11" t="n">
        <f aca="false">IF(K1329=0,0,M1329/K1329)</f>
        <v>0.610967024824009</v>
      </c>
      <c r="O1329" s="9" t="n">
        <f aca="false">(G1329*H1329)-K1329</f>
        <v>0</v>
      </c>
      <c r="P1329" s="8" t="s">
        <v>21</v>
      </c>
    </row>
    <row r="1330" customFormat="false" ht="15" hidden="false" customHeight="false" outlineLevel="0" collapsed="false">
      <c r="A1330" s="2" t="n">
        <v>46099</v>
      </c>
      <c r="B1330" s="3" t="s">
        <v>22</v>
      </c>
      <c r="C1330" s="3" t="s">
        <v>23</v>
      </c>
      <c r="D1330" s="3" t="s">
        <v>29</v>
      </c>
      <c r="E1330" s="3" t="s">
        <v>30</v>
      </c>
      <c r="F1330" s="3" t="s">
        <v>20</v>
      </c>
      <c r="G1330" s="3" t="n">
        <v>7</v>
      </c>
      <c r="H1330" s="4" t="n">
        <v>79.99</v>
      </c>
      <c r="I1330" s="4" t="n">
        <v>42</v>
      </c>
      <c r="J1330" s="5" t="n">
        <v>0.2</v>
      </c>
      <c r="K1330" s="4" t="n">
        <f aca="false">G1330*H1330*(1-J1330)</f>
        <v>447.944</v>
      </c>
      <c r="L1330" s="4" t="n">
        <f aca="false">G1330*I1330</f>
        <v>294</v>
      </c>
      <c r="M1330" s="4" t="n">
        <f aca="false">K1330-L1330</f>
        <v>153.944</v>
      </c>
      <c r="N1330" s="6" t="n">
        <f aca="false">IF(K1330=0,0,M1330/K1330)</f>
        <v>0.343667958494812</v>
      </c>
      <c r="O1330" s="4" t="n">
        <f aca="false">(G1330*H1330)-K1330</f>
        <v>111.986</v>
      </c>
      <c r="P1330" s="3" t="s">
        <v>21</v>
      </c>
    </row>
    <row r="1331" customFormat="false" ht="15" hidden="false" customHeight="false" outlineLevel="0" collapsed="false">
      <c r="A1331" s="7" t="n">
        <v>46074</v>
      </c>
      <c r="B1331" s="8" t="s">
        <v>58</v>
      </c>
      <c r="C1331" s="8" t="s">
        <v>58</v>
      </c>
      <c r="D1331" s="8" t="s">
        <v>42</v>
      </c>
      <c r="E1331" s="8" t="s">
        <v>43</v>
      </c>
      <c r="F1331" s="8" t="s">
        <v>34</v>
      </c>
      <c r="G1331" s="8" t="n">
        <v>5</v>
      </c>
      <c r="H1331" s="9" t="n">
        <v>11.99</v>
      </c>
      <c r="I1331" s="9" t="n">
        <v>3.5</v>
      </c>
      <c r="J1331" s="10" t="n">
        <v>0.15</v>
      </c>
      <c r="K1331" s="9" t="n">
        <f aca="false">G1331*H1331*(1-J1331)</f>
        <v>50.9575</v>
      </c>
      <c r="L1331" s="9" t="n">
        <f aca="false">G1331*I1331</f>
        <v>17.5</v>
      </c>
      <c r="M1331" s="9" t="n">
        <f aca="false">K1331-L1331</f>
        <v>33.4575</v>
      </c>
      <c r="N1331" s="11" t="n">
        <f aca="false">IF(K1331=0,0,M1331/K1331)</f>
        <v>0.65657655889712</v>
      </c>
      <c r="O1331" s="9" t="n">
        <f aca="false">(G1331*H1331)-K1331</f>
        <v>8.9925</v>
      </c>
      <c r="P1331" s="8" t="s">
        <v>21</v>
      </c>
    </row>
    <row r="1332" customFormat="false" ht="15" hidden="false" customHeight="false" outlineLevel="0" collapsed="false">
      <c r="A1332" s="2" t="n">
        <v>46057</v>
      </c>
      <c r="B1332" s="3" t="s">
        <v>16</v>
      </c>
      <c r="C1332" s="3" t="s">
        <v>17</v>
      </c>
      <c r="D1332" s="3" t="s">
        <v>61</v>
      </c>
      <c r="E1332" s="3" t="s">
        <v>62</v>
      </c>
      <c r="F1332" s="3" t="s">
        <v>34</v>
      </c>
      <c r="G1332" s="3" t="n">
        <v>15</v>
      </c>
      <c r="H1332" s="4" t="n">
        <v>14.99</v>
      </c>
      <c r="I1332" s="4" t="n">
        <v>4.5</v>
      </c>
      <c r="J1332" s="5" t="n">
        <v>0</v>
      </c>
      <c r="K1332" s="4" t="n">
        <f aca="false">G1332*H1332*(1-J1332)</f>
        <v>224.85</v>
      </c>
      <c r="L1332" s="4" t="n">
        <f aca="false">G1332*I1332</f>
        <v>67.5</v>
      </c>
      <c r="M1332" s="4" t="n">
        <f aca="false">K1332-L1332</f>
        <v>157.35</v>
      </c>
      <c r="N1332" s="6" t="n">
        <f aca="false">IF(K1332=0,0,M1332/K1332)</f>
        <v>0.699799866577718</v>
      </c>
      <c r="O1332" s="4" t="n">
        <f aca="false">(G1332*H1332)-K1332</f>
        <v>0</v>
      </c>
      <c r="P1332" s="3" t="s">
        <v>21</v>
      </c>
    </row>
    <row r="1333" customFormat="false" ht="15" hidden="false" customHeight="false" outlineLevel="0" collapsed="false">
      <c r="A1333" s="7" t="n">
        <v>46027</v>
      </c>
      <c r="B1333" s="8" t="s">
        <v>64</v>
      </c>
      <c r="C1333" s="8" t="s">
        <v>65</v>
      </c>
      <c r="D1333" s="8" t="s">
        <v>84</v>
      </c>
      <c r="E1333" s="8" t="s">
        <v>85</v>
      </c>
      <c r="F1333" s="8" t="s">
        <v>20</v>
      </c>
      <c r="G1333" s="8" t="n">
        <v>25</v>
      </c>
      <c r="H1333" s="9" t="n">
        <v>34.99</v>
      </c>
      <c r="I1333" s="9" t="n">
        <v>13</v>
      </c>
      <c r="J1333" s="10" t="n">
        <v>0</v>
      </c>
      <c r="K1333" s="9" t="n">
        <f aca="false">G1333*H1333*(1-J1333)</f>
        <v>874.75</v>
      </c>
      <c r="L1333" s="9" t="n">
        <f aca="false">G1333*I1333</f>
        <v>325</v>
      </c>
      <c r="M1333" s="9" t="n">
        <f aca="false">K1333-L1333</f>
        <v>549.75</v>
      </c>
      <c r="N1333" s="11" t="n">
        <f aca="false">IF(K1333=0,0,M1333/K1333)</f>
        <v>0.628465275793084</v>
      </c>
      <c r="O1333" s="9" t="n">
        <f aca="false">(G1333*H1333)-K1333</f>
        <v>0</v>
      </c>
      <c r="P1333" s="8" t="s">
        <v>21</v>
      </c>
    </row>
    <row r="1334" customFormat="false" ht="15" hidden="false" customHeight="false" outlineLevel="0" collapsed="false">
      <c r="A1334" s="2" t="n">
        <v>46130</v>
      </c>
      <c r="B1334" s="3" t="s">
        <v>31</v>
      </c>
      <c r="C1334" s="3" t="s">
        <v>23</v>
      </c>
      <c r="D1334" s="3" t="s">
        <v>84</v>
      </c>
      <c r="E1334" s="3" t="s">
        <v>85</v>
      </c>
      <c r="F1334" s="3" t="s">
        <v>20</v>
      </c>
      <c r="G1334" s="3" t="n">
        <v>30</v>
      </c>
      <c r="H1334" s="4" t="n">
        <v>34.99</v>
      </c>
      <c r="I1334" s="4" t="n">
        <v>13</v>
      </c>
      <c r="J1334" s="5" t="n">
        <v>0</v>
      </c>
      <c r="K1334" s="4" t="n">
        <f aca="false">G1334*H1334*(1-J1334)</f>
        <v>1049.7</v>
      </c>
      <c r="L1334" s="4" t="n">
        <f aca="false">G1334*I1334</f>
        <v>390</v>
      </c>
      <c r="M1334" s="4" t="n">
        <f aca="false">K1334-L1334</f>
        <v>659.7</v>
      </c>
      <c r="N1334" s="6" t="n">
        <f aca="false">IF(K1334=0,0,M1334/K1334)</f>
        <v>0.628465275793084</v>
      </c>
      <c r="O1334" s="4" t="n">
        <f aca="false">(G1334*H1334)-K1334</f>
        <v>0</v>
      </c>
      <c r="P1334" s="3" t="s">
        <v>21</v>
      </c>
    </row>
    <row r="1335" customFormat="false" ht="15" hidden="false" customHeight="false" outlineLevel="0" collapsed="false">
      <c r="A1335" s="7" t="n">
        <v>46130</v>
      </c>
      <c r="B1335" s="8" t="s">
        <v>31</v>
      </c>
      <c r="C1335" s="8" t="s">
        <v>23</v>
      </c>
      <c r="D1335" s="8" t="s">
        <v>78</v>
      </c>
      <c r="E1335" s="8" t="s">
        <v>79</v>
      </c>
      <c r="F1335" s="8" t="s">
        <v>20</v>
      </c>
      <c r="G1335" s="8" t="n">
        <v>23</v>
      </c>
      <c r="H1335" s="9" t="n">
        <v>42.99</v>
      </c>
      <c r="I1335" s="9" t="n">
        <v>16</v>
      </c>
      <c r="J1335" s="10" t="n">
        <v>0</v>
      </c>
      <c r="K1335" s="9" t="n">
        <f aca="false">G1335*H1335*(1-J1335)</f>
        <v>988.77</v>
      </c>
      <c r="L1335" s="9" t="n">
        <f aca="false">G1335*I1335</f>
        <v>368</v>
      </c>
      <c r="M1335" s="9" t="n">
        <f aca="false">K1335-L1335</f>
        <v>620.77</v>
      </c>
      <c r="N1335" s="11" t="n">
        <f aca="false">IF(K1335=0,0,M1335/K1335)</f>
        <v>0.627820423354269</v>
      </c>
      <c r="O1335" s="9" t="n">
        <f aca="false">(G1335*H1335)-K1335</f>
        <v>0</v>
      </c>
      <c r="P1335" s="8" t="s">
        <v>21</v>
      </c>
    </row>
    <row r="1336" customFormat="false" ht="15" hidden="false" customHeight="false" outlineLevel="0" collapsed="false">
      <c r="A1336" s="2" t="n">
        <v>46079</v>
      </c>
      <c r="B1336" s="3" t="s">
        <v>22</v>
      </c>
      <c r="C1336" s="3" t="s">
        <v>23</v>
      </c>
      <c r="D1336" s="3" t="s">
        <v>61</v>
      </c>
      <c r="E1336" s="3" t="s">
        <v>62</v>
      </c>
      <c r="F1336" s="3" t="s">
        <v>34</v>
      </c>
      <c r="G1336" s="3" t="n">
        <v>10</v>
      </c>
      <c r="H1336" s="4" t="n">
        <v>12.99</v>
      </c>
      <c r="I1336" s="4" t="n">
        <v>4.5</v>
      </c>
      <c r="J1336" s="5" t="n">
        <v>0</v>
      </c>
      <c r="K1336" s="4" t="n">
        <f aca="false">G1336*H1336*(1-J1336)</f>
        <v>129.9</v>
      </c>
      <c r="L1336" s="4" t="n">
        <f aca="false">G1336*I1336</f>
        <v>45</v>
      </c>
      <c r="M1336" s="4" t="n">
        <f aca="false">K1336-L1336</f>
        <v>84.9</v>
      </c>
      <c r="N1336" s="6" t="n">
        <f aca="false">IF(K1336=0,0,M1336/K1336)</f>
        <v>0.653579676674365</v>
      </c>
      <c r="O1336" s="4" t="n">
        <f aca="false">(G1336*H1336)-K1336</f>
        <v>0</v>
      </c>
      <c r="P1336" s="3" t="s">
        <v>21</v>
      </c>
    </row>
    <row r="1337" customFormat="false" ht="15" hidden="false" customHeight="false" outlineLevel="0" collapsed="false">
      <c r="A1337" s="7" t="n">
        <v>46125</v>
      </c>
      <c r="B1337" s="8" t="s">
        <v>16</v>
      </c>
      <c r="C1337" s="8" t="s">
        <v>17</v>
      </c>
      <c r="D1337" s="8" t="s">
        <v>46</v>
      </c>
      <c r="E1337" s="8" t="s">
        <v>47</v>
      </c>
      <c r="F1337" s="8" t="s">
        <v>20</v>
      </c>
      <c r="G1337" s="8" t="n">
        <v>1</v>
      </c>
      <c r="H1337" s="9" t="n">
        <v>44.99</v>
      </c>
      <c r="I1337" s="9" t="n">
        <v>18</v>
      </c>
      <c r="J1337" s="10" t="n">
        <v>0</v>
      </c>
      <c r="K1337" s="9" t="n">
        <f aca="false">G1337*H1337*(1-J1337)</f>
        <v>44.99</v>
      </c>
      <c r="L1337" s="9" t="n">
        <f aca="false">G1337*I1337</f>
        <v>18</v>
      </c>
      <c r="M1337" s="9" t="n">
        <f aca="false">K1337-L1337</f>
        <v>26.99</v>
      </c>
      <c r="N1337" s="11" t="n">
        <f aca="false">IF(K1337=0,0,M1337/K1337)</f>
        <v>0.599911091353634</v>
      </c>
      <c r="O1337" s="9" t="n">
        <f aca="false">(G1337*H1337)-K1337</f>
        <v>0</v>
      </c>
      <c r="P1337" s="8" t="s">
        <v>21</v>
      </c>
    </row>
    <row r="1338" customFormat="false" ht="15" hidden="false" customHeight="false" outlineLevel="0" collapsed="false">
      <c r="A1338" s="2" t="n">
        <v>46080</v>
      </c>
      <c r="B1338" s="3" t="s">
        <v>41</v>
      </c>
      <c r="C1338" s="3" t="s">
        <v>28</v>
      </c>
      <c r="D1338" s="3" t="s">
        <v>42</v>
      </c>
      <c r="E1338" s="3" t="s">
        <v>43</v>
      </c>
      <c r="F1338" s="3" t="s">
        <v>34</v>
      </c>
      <c r="G1338" s="3" t="n">
        <v>10</v>
      </c>
      <c r="H1338" s="4" t="n">
        <v>11.99</v>
      </c>
      <c r="I1338" s="4" t="n">
        <v>3.5</v>
      </c>
      <c r="J1338" s="5" t="n">
        <v>0.15</v>
      </c>
      <c r="K1338" s="4" t="n">
        <f aca="false">G1338*H1338*(1-J1338)</f>
        <v>101.915</v>
      </c>
      <c r="L1338" s="4" t="n">
        <f aca="false">G1338*I1338</f>
        <v>35</v>
      </c>
      <c r="M1338" s="4" t="n">
        <f aca="false">K1338-L1338</f>
        <v>66.915</v>
      </c>
      <c r="N1338" s="6" t="n">
        <f aca="false">IF(K1338=0,0,M1338/K1338)</f>
        <v>0.65657655889712</v>
      </c>
      <c r="O1338" s="4" t="n">
        <f aca="false">(G1338*H1338)-K1338</f>
        <v>17.985</v>
      </c>
      <c r="P1338" s="3" t="s">
        <v>21</v>
      </c>
    </row>
    <row r="1339" customFormat="false" ht="15" hidden="false" customHeight="false" outlineLevel="0" collapsed="false">
      <c r="A1339" s="7" t="n">
        <v>46064</v>
      </c>
      <c r="B1339" s="8" t="s">
        <v>27</v>
      </c>
      <c r="C1339" s="8" t="s">
        <v>28</v>
      </c>
      <c r="D1339" s="8" t="s">
        <v>35</v>
      </c>
      <c r="E1339" s="8" t="s">
        <v>36</v>
      </c>
      <c r="F1339" s="8" t="s">
        <v>26</v>
      </c>
      <c r="G1339" s="8" t="n">
        <v>21</v>
      </c>
      <c r="H1339" s="9" t="n">
        <v>69.99</v>
      </c>
      <c r="I1339" s="9" t="n">
        <v>30</v>
      </c>
      <c r="J1339" s="10" t="n">
        <v>0.3</v>
      </c>
      <c r="K1339" s="9" t="n">
        <f aca="false">G1339*H1339*(1-J1339)</f>
        <v>1028.853</v>
      </c>
      <c r="L1339" s="9" t="n">
        <f aca="false">G1339*I1339</f>
        <v>630</v>
      </c>
      <c r="M1339" s="9" t="n">
        <f aca="false">K1339-L1339</f>
        <v>398.853</v>
      </c>
      <c r="N1339" s="11" t="n">
        <f aca="false">IF(K1339=0,0,M1339/K1339)</f>
        <v>0.387667625987386</v>
      </c>
      <c r="O1339" s="9" t="n">
        <f aca="false">(G1339*H1339)-K1339</f>
        <v>440.937</v>
      </c>
      <c r="P1339" s="8" t="s">
        <v>21</v>
      </c>
    </row>
    <row r="1340" customFormat="false" ht="15" hidden="false" customHeight="false" outlineLevel="0" collapsed="false">
      <c r="A1340" s="2" t="n">
        <v>46042</v>
      </c>
      <c r="B1340" s="3" t="s">
        <v>64</v>
      </c>
      <c r="C1340" s="3" t="s">
        <v>65</v>
      </c>
      <c r="D1340" s="3" t="s">
        <v>48</v>
      </c>
      <c r="E1340" s="3" t="s">
        <v>49</v>
      </c>
      <c r="F1340" s="3" t="s">
        <v>50</v>
      </c>
      <c r="G1340" s="3" t="n">
        <v>12</v>
      </c>
      <c r="H1340" s="4" t="n">
        <v>54.99</v>
      </c>
      <c r="I1340" s="4" t="n">
        <v>20</v>
      </c>
      <c r="J1340" s="5" t="n">
        <v>0</v>
      </c>
      <c r="K1340" s="4" t="n">
        <f aca="false">G1340*H1340*(1-J1340)</f>
        <v>659.88</v>
      </c>
      <c r="L1340" s="4" t="n">
        <f aca="false">G1340*I1340</f>
        <v>240</v>
      </c>
      <c r="M1340" s="4" t="n">
        <f aca="false">K1340-L1340</f>
        <v>419.88</v>
      </c>
      <c r="N1340" s="6" t="n">
        <f aca="false">IF(K1340=0,0,M1340/K1340)</f>
        <v>0.636297508637934</v>
      </c>
      <c r="O1340" s="4" t="n">
        <f aca="false">(G1340*H1340)-K1340</f>
        <v>0</v>
      </c>
      <c r="P1340" s="3" t="s">
        <v>21</v>
      </c>
    </row>
    <row r="1341" customFormat="false" ht="15" hidden="false" customHeight="false" outlineLevel="0" collapsed="false">
      <c r="A1341" s="7" t="n">
        <v>46087</v>
      </c>
      <c r="B1341" s="8" t="s">
        <v>22</v>
      </c>
      <c r="C1341" s="8" t="s">
        <v>23</v>
      </c>
      <c r="D1341" s="8" t="s">
        <v>51</v>
      </c>
      <c r="E1341" s="8" t="s">
        <v>52</v>
      </c>
      <c r="F1341" s="8" t="s">
        <v>50</v>
      </c>
      <c r="G1341" s="8" t="n">
        <v>9</v>
      </c>
      <c r="H1341" s="9" t="n">
        <v>5.23</v>
      </c>
      <c r="I1341" s="9" t="n">
        <v>7</v>
      </c>
      <c r="J1341" s="10" t="n">
        <v>0</v>
      </c>
      <c r="K1341" s="9" t="n">
        <f aca="false">G1341*H1341*(1-J1341)</f>
        <v>47.07</v>
      </c>
      <c r="L1341" s="9" t="n">
        <f aca="false">G1341*I1341</f>
        <v>63</v>
      </c>
      <c r="M1341" s="9" t="n">
        <f aca="false">K1341-L1341</f>
        <v>-15.93</v>
      </c>
      <c r="N1341" s="11" t="n">
        <f aca="false">IF(K1341=0,0,M1341/K1341)</f>
        <v>-0.338432122370937</v>
      </c>
      <c r="O1341" s="9" t="n">
        <f aca="false">(G1341*H1341)-K1341</f>
        <v>0</v>
      </c>
      <c r="P1341" s="15" t="s">
        <v>98</v>
      </c>
    </row>
    <row r="1342" customFormat="false" ht="15" hidden="false" customHeight="false" outlineLevel="0" collapsed="false">
      <c r="A1342" s="2" t="n">
        <v>46119</v>
      </c>
      <c r="B1342" s="3" t="s">
        <v>27</v>
      </c>
      <c r="C1342" s="3" t="s">
        <v>28</v>
      </c>
      <c r="D1342" s="3" t="s">
        <v>48</v>
      </c>
      <c r="E1342" s="3" t="s">
        <v>49</v>
      </c>
      <c r="F1342" s="3" t="s">
        <v>50</v>
      </c>
      <c r="G1342" s="3" t="n">
        <v>10</v>
      </c>
      <c r="H1342" s="4" t="n">
        <v>59.99</v>
      </c>
      <c r="I1342" s="4" t="n">
        <v>20</v>
      </c>
      <c r="J1342" s="5" t="n">
        <v>0.25</v>
      </c>
      <c r="K1342" s="4" t="n">
        <f aca="false">G1342*H1342*(1-J1342)</f>
        <v>449.925</v>
      </c>
      <c r="L1342" s="4" t="n">
        <f aca="false">G1342*I1342</f>
        <v>200</v>
      </c>
      <c r="M1342" s="4" t="n">
        <f aca="false">K1342-L1342</f>
        <v>249.925</v>
      </c>
      <c r="N1342" s="6" t="n">
        <f aca="false">IF(K1342=0,0,M1342/K1342)</f>
        <v>0.555481469133745</v>
      </c>
      <c r="O1342" s="4" t="n">
        <f aca="false">(G1342*H1342)-K1342</f>
        <v>149.975</v>
      </c>
      <c r="P1342" s="3" t="s">
        <v>21</v>
      </c>
    </row>
    <row r="1343" customFormat="false" ht="15" hidden="false" customHeight="false" outlineLevel="0" collapsed="false">
      <c r="A1343" s="7" t="n">
        <v>46130</v>
      </c>
      <c r="B1343" s="8" t="s">
        <v>58</v>
      </c>
      <c r="C1343" s="8" t="s">
        <v>58</v>
      </c>
      <c r="D1343" s="8" t="s">
        <v>68</v>
      </c>
      <c r="E1343" s="8" t="s">
        <v>69</v>
      </c>
      <c r="F1343" s="8" t="s">
        <v>40</v>
      </c>
      <c r="G1343" s="8" t="n">
        <v>5</v>
      </c>
      <c r="H1343" s="9" t="n">
        <v>24.99</v>
      </c>
      <c r="I1343" s="9" t="n">
        <v>9</v>
      </c>
      <c r="J1343" s="10" t="n">
        <v>0.15</v>
      </c>
      <c r="K1343" s="9" t="n">
        <f aca="false">G1343*H1343*(1-J1343)</f>
        <v>106.2075</v>
      </c>
      <c r="L1343" s="9" t="n">
        <f aca="false">G1343*I1343</f>
        <v>45</v>
      </c>
      <c r="M1343" s="9" t="n">
        <f aca="false">K1343-L1343</f>
        <v>61.2075</v>
      </c>
      <c r="N1343" s="11" t="n">
        <f aca="false">IF(K1343=0,0,M1343/K1343)</f>
        <v>0.576301108678766</v>
      </c>
      <c r="O1343" s="9" t="n">
        <f aca="false">(G1343*H1343)-K1343</f>
        <v>18.7425</v>
      </c>
      <c r="P1343" s="8" t="s">
        <v>21</v>
      </c>
    </row>
    <row r="1344" customFormat="false" ht="15" hidden="false" customHeight="false" outlineLevel="0" collapsed="false">
      <c r="A1344" s="2" t="n">
        <v>46030</v>
      </c>
      <c r="B1344" s="3" t="s">
        <v>27</v>
      </c>
      <c r="C1344" s="3" t="s">
        <v>28</v>
      </c>
      <c r="D1344" s="3" t="s">
        <v>76</v>
      </c>
      <c r="E1344" s="3" t="s">
        <v>77</v>
      </c>
      <c r="F1344" s="3" t="s">
        <v>34</v>
      </c>
      <c r="G1344" s="3" t="n">
        <v>24</v>
      </c>
      <c r="H1344" s="4" t="n">
        <v>44.99</v>
      </c>
      <c r="I1344" s="4" t="n">
        <v>14</v>
      </c>
      <c r="J1344" s="5" t="n">
        <v>0.3</v>
      </c>
      <c r="K1344" s="4" t="n">
        <f aca="false">G1344*H1344*(1-J1344)</f>
        <v>755.832</v>
      </c>
      <c r="L1344" s="4" t="n">
        <f aca="false">G1344*I1344</f>
        <v>336</v>
      </c>
      <c r="M1344" s="4" t="n">
        <f aca="false">K1344-L1344</f>
        <v>419.832</v>
      </c>
      <c r="N1344" s="6" t="n">
        <f aca="false">IF(K1344=0,0,M1344/K1344)</f>
        <v>0.555456768170705</v>
      </c>
      <c r="O1344" s="4" t="n">
        <f aca="false">(G1344*H1344)-K1344</f>
        <v>323.928</v>
      </c>
      <c r="P1344" s="3" t="s">
        <v>21</v>
      </c>
    </row>
    <row r="1345" customFormat="false" ht="15" hidden="false" customHeight="false" outlineLevel="0" collapsed="false">
      <c r="A1345" s="7" t="n">
        <v>46045</v>
      </c>
      <c r="B1345" s="8" t="s">
        <v>31</v>
      </c>
      <c r="C1345" s="8" t="s">
        <v>23</v>
      </c>
      <c r="D1345" s="8" t="s">
        <v>95</v>
      </c>
      <c r="E1345" s="8" t="s">
        <v>96</v>
      </c>
      <c r="F1345" s="8" t="s">
        <v>50</v>
      </c>
      <c r="G1345" s="8" t="n">
        <v>10</v>
      </c>
      <c r="H1345" s="9" t="n">
        <v>34.99</v>
      </c>
      <c r="I1345" s="9" t="n">
        <v>12</v>
      </c>
      <c r="J1345" s="10" t="n">
        <v>0.05</v>
      </c>
      <c r="K1345" s="9" t="n">
        <f aca="false">G1345*H1345*(1-J1345)</f>
        <v>332.405</v>
      </c>
      <c r="L1345" s="9" t="n">
        <f aca="false">G1345*I1345</f>
        <v>120</v>
      </c>
      <c r="M1345" s="9" t="n">
        <f aca="false">K1345-L1345</f>
        <v>212.405</v>
      </c>
      <c r="N1345" s="11" t="n">
        <f aca="false">IF(K1345=0,0,M1345/K1345)</f>
        <v>0.638994599960891</v>
      </c>
      <c r="O1345" s="9" t="n">
        <f aca="false">(G1345*H1345)-K1345</f>
        <v>17.495</v>
      </c>
      <c r="P1345" s="8" t="s">
        <v>21</v>
      </c>
    </row>
    <row r="1346" customFormat="false" ht="15" hidden="false" customHeight="false" outlineLevel="0" collapsed="false">
      <c r="A1346" s="2" t="n">
        <v>46051</v>
      </c>
      <c r="B1346" s="3" t="s">
        <v>31</v>
      </c>
      <c r="C1346" s="3" t="s">
        <v>23</v>
      </c>
      <c r="D1346" s="3" t="s">
        <v>48</v>
      </c>
      <c r="E1346" s="3" t="s">
        <v>49</v>
      </c>
      <c r="F1346" s="3" t="s">
        <v>50</v>
      </c>
      <c r="G1346" s="3" t="n">
        <v>12</v>
      </c>
      <c r="H1346" s="4" t="n">
        <v>54.99</v>
      </c>
      <c r="I1346" s="4" t="n">
        <v>20</v>
      </c>
      <c r="J1346" s="5" t="n">
        <v>0.3</v>
      </c>
      <c r="K1346" s="4" t="n">
        <f aca="false">G1346*H1346*(1-J1346)</f>
        <v>461.916</v>
      </c>
      <c r="L1346" s="4" t="n">
        <f aca="false">G1346*I1346</f>
        <v>240</v>
      </c>
      <c r="M1346" s="4" t="n">
        <f aca="false">K1346-L1346</f>
        <v>221.916</v>
      </c>
      <c r="N1346" s="6" t="n">
        <f aca="false">IF(K1346=0,0,M1346/K1346)</f>
        <v>0.480425012339906</v>
      </c>
      <c r="O1346" s="4" t="n">
        <f aca="false">(G1346*H1346)-K1346</f>
        <v>197.964</v>
      </c>
      <c r="P1346" s="3" t="s">
        <v>21</v>
      </c>
    </row>
    <row r="1347" customFormat="false" ht="15" hidden="false" customHeight="false" outlineLevel="0" collapsed="false">
      <c r="A1347" s="7" t="n">
        <v>46131</v>
      </c>
      <c r="B1347" s="8" t="s">
        <v>31</v>
      </c>
      <c r="C1347" s="8" t="s">
        <v>23</v>
      </c>
      <c r="D1347" s="8" t="s">
        <v>18</v>
      </c>
      <c r="E1347" s="8" t="s">
        <v>19</v>
      </c>
      <c r="F1347" s="8" t="s">
        <v>20</v>
      </c>
      <c r="G1347" s="8" t="n">
        <v>28</v>
      </c>
      <c r="H1347" s="9" t="n">
        <v>26.99</v>
      </c>
      <c r="I1347" s="9" t="n">
        <v>10.5</v>
      </c>
      <c r="J1347" s="10" t="n">
        <v>0</v>
      </c>
      <c r="K1347" s="9" t="n">
        <f aca="false">G1347*H1347*(1-J1347)</f>
        <v>755.72</v>
      </c>
      <c r="L1347" s="9" t="n">
        <f aca="false">G1347*I1347</f>
        <v>294</v>
      </c>
      <c r="M1347" s="9" t="n">
        <f aca="false">K1347-L1347</f>
        <v>461.72</v>
      </c>
      <c r="N1347" s="11" t="n">
        <f aca="false">IF(K1347=0,0,M1347/K1347)</f>
        <v>0.610967024824009</v>
      </c>
      <c r="O1347" s="9" t="n">
        <f aca="false">(G1347*H1347)-K1347</f>
        <v>0</v>
      </c>
      <c r="P1347" s="8" t="s">
        <v>21</v>
      </c>
    </row>
    <row r="1348" customFormat="false" ht="15" hidden="false" customHeight="false" outlineLevel="0" collapsed="false">
      <c r="A1348" s="2" t="n">
        <v>46035</v>
      </c>
      <c r="B1348" s="3" t="s">
        <v>31</v>
      </c>
      <c r="C1348" s="3" t="s">
        <v>23</v>
      </c>
      <c r="D1348" s="3" t="s">
        <v>90</v>
      </c>
      <c r="E1348" s="3" t="s">
        <v>91</v>
      </c>
      <c r="F1348" s="3" t="s">
        <v>26</v>
      </c>
      <c r="G1348" s="3" t="n">
        <v>13</v>
      </c>
      <c r="H1348" s="4" t="n">
        <v>29.99</v>
      </c>
      <c r="I1348" s="4" t="n">
        <v>11</v>
      </c>
      <c r="J1348" s="5" t="n">
        <v>0.25</v>
      </c>
      <c r="K1348" s="4" t="n">
        <f aca="false">G1348*H1348*(1-J1348)</f>
        <v>292.4025</v>
      </c>
      <c r="L1348" s="4" t="n">
        <f aca="false">G1348*I1348</f>
        <v>143</v>
      </c>
      <c r="M1348" s="4" t="n">
        <f aca="false">K1348-L1348</f>
        <v>149.4025</v>
      </c>
      <c r="N1348" s="6" t="n">
        <f aca="false">IF(K1348=0,0,M1348/K1348)</f>
        <v>0.510948093809048</v>
      </c>
      <c r="O1348" s="4" t="n">
        <f aca="false">(G1348*H1348)-K1348</f>
        <v>97.4675</v>
      </c>
      <c r="P1348" s="3" t="s">
        <v>21</v>
      </c>
    </row>
    <row r="1349" customFormat="false" ht="15" hidden="false" customHeight="false" outlineLevel="0" collapsed="false">
      <c r="A1349" s="7" t="n">
        <v>46115</v>
      </c>
      <c r="B1349" s="8" t="s">
        <v>64</v>
      </c>
      <c r="C1349" s="8" t="s">
        <v>65</v>
      </c>
      <c r="D1349" s="8" t="s">
        <v>38</v>
      </c>
      <c r="E1349" s="8" t="s">
        <v>39</v>
      </c>
      <c r="F1349" s="8" t="s">
        <v>40</v>
      </c>
      <c r="G1349" s="8" t="n">
        <v>13</v>
      </c>
      <c r="H1349" s="9" t="n">
        <v>12.99</v>
      </c>
      <c r="I1349" s="9" t="n">
        <v>4</v>
      </c>
      <c r="J1349" s="10" t="n">
        <v>0.25</v>
      </c>
      <c r="K1349" s="9" t="n">
        <f aca="false">G1349*H1349*(1-J1349)</f>
        <v>126.6525</v>
      </c>
      <c r="L1349" s="9" t="n">
        <f aca="false">G1349*I1349</f>
        <v>52</v>
      </c>
      <c r="M1349" s="9" t="n">
        <f aca="false">K1349-L1349</f>
        <v>74.6525</v>
      </c>
      <c r="N1349" s="11" t="n">
        <f aca="false">IF(K1349=0,0,M1349/K1349)</f>
        <v>0.589427764947396</v>
      </c>
      <c r="O1349" s="9" t="n">
        <f aca="false">(G1349*H1349)-K1349</f>
        <v>42.2175</v>
      </c>
      <c r="P1349" s="8" t="s">
        <v>21</v>
      </c>
    </row>
    <row r="1350" customFormat="false" ht="15" hidden="false" customHeight="false" outlineLevel="0" collapsed="false">
      <c r="A1350" s="2" t="n">
        <v>46091</v>
      </c>
      <c r="B1350" s="3" t="s">
        <v>31</v>
      </c>
      <c r="C1350" s="3" t="s">
        <v>23</v>
      </c>
      <c r="D1350" s="3" t="s">
        <v>61</v>
      </c>
      <c r="E1350" s="3" t="s">
        <v>62</v>
      </c>
      <c r="F1350" s="3" t="s">
        <v>34</v>
      </c>
      <c r="G1350" s="3" t="n">
        <v>27</v>
      </c>
      <c r="H1350" s="4" t="n">
        <v>12.99</v>
      </c>
      <c r="I1350" s="4" t="n">
        <v>4.5</v>
      </c>
      <c r="J1350" s="5" t="n">
        <v>0.05</v>
      </c>
      <c r="K1350" s="4" t="n">
        <f aca="false">G1350*H1350*(1-J1350)</f>
        <v>333.1935</v>
      </c>
      <c r="L1350" s="4" t="n">
        <f aca="false">G1350*I1350</f>
        <v>121.5</v>
      </c>
      <c r="M1350" s="4" t="n">
        <f aca="false">K1350-L1350</f>
        <v>211.6935</v>
      </c>
      <c r="N1350" s="6" t="n">
        <f aca="false">IF(K1350=0,0,M1350/K1350)</f>
        <v>0.635347028078279</v>
      </c>
      <c r="O1350" s="4" t="n">
        <f aca="false">(G1350*H1350)-K1350</f>
        <v>17.5365</v>
      </c>
      <c r="P1350" s="3" t="s">
        <v>21</v>
      </c>
    </row>
    <row r="1351" customFormat="false" ht="15" hidden="false" customHeight="false" outlineLevel="0" collapsed="false">
      <c r="A1351" s="7" t="n">
        <v>46068</v>
      </c>
      <c r="B1351" s="8" t="s">
        <v>31</v>
      </c>
      <c r="C1351" s="8" t="s">
        <v>23</v>
      </c>
      <c r="D1351" s="8" t="s">
        <v>78</v>
      </c>
      <c r="E1351" s="8" t="s">
        <v>79</v>
      </c>
      <c r="F1351" s="8" t="s">
        <v>20</v>
      </c>
      <c r="G1351" s="8" t="n">
        <v>10</v>
      </c>
      <c r="H1351" s="9" t="n">
        <v>39.99</v>
      </c>
      <c r="I1351" s="9" t="n">
        <v>16</v>
      </c>
      <c r="J1351" s="10" t="n">
        <v>0.15</v>
      </c>
      <c r="K1351" s="9" t="n">
        <f aca="false">G1351*H1351*(1-J1351)</f>
        <v>339.915</v>
      </c>
      <c r="L1351" s="9" t="n">
        <f aca="false">G1351*I1351</f>
        <v>160</v>
      </c>
      <c r="M1351" s="9" t="n">
        <f aca="false">K1351-L1351</f>
        <v>179.915</v>
      </c>
      <c r="N1351" s="11" t="n">
        <f aca="false">IF(K1351=0,0,M1351/K1351)</f>
        <v>0.529294088227939</v>
      </c>
      <c r="O1351" s="9" t="n">
        <f aca="false">(G1351*H1351)-K1351</f>
        <v>59.985</v>
      </c>
      <c r="P1351" s="8" t="s">
        <v>21</v>
      </c>
    </row>
    <row r="1352" customFormat="false" ht="15" hidden="false" customHeight="false" outlineLevel="0" collapsed="false">
      <c r="A1352" s="2" t="n">
        <v>46099</v>
      </c>
      <c r="B1352" s="3" t="s">
        <v>31</v>
      </c>
      <c r="C1352" s="3" t="s">
        <v>23</v>
      </c>
      <c r="D1352" s="3" t="s">
        <v>32</v>
      </c>
      <c r="E1352" s="3" t="s">
        <v>33</v>
      </c>
      <c r="F1352" s="3" t="s">
        <v>34</v>
      </c>
      <c r="G1352" s="3" t="n">
        <v>17</v>
      </c>
      <c r="H1352" s="4" t="n">
        <v>18.99</v>
      </c>
      <c r="I1352" s="4" t="n">
        <v>6</v>
      </c>
      <c r="J1352" s="5" t="n">
        <v>0.25</v>
      </c>
      <c r="K1352" s="4" t="n">
        <f aca="false">G1352*H1352*(1-J1352)</f>
        <v>242.1225</v>
      </c>
      <c r="L1352" s="4" t="n">
        <f aca="false">G1352*I1352</f>
        <v>102</v>
      </c>
      <c r="M1352" s="4" t="n">
        <f aca="false">K1352-L1352</f>
        <v>140.1225</v>
      </c>
      <c r="N1352" s="6" t="n">
        <f aca="false">IF(K1352=0,0,M1352/K1352)</f>
        <v>0.578725645076356</v>
      </c>
      <c r="O1352" s="4" t="n">
        <f aca="false">(G1352*H1352)-K1352</f>
        <v>80.7075</v>
      </c>
      <c r="P1352" s="3" t="s">
        <v>21</v>
      </c>
    </row>
    <row r="1353" customFormat="false" ht="15" hidden="false" customHeight="false" outlineLevel="0" collapsed="false">
      <c r="A1353" s="7" t="n">
        <v>46078</v>
      </c>
      <c r="B1353" s="8" t="s">
        <v>22</v>
      </c>
      <c r="C1353" s="8" t="s">
        <v>23</v>
      </c>
      <c r="D1353" s="8" t="s">
        <v>59</v>
      </c>
      <c r="E1353" s="8" t="s">
        <v>60</v>
      </c>
      <c r="F1353" s="8" t="s">
        <v>50</v>
      </c>
      <c r="G1353" s="8" t="n">
        <v>29</v>
      </c>
      <c r="H1353" s="9" t="n">
        <v>24.99</v>
      </c>
      <c r="I1353" s="9" t="n">
        <v>8.5</v>
      </c>
      <c r="J1353" s="10" t="n">
        <v>0.25</v>
      </c>
      <c r="K1353" s="9" t="n">
        <f aca="false">G1353*H1353*(1-J1353)</f>
        <v>543.5325</v>
      </c>
      <c r="L1353" s="9" t="n">
        <f aca="false">G1353*I1353</f>
        <v>246.5</v>
      </c>
      <c r="M1353" s="9" t="n">
        <f aca="false">K1353-L1353</f>
        <v>297.0325</v>
      </c>
      <c r="N1353" s="11" t="n">
        <f aca="false">IF(K1353=0,0,M1353/K1353)</f>
        <v>0.546485260770975</v>
      </c>
      <c r="O1353" s="9" t="n">
        <f aca="false">(G1353*H1353)-K1353</f>
        <v>181.1775</v>
      </c>
      <c r="P1353" s="8" t="s">
        <v>21</v>
      </c>
    </row>
    <row r="1354" customFormat="false" ht="15" hidden="false" customHeight="false" outlineLevel="0" collapsed="false">
      <c r="A1354" s="2" t="n">
        <v>46065</v>
      </c>
      <c r="B1354" s="3" t="s">
        <v>37</v>
      </c>
      <c r="C1354" s="3" t="s">
        <v>17</v>
      </c>
      <c r="D1354" s="3" t="s">
        <v>61</v>
      </c>
      <c r="E1354" s="3" t="s">
        <v>62</v>
      </c>
      <c r="F1354" s="3" t="s">
        <v>34</v>
      </c>
      <c r="G1354" s="3" t="n">
        <v>25</v>
      </c>
      <c r="H1354" s="4" t="n">
        <v>14.99</v>
      </c>
      <c r="I1354" s="4" t="n">
        <v>4.5</v>
      </c>
      <c r="J1354" s="5" t="n">
        <v>0.3</v>
      </c>
      <c r="K1354" s="4" t="n">
        <f aca="false">G1354*H1354*(1-J1354)</f>
        <v>262.325</v>
      </c>
      <c r="L1354" s="4" t="n">
        <f aca="false">G1354*I1354</f>
        <v>112.5</v>
      </c>
      <c r="M1354" s="4" t="n">
        <f aca="false">K1354-L1354</f>
        <v>149.825</v>
      </c>
      <c r="N1354" s="6" t="n">
        <f aca="false">IF(K1354=0,0,M1354/K1354)</f>
        <v>0.571142666539598</v>
      </c>
      <c r="O1354" s="4" t="n">
        <f aca="false">(G1354*H1354)-K1354</f>
        <v>112.425</v>
      </c>
      <c r="P1354" s="3" t="s">
        <v>21</v>
      </c>
    </row>
    <row r="1355" customFormat="false" ht="15" hidden="false" customHeight="false" outlineLevel="0" collapsed="false">
      <c r="A1355" s="7" t="n">
        <v>46033</v>
      </c>
      <c r="B1355" s="8" t="s">
        <v>37</v>
      </c>
      <c r="C1355" s="8" t="s">
        <v>17</v>
      </c>
      <c r="D1355" s="8" t="s">
        <v>72</v>
      </c>
      <c r="E1355" s="8" t="s">
        <v>73</v>
      </c>
      <c r="F1355" s="8" t="s">
        <v>57</v>
      </c>
      <c r="G1355" s="8" t="n">
        <v>20</v>
      </c>
      <c r="H1355" s="9" t="n">
        <v>19.99</v>
      </c>
      <c r="I1355" s="9" t="n">
        <v>7</v>
      </c>
      <c r="J1355" s="10" t="n">
        <v>0.25</v>
      </c>
      <c r="K1355" s="9" t="n">
        <f aca="false">G1355*H1355*(1-J1355)</f>
        <v>299.85</v>
      </c>
      <c r="L1355" s="9" t="n">
        <f aca="false">G1355*I1355</f>
        <v>140</v>
      </c>
      <c r="M1355" s="9" t="n">
        <f aca="false">K1355-L1355</f>
        <v>159.85</v>
      </c>
      <c r="N1355" s="11" t="n">
        <f aca="false">IF(K1355=0,0,M1355/K1355)</f>
        <v>0.533099883274971</v>
      </c>
      <c r="O1355" s="9" t="n">
        <f aca="false">(G1355*H1355)-K1355</f>
        <v>99.95</v>
      </c>
      <c r="P1355" s="8" t="s">
        <v>21</v>
      </c>
    </row>
    <row r="1356" customFormat="false" ht="15" hidden="false" customHeight="false" outlineLevel="0" collapsed="false">
      <c r="A1356" s="2" t="n">
        <v>46115</v>
      </c>
      <c r="B1356" s="3" t="s">
        <v>58</v>
      </c>
      <c r="C1356" s="3" t="s">
        <v>58</v>
      </c>
      <c r="D1356" s="3" t="s">
        <v>35</v>
      </c>
      <c r="E1356" s="3" t="s">
        <v>36</v>
      </c>
      <c r="F1356" s="3" t="s">
        <v>26</v>
      </c>
      <c r="G1356" s="3" t="n">
        <v>25</v>
      </c>
      <c r="H1356" s="4" t="n">
        <v>69.99</v>
      </c>
      <c r="I1356" s="4" t="n">
        <v>30</v>
      </c>
      <c r="J1356" s="5" t="n">
        <v>0.25</v>
      </c>
      <c r="K1356" s="4" t="n">
        <f aca="false">G1356*H1356*(1-J1356)</f>
        <v>1312.3125</v>
      </c>
      <c r="L1356" s="4" t="n">
        <f aca="false">G1356*I1356</f>
        <v>750</v>
      </c>
      <c r="M1356" s="4" t="n">
        <f aca="false">K1356-L1356</f>
        <v>562.3125</v>
      </c>
      <c r="N1356" s="6" t="n">
        <f aca="false">IF(K1356=0,0,M1356/K1356)</f>
        <v>0.428489784254894</v>
      </c>
      <c r="O1356" s="4" t="n">
        <f aca="false">(G1356*H1356)-K1356</f>
        <v>437.4375</v>
      </c>
      <c r="P1356" s="3" t="s">
        <v>21</v>
      </c>
    </row>
    <row r="1357" customFormat="false" ht="15" hidden="false" customHeight="false" outlineLevel="0" collapsed="false">
      <c r="A1357" s="7" t="n">
        <v>46069</v>
      </c>
      <c r="B1357" s="8" t="s">
        <v>27</v>
      </c>
      <c r="C1357" s="8" t="s">
        <v>28</v>
      </c>
      <c r="D1357" s="8" t="s">
        <v>82</v>
      </c>
      <c r="E1357" s="8" t="s">
        <v>83</v>
      </c>
      <c r="F1357" s="8" t="s">
        <v>26</v>
      </c>
      <c r="G1357" s="8" t="n">
        <v>24</v>
      </c>
      <c r="H1357" s="9" t="n">
        <v>44.99</v>
      </c>
      <c r="I1357" s="9" t="n">
        <v>18</v>
      </c>
      <c r="J1357" s="10" t="n">
        <v>0.3</v>
      </c>
      <c r="K1357" s="9" t="n">
        <f aca="false">G1357*H1357*(1-J1357)</f>
        <v>755.832</v>
      </c>
      <c r="L1357" s="9" t="n">
        <f aca="false">G1357*I1357</f>
        <v>432</v>
      </c>
      <c r="M1357" s="9" t="n">
        <f aca="false">K1357-L1357</f>
        <v>323.832</v>
      </c>
      <c r="N1357" s="11" t="n">
        <f aca="false">IF(K1357=0,0,M1357/K1357)</f>
        <v>0.428444416219477</v>
      </c>
      <c r="O1357" s="9" t="n">
        <f aca="false">(G1357*H1357)-K1357</f>
        <v>323.928</v>
      </c>
      <c r="P1357" s="8" t="s">
        <v>21</v>
      </c>
    </row>
    <row r="1358" customFormat="false" ht="15" hidden="false" customHeight="false" outlineLevel="0" collapsed="false">
      <c r="A1358" s="2" t="n">
        <v>46072</v>
      </c>
      <c r="B1358" s="3" t="s">
        <v>16</v>
      </c>
      <c r="C1358" s="3" t="s">
        <v>17</v>
      </c>
      <c r="D1358" s="3" t="s">
        <v>95</v>
      </c>
      <c r="E1358" s="3" t="s">
        <v>96</v>
      </c>
      <c r="F1358" s="3" t="s">
        <v>50</v>
      </c>
      <c r="G1358" s="3" t="n">
        <v>7</v>
      </c>
      <c r="H1358" s="4" t="n">
        <v>34.99</v>
      </c>
      <c r="I1358" s="4" t="n">
        <v>12</v>
      </c>
      <c r="J1358" s="5" t="n">
        <v>0.3</v>
      </c>
      <c r="K1358" s="4" t="n">
        <f aca="false">G1358*H1358*(1-J1358)</f>
        <v>171.451</v>
      </c>
      <c r="L1358" s="4" t="n">
        <f aca="false">G1358*I1358</f>
        <v>84</v>
      </c>
      <c r="M1358" s="4" t="n">
        <f aca="false">K1358-L1358</f>
        <v>87.451</v>
      </c>
      <c r="N1358" s="6" t="n">
        <f aca="false">IF(K1358=0,0,M1358/K1358)</f>
        <v>0.510064099946924</v>
      </c>
      <c r="O1358" s="4" t="n">
        <f aca="false">(G1358*H1358)-K1358</f>
        <v>73.479</v>
      </c>
      <c r="P1358" s="3" t="s">
        <v>21</v>
      </c>
    </row>
    <row r="1359" customFormat="false" ht="15" hidden="false" customHeight="false" outlineLevel="0" collapsed="false">
      <c r="A1359" s="7" t="n">
        <v>46117</v>
      </c>
      <c r="B1359" s="8" t="s">
        <v>37</v>
      </c>
      <c r="C1359" s="8" t="s">
        <v>17</v>
      </c>
      <c r="D1359" s="8" t="s">
        <v>74</v>
      </c>
      <c r="E1359" s="8" t="s">
        <v>75</v>
      </c>
      <c r="F1359" s="8" t="s">
        <v>40</v>
      </c>
      <c r="G1359" s="8" t="n">
        <v>20</v>
      </c>
      <c r="H1359" s="9" t="n">
        <v>29.99</v>
      </c>
      <c r="I1359" s="9" t="n">
        <v>13</v>
      </c>
      <c r="J1359" s="10" t="n">
        <v>0.1</v>
      </c>
      <c r="K1359" s="9" t="n">
        <f aca="false">G1359*H1359*(1-J1359)</f>
        <v>539.82</v>
      </c>
      <c r="L1359" s="9" t="n">
        <f aca="false">G1359*I1359</f>
        <v>260</v>
      </c>
      <c r="M1359" s="9" t="n">
        <f aca="false">K1359-L1359</f>
        <v>279.82</v>
      </c>
      <c r="N1359" s="11" t="n">
        <f aca="false">IF(K1359=0,0,M1359/K1359)</f>
        <v>0.518357971175577</v>
      </c>
      <c r="O1359" s="9" t="n">
        <f aca="false">(G1359*H1359)-K1359</f>
        <v>59.98</v>
      </c>
      <c r="P1359" s="8" t="s">
        <v>21</v>
      </c>
    </row>
    <row r="1360" customFormat="false" ht="15" hidden="false" customHeight="false" outlineLevel="0" collapsed="false">
      <c r="A1360" s="2" t="n">
        <v>46088</v>
      </c>
      <c r="B1360" s="3" t="s">
        <v>64</v>
      </c>
      <c r="C1360" s="3" t="s">
        <v>65</v>
      </c>
      <c r="D1360" s="3" t="s">
        <v>46</v>
      </c>
      <c r="E1360" s="3" t="s">
        <v>47</v>
      </c>
      <c r="F1360" s="3" t="s">
        <v>20</v>
      </c>
      <c r="G1360" s="3" t="n">
        <v>1</v>
      </c>
      <c r="H1360" s="4" t="n">
        <v>44.99</v>
      </c>
      <c r="I1360" s="4" t="n">
        <v>18</v>
      </c>
      <c r="J1360" s="5" t="n">
        <v>0</v>
      </c>
      <c r="K1360" s="4" t="n">
        <f aca="false">G1360*H1360*(1-J1360)</f>
        <v>44.99</v>
      </c>
      <c r="L1360" s="4" t="n">
        <f aca="false">G1360*I1360</f>
        <v>18</v>
      </c>
      <c r="M1360" s="4" t="n">
        <f aca="false">K1360-L1360</f>
        <v>26.99</v>
      </c>
      <c r="N1360" s="6" t="n">
        <f aca="false">IF(K1360=0,0,M1360/K1360)</f>
        <v>0.599911091353634</v>
      </c>
      <c r="O1360" s="4" t="n">
        <f aca="false">(G1360*H1360)-K1360</f>
        <v>0</v>
      </c>
      <c r="P1360" s="3" t="s">
        <v>21</v>
      </c>
    </row>
    <row r="1361" customFormat="false" ht="15" hidden="false" customHeight="false" outlineLevel="0" collapsed="false">
      <c r="A1361" s="7" t="n">
        <v>46032</v>
      </c>
      <c r="B1361" s="8" t="s">
        <v>37</v>
      </c>
      <c r="C1361" s="8" t="s">
        <v>17</v>
      </c>
      <c r="D1361" s="8" t="s">
        <v>38</v>
      </c>
      <c r="E1361" s="8" t="s">
        <v>39</v>
      </c>
      <c r="F1361" s="8" t="s">
        <v>40</v>
      </c>
      <c r="G1361" s="8" t="n">
        <v>9</v>
      </c>
      <c r="H1361" s="9" t="n">
        <v>12.99</v>
      </c>
      <c r="I1361" s="9" t="n">
        <v>4</v>
      </c>
      <c r="J1361" s="10" t="n">
        <v>0.3</v>
      </c>
      <c r="K1361" s="9" t="n">
        <f aca="false">G1361*H1361*(1-J1361)</f>
        <v>81.837</v>
      </c>
      <c r="L1361" s="9" t="n">
        <f aca="false">G1361*I1361</f>
        <v>36</v>
      </c>
      <c r="M1361" s="9" t="n">
        <f aca="false">K1361-L1361</f>
        <v>45.837</v>
      </c>
      <c r="N1361" s="11" t="n">
        <f aca="false">IF(K1361=0,0,M1361/K1361)</f>
        <v>0.560101176729352</v>
      </c>
      <c r="O1361" s="9" t="n">
        <f aca="false">(G1361*H1361)-K1361</f>
        <v>35.073</v>
      </c>
      <c r="P1361" s="8" t="s">
        <v>21</v>
      </c>
    </row>
    <row r="1362" customFormat="false" ht="15" hidden="false" customHeight="false" outlineLevel="0" collapsed="false">
      <c r="A1362" s="2" t="n">
        <v>46093</v>
      </c>
      <c r="B1362" s="3" t="s">
        <v>31</v>
      </c>
      <c r="C1362" s="3" t="s">
        <v>23</v>
      </c>
      <c r="D1362" s="3" t="s">
        <v>59</v>
      </c>
      <c r="E1362" s="3" t="s">
        <v>60</v>
      </c>
      <c r="F1362" s="3" t="s">
        <v>50</v>
      </c>
      <c r="G1362" s="3" t="n">
        <v>22</v>
      </c>
      <c r="H1362" s="4" t="n">
        <v>24.99</v>
      </c>
      <c r="I1362" s="4" t="n">
        <v>8.5</v>
      </c>
      <c r="J1362" s="5" t="n">
        <v>0</v>
      </c>
      <c r="K1362" s="4" t="n">
        <f aca="false">G1362*H1362*(1-J1362)</f>
        <v>549.78</v>
      </c>
      <c r="L1362" s="4" t="n">
        <f aca="false">G1362*I1362</f>
        <v>187</v>
      </c>
      <c r="M1362" s="4" t="n">
        <f aca="false">K1362-L1362</f>
        <v>362.78</v>
      </c>
      <c r="N1362" s="6" t="n">
        <f aca="false">IF(K1362=0,0,M1362/K1362)</f>
        <v>0.659863945578231</v>
      </c>
      <c r="O1362" s="4" t="n">
        <f aca="false">(G1362*H1362)-K1362</f>
        <v>0</v>
      </c>
      <c r="P1362" s="3" t="s">
        <v>21</v>
      </c>
    </row>
    <row r="1363" customFormat="false" ht="15" hidden="false" customHeight="false" outlineLevel="0" collapsed="false">
      <c r="A1363" s="7" t="n">
        <v>46121</v>
      </c>
      <c r="B1363" s="8" t="s">
        <v>64</v>
      </c>
      <c r="C1363" s="8" t="s">
        <v>65</v>
      </c>
      <c r="D1363" s="8" t="s">
        <v>82</v>
      </c>
      <c r="E1363" s="8" t="s">
        <v>83</v>
      </c>
      <c r="F1363" s="8" t="s">
        <v>26</v>
      </c>
      <c r="G1363" s="8" t="n">
        <v>22</v>
      </c>
      <c r="H1363" s="9" t="n">
        <v>44.99</v>
      </c>
      <c r="I1363" s="9" t="n">
        <v>18</v>
      </c>
      <c r="J1363" s="10" t="n">
        <v>0.15</v>
      </c>
      <c r="K1363" s="9" t="n">
        <f aca="false">G1363*H1363*(1-J1363)</f>
        <v>841.313</v>
      </c>
      <c r="L1363" s="9" t="n">
        <f aca="false">G1363*I1363</f>
        <v>396</v>
      </c>
      <c r="M1363" s="9" t="n">
        <f aca="false">K1363-L1363</f>
        <v>445.313</v>
      </c>
      <c r="N1363" s="11" t="n">
        <f aca="false">IF(K1363=0,0,M1363/K1363)</f>
        <v>0.529307166298393</v>
      </c>
      <c r="O1363" s="9" t="n">
        <f aca="false">(G1363*H1363)-K1363</f>
        <v>148.467</v>
      </c>
      <c r="P1363" s="8" t="s">
        <v>21</v>
      </c>
    </row>
    <row r="1364" customFormat="false" ht="15" hidden="false" customHeight="false" outlineLevel="0" collapsed="false">
      <c r="A1364" s="2" t="n">
        <v>46104</v>
      </c>
      <c r="B1364" s="3" t="s">
        <v>41</v>
      </c>
      <c r="C1364" s="3" t="s">
        <v>28</v>
      </c>
      <c r="D1364" s="3" t="s">
        <v>84</v>
      </c>
      <c r="E1364" s="3" t="s">
        <v>85</v>
      </c>
      <c r="F1364" s="3" t="s">
        <v>20</v>
      </c>
      <c r="G1364" s="3" t="n">
        <v>27</v>
      </c>
      <c r="H1364" s="4" t="n">
        <v>34.99</v>
      </c>
      <c r="I1364" s="4" t="n">
        <v>13</v>
      </c>
      <c r="J1364" s="5" t="n">
        <v>0</v>
      </c>
      <c r="K1364" s="4" t="n">
        <f aca="false">G1364*H1364*(1-J1364)</f>
        <v>944.73</v>
      </c>
      <c r="L1364" s="4" t="n">
        <f aca="false">G1364*I1364</f>
        <v>351</v>
      </c>
      <c r="M1364" s="4" t="n">
        <f aca="false">K1364-L1364</f>
        <v>593.73</v>
      </c>
      <c r="N1364" s="6" t="n">
        <f aca="false">IF(K1364=0,0,M1364/K1364)</f>
        <v>0.628465275793084</v>
      </c>
      <c r="O1364" s="4" t="n">
        <f aca="false">(G1364*H1364)-K1364</f>
        <v>0</v>
      </c>
      <c r="P1364" s="3" t="s">
        <v>21</v>
      </c>
    </row>
    <row r="1365" customFormat="false" ht="15" hidden="false" customHeight="false" outlineLevel="0" collapsed="false">
      <c r="A1365" s="7" t="n">
        <v>46125</v>
      </c>
      <c r="B1365" s="8" t="s">
        <v>22</v>
      </c>
      <c r="C1365" s="8" t="s">
        <v>23</v>
      </c>
      <c r="D1365" s="8" t="s">
        <v>82</v>
      </c>
      <c r="E1365" s="8" t="s">
        <v>83</v>
      </c>
      <c r="F1365" s="8" t="s">
        <v>26</v>
      </c>
      <c r="G1365" s="8" t="n">
        <v>7</v>
      </c>
      <c r="H1365" s="9" t="n">
        <v>44.99</v>
      </c>
      <c r="I1365" s="9" t="n">
        <v>18</v>
      </c>
      <c r="J1365" s="10" t="n">
        <v>0</v>
      </c>
      <c r="K1365" s="9" t="n">
        <f aca="false">G1365*H1365*(1-J1365)</f>
        <v>314.93</v>
      </c>
      <c r="L1365" s="9" t="n">
        <f aca="false">G1365*I1365</f>
        <v>126</v>
      </c>
      <c r="M1365" s="9" t="n">
        <f aca="false">K1365-L1365</f>
        <v>188.93</v>
      </c>
      <c r="N1365" s="11" t="n">
        <f aca="false">IF(K1365=0,0,M1365/K1365)</f>
        <v>0.599911091353634</v>
      </c>
      <c r="O1365" s="9" t="n">
        <f aca="false">(G1365*H1365)-K1365</f>
        <v>0</v>
      </c>
      <c r="P1365" s="8" t="s">
        <v>21</v>
      </c>
    </row>
    <row r="1366" customFormat="false" ht="15" hidden="false" customHeight="false" outlineLevel="0" collapsed="false">
      <c r="A1366" s="2" t="n">
        <v>46087</v>
      </c>
      <c r="B1366" s="3" t="s">
        <v>16</v>
      </c>
      <c r="C1366" s="3" t="s">
        <v>17</v>
      </c>
      <c r="D1366" s="3" t="s">
        <v>78</v>
      </c>
      <c r="E1366" s="3" t="s">
        <v>79</v>
      </c>
      <c r="F1366" s="3" t="s">
        <v>20</v>
      </c>
      <c r="G1366" s="3" t="n">
        <v>15</v>
      </c>
      <c r="H1366" s="4" t="n">
        <v>39.99</v>
      </c>
      <c r="I1366" s="4" t="n">
        <v>16</v>
      </c>
      <c r="J1366" s="5" t="n">
        <v>0</v>
      </c>
      <c r="K1366" s="4" t="n">
        <f aca="false">G1366*H1366*(1-J1366)</f>
        <v>599.85</v>
      </c>
      <c r="L1366" s="4" t="n">
        <f aca="false">G1366*I1366</f>
        <v>240</v>
      </c>
      <c r="M1366" s="4" t="n">
        <f aca="false">K1366-L1366</f>
        <v>359.85</v>
      </c>
      <c r="N1366" s="6" t="n">
        <f aca="false">IF(K1366=0,0,M1366/K1366)</f>
        <v>0.599899974993749</v>
      </c>
      <c r="O1366" s="4" t="n">
        <f aca="false">(G1366*H1366)-K1366</f>
        <v>0</v>
      </c>
      <c r="P1366" s="3" t="s">
        <v>21</v>
      </c>
    </row>
    <row r="1367" customFormat="false" ht="15" hidden="false" customHeight="false" outlineLevel="0" collapsed="false">
      <c r="A1367" s="7" t="n">
        <v>46114</v>
      </c>
      <c r="B1367" s="8" t="s">
        <v>37</v>
      </c>
      <c r="C1367" s="8" t="s">
        <v>17</v>
      </c>
      <c r="D1367" s="8" t="s">
        <v>86</v>
      </c>
      <c r="E1367" s="8" t="s">
        <v>87</v>
      </c>
      <c r="F1367" s="8" t="s">
        <v>40</v>
      </c>
      <c r="G1367" s="8" t="n">
        <v>15</v>
      </c>
      <c r="H1367" s="9" t="n">
        <v>16.99</v>
      </c>
      <c r="I1367" s="9" t="n">
        <v>5.5</v>
      </c>
      <c r="J1367" s="10" t="n">
        <v>0</v>
      </c>
      <c r="K1367" s="9" t="n">
        <f aca="false">G1367*H1367*(1-J1367)</f>
        <v>254.85</v>
      </c>
      <c r="L1367" s="9" t="n">
        <f aca="false">G1367*I1367</f>
        <v>82.5</v>
      </c>
      <c r="M1367" s="9" t="n">
        <f aca="false">K1367-L1367</f>
        <v>172.35</v>
      </c>
      <c r="N1367" s="11" t="n">
        <f aca="false">IF(K1367=0,0,M1367/K1367)</f>
        <v>0.676280164802825</v>
      </c>
      <c r="O1367" s="9" t="n">
        <f aca="false">(G1367*H1367)-K1367</f>
        <v>0</v>
      </c>
      <c r="P1367" s="8" t="s">
        <v>21</v>
      </c>
    </row>
    <row r="1368" customFormat="false" ht="15" hidden="false" customHeight="false" outlineLevel="0" collapsed="false">
      <c r="A1368" s="2" t="n">
        <v>46064</v>
      </c>
      <c r="B1368" s="3" t="s">
        <v>58</v>
      </c>
      <c r="C1368" s="3" t="s">
        <v>58</v>
      </c>
      <c r="D1368" s="3" t="s">
        <v>42</v>
      </c>
      <c r="E1368" s="3" t="s">
        <v>43</v>
      </c>
      <c r="F1368" s="3" t="s">
        <v>34</v>
      </c>
      <c r="G1368" s="3" t="n">
        <v>24</v>
      </c>
      <c r="H1368" s="4" t="n">
        <v>11.99</v>
      </c>
      <c r="I1368" s="4" t="n">
        <v>3.5</v>
      </c>
      <c r="J1368" s="5" t="n">
        <v>0.15</v>
      </c>
      <c r="K1368" s="4" t="n">
        <f aca="false">G1368*H1368*(1-J1368)</f>
        <v>244.596</v>
      </c>
      <c r="L1368" s="4" t="n">
        <f aca="false">G1368*I1368</f>
        <v>84</v>
      </c>
      <c r="M1368" s="4" t="n">
        <f aca="false">K1368-L1368</f>
        <v>160.596</v>
      </c>
      <c r="N1368" s="6" t="n">
        <f aca="false">IF(K1368=0,0,M1368/K1368)</f>
        <v>0.65657655889712</v>
      </c>
      <c r="O1368" s="4" t="n">
        <f aca="false">(G1368*H1368)-K1368</f>
        <v>43.164</v>
      </c>
      <c r="P1368" s="3" t="s">
        <v>21</v>
      </c>
    </row>
    <row r="1369" customFormat="false" ht="15" hidden="false" customHeight="false" outlineLevel="0" collapsed="false">
      <c r="A1369" s="7" t="n">
        <v>46109</v>
      </c>
      <c r="B1369" s="8" t="s">
        <v>27</v>
      </c>
      <c r="C1369" s="8" t="s">
        <v>28</v>
      </c>
      <c r="D1369" s="8" t="s">
        <v>82</v>
      </c>
      <c r="E1369" s="8" t="s">
        <v>83</v>
      </c>
      <c r="F1369" s="8" t="s">
        <v>26</v>
      </c>
      <c r="G1369" s="8" t="n">
        <v>26</v>
      </c>
      <c r="H1369" s="9" t="n">
        <v>44.99</v>
      </c>
      <c r="I1369" s="9" t="n">
        <v>18</v>
      </c>
      <c r="J1369" s="10" t="n">
        <v>0</v>
      </c>
      <c r="K1369" s="9" t="n">
        <f aca="false">G1369*H1369*(1-J1369)</f>
        <v>1169.74</v>
      </c>
      <c r="L1369" s="9" t="n">
        <f aca="false">G1369*I1369</f>
        <v>468</v>
      </c>
      <c r="M1369" s="9" t="n">
        <f aca="false">K1369-L1369</f>
        <v>701.74</v>
      </c>
      <c r="N1369" s="11" t="n">
        <f aca="false">IF(K1369=0,0,M1369/K1369)</f>
        <v>0.599911091353634</v>
      </c>
      <c r="O1369" s="9" t="n">
        <f aca="false">(G1369*H1369)-K1369</f>
        <v>0</v>
      </c>
      <c r="P1369" s="8" t="s">
        <v>21</v>
      </c>
    </row>
    <row r="1370" customFormat="false" ht="15" hidden="false" customHeight="false" outlineLevel="0" collapsed="false">
      <c r="A1370" s="2" t="n">
        <v>46039</v>
      </c>
      <c r="B1370" s="3" t="s">
        <v>64</v>
      </c>
      <c r="C1370" s="3" t="s">
        <v>65</v>
      </c>
      <c r="D1370" s="3" t="s">
        <v>72</v>
      </c>
      <c r="E1370" s="3" t="s">
        <v>73</v>
      </c>
      <c r="F1370" s="3" t="s">
        <v>57</v>
      </c>
      <c r="G1370" s="3" t="n">
        <v>23</v>
      </c>
      <c r="H1370" s="4" t="n">
        <v>19.99</v>
      </c>
      <c r="I1370" s="4" t="n">
        <v>7</v>
      </c>
      <c r="J1370" s="5" t="n">
        <v>0</v>
      </c>
      <c r="K1370" s="4" t="n">
        <f aca="false">G1370*H1370*(1-J1370)</f>
        <v>459.77</v>
      </c>
      <c r="L1370" s="4" t="n">
        <f aca="false">G1370*I1370</f>
        <v>161</v>
      </c>
      <c r="M1370" s="4" t="n">
        <f aca="false">K1370-L1370</f>
        <v>298.77</v>
      </c>
      <c r="N1370" s="6" t="n">
        <f aca="false">IF(K1370=0,0,M1370/K1370)</f>
        <v>0.649824912456228</v>
      </c>
      <c r="O1370" s="4" t="n">
        <f aca="false">(G1370*H1370)-K1370</f>
        <v>0</v>
      </c>
      <c r="P1370" s="3" t="s">
        <v>21</v>
      </c>
    </row>
    <row r="1371" customFormat="false" ht="15" hidden="false" customHeight="false" outlineLevel="0" collapsed="false">
      <c r="A1371" s="7" t="n">
        <v>46129</v>
      </c>
      <c r="B1371" s="8" t="s">
        <v>37</v>
      </c>
      <c r="C1371" s="8" t="s">
        <v>17</v>
      </c>
      <c r="D1371" s="8" t="s">
        <v>70</v>
      </c>
      <c r="E1371" s="8" t="s">
        <v>71</v>
      </c>
      <c r="F1371" s="8" t="s">
        <v>20</v>
      </c>
      <c r="G1371" s="8" t="n">
        <v>7</v>
      </c>
      <c r="H1371" s="9" t="n">
        <v>49.99</v>
      </c>
      <c r="I1371" s="9" t="n">
        <v>19</v>
      </c>
      <c r="J1371" s="10" t="n">
        <v>0.1</v>
      </c>
      <c r="K1371" s="9" t="n">
        <f aca="false">G1371*H1371*(1-J1371)</f>
        <v>314.937</v>
      </c>
      <c r="L1371" s="9" t="n">
        <f aca="false">G1371*I1371</f>
        <v>133</v>
      </c>
      <c r="M1371" s="9" t="n">
        <f aca="false">K1371-L1371</f>
        <v>181.937</v>
      </c>
      <c r="N1371" s="11" t="n">
        <f aca="false">IF(K1371=0,0,M1371/K1371)</f>
        <v>0.577693316441066</v>
      </c>
      <c r="O1371" s="9" t="n">
        <f aca="false">(G1371*H1371)-K1371</f>
        <v>34.993</v>
      </c>
      <c r="P1371" s="8" t="s">
        <v>21</v>
      </c>
    </row>
    <row r="1372" customFormat="false" ht="15" hidden="false" customHeight="false" outlineLevel="0" collapsed="false">
      <c r="A1372" s="2" t="n">
        <v>46124</v>
      </c>
      <c r="B1372" s="3" t="s">
        <v>64</v>
      </c>
      <c r="C1372" s="3" t="s">
        <v>65</v>
      </c>
      <c r="D1372" s="3" t="s">
        <v>84</v>
      </c>
      <c r="E1372" s="3" t="s">
        <v>85</v>
      </c>
      <c r="F1372" s="3" t="s">
        <v>20</v>
      </c>
      <c r="G1372" s="3" t="n">
        <v>12</v>
      </c>
      <c r="H1372" s="4" t="n">
        <v>34.99</v>
      </c>
      <c r="I1372" s="4" t="n">
        <v>13</v>
      </c>
      <c r="J1372" s="5" t="n">
        <v>0.1</v>
      </c>
      <c r="K1372" s="4" t="n">
        <f aca="false">G1372*H1372*(1-J1372)</f>
        <v>377.892</v>
      </c>
      <c r="L1372" s="4" t="n">
        <f aca="false">G1372*I1372</f>
        <v>156</v>
      </c>
      <c r="M1372" s="4" t="n">
        <f aca="false">K1372-L1372</f>
        <v>221.892</v>
      </c>
      <c r="N1372" s="6" t="n">
        <f aca="false">IF(K1372=0,0,M1372/K1372)</f>
        <v>0.587183639770093</v>
      </c>
      <c r="O1372" s="4" t="n">
        <f aca="false">(G1372*H1372)-K1372</f>
        <v>41.988</v>
      </c>
      <c r="P1372" s="3" t="s">
        <v>21</v>
      </c>
    </row>
    <row r="1373" customFormat="false" ht="15" hidden="false" customHeight="false" outlineLevel="0" collapsed="false">
      <c r="A1373" s="7" t="n">
        <v>46109</v>
      </c>
      <c r="B1373" s="8" t="s">
        <v>22</v>
      </c>
      <c r="C1373" s="8" t="s">
        <v>23</v>
      </c>
      <c r="D1373" s="8" t="s">
        <v>55</v>
      </c>
      <c r="E1373" s="8" t="s">
        <v>56</v>
      </c>
      <c r="F1373" s="8" t="s">
        <v>57</v>
      </c>
      <c r="G1373" s="8" t="n">
        <v>13</v>
      </c>
      <c r="H1373" s="9" t="n">
        <v>29.99</v>
      </c>
      <c r="I1373" s="9" t="n">
        <v>11</v>
      </c>
      <c r="J1373" s="10" t="n">
        <v>0</v>
      </c>
      <c r="K1373" s="9" t="n">
        <f aca="false">G1373*H1373*(1-J1373)</f>
        <v>389.87</v>
      </c>
      <c r="L1373" s="9" t="n">
        <f aca="false">G1373*I1373</f>
        <v>143</v>
      </c>
      <c r="M1373" s="9" t="n">
        <f aca="false">K1373-L1373</f>
        <v>246.87</v>
      </c>
      <c r="N1373" s="11" t="n">
        <f aca="false">IF(K1373=0,0,M1373/K1373)</f>
        <v>0.633211070356786</v>
      </c>
      <c r="O1373" s="9" t="n">
        <f aca="false">(G1373*H1373)-K1373</f>
        <v>0</v>
      </c>
      <c r="P1373" s="8" t="s">
        <v>21</v>
      </c>
    </row>
    <row r="1374" customFormat="false" ht="15" hidden="false" customHeight="false" outlineLevel="0" collapsed="false">
      <c r="A1374" s="2" t="n">
        <v>46058</v>
      </c>
      <c r="B1374" s="3" t="s">
        <v>27</v>
      </c>
      <c r="C1374" s="3" t="s">
        <v>28</v>
      </c>
      <c r="D1374" s="3" t="s">
        <v>46</v>
      </c>
      <c r="E1374" s="3" t="s">
        <v>47</v>
      </c>
      <c r="F1374" s="3" t="s">
        <v>20</v>
      </c>
      <c r="G1374" s="3" t="n">
        <v>27</v>
      </c>
      <c r="H1374" s="4" t="n">
        <v>44.99</v>
      </c>
      <c r="I1374" s="4" t="n">
        <v>18</v>
      </c>
      <c r="J1374" s="5" t="n">
        <v>0</v>
      </c>
      <c r="K1374" s="4" t="n">
        <f aca="false">G1374*H1374*(1-J1374)</f>
        <v>1214.73</v>
      </c>
      <c r="L1374" s="4" t="n">
        <f aca="false">G1374*I1374</f>
        <v>486</v>
      </c>
      <c r="M1374" s="4" t="n">
        <f aca="false">K1374-L1374</f>
        <v>728.73</v>
      </c>
      <c r="N1374" s="6" t="n">
        <f aca="false">IF(K1374=0,0,M1374/K1374)</f>
        <v>0.599911091353634</v>
      </c>
      <c r="O1374" s="4" t="n">
        <f aca="false">(G1374*H1374)-K1374</f>
        <v>0</v>
      </c>
      <c r="P1374" s="3" t="s">
        <v>21</v>
      </c>
    </row>
    <row r="1375" customFormat="false" ht="15" hidden="false" customHeight="false" outlineLevel="0" collapsed="false">
      <c r="A1375" s="7" t="n">
        <v>46063</v>
      </c>
      <c r="B1375" s="8" t="s">
        <v>58</v>
      </c>
      <c r="C1375" s="8" t="s">
        <v>58</v>
      </c>
      <c r="D1375" s="8" t="s">
        <v>51</v>
      </c>
      <c r="E1375" s="8" t="s">
        <v>52</v>
      </c>
      <c r="F1375" s="8" t="s">
        <v>50</v>
      </c>
      <c r="G1375" s="8" t="n">
        <v>18</v>
      </c>
      <c r="H1375" s="9" t="n">
        <v>19.99</v>
      </c>
      <c r="I1375" s="9" t="n">
        <v>7</v>
      </c>
      <c r="J1375" s="10" t="n">
        <v>0.05</v>
      </c>
      <c r="K1375" s="9" t="n">
        <f aca="false">G1375*H1375*(1-J1375)</f>
        <v>341.829</v>
      </c>
      <c r="L1375" s="9" t="n">
        <f aca="false">G1375*I1375</f>
        <v>126</v>
      </c>
      <c r="M1375" s="9" t="n">
        <f aca="false">K1375-L1375</f>
        <v>215.829</v>
      </c>
      <c r="N1375" s="11" t="n">
        <f aca="false">IF(K1375=0,0,M1375/K1375)</f>
        <v>0.631394644690766</v>
      </c>
      <c r="O1375" s="9" t="n">
        <f aca="false">(G1375*H1375)-K1375</f>
        <v>17.991</v>
      </c>
      <c r="P1375" s="8" t="s">
        <v>21</v>
      </c>
    </row>
    <row r="1376" customFormat="false" ht="15" hidden="false" customHeight="false" outlineLevel="0" collapsed="false">
      <c r="A1376" s="2" t="n">
        <v>46090</v>
      </c>
      <c r="B1376" s="3" t="s">
        <v>22</v>
      </c>
      <c r="C1376" s="3" t="s">
        <v>23</v>
      </c>
      <c r="D1376" s="3" t="s">
        <v>66</v>
      </c>
      <c r="E1376" s="3" t="s">
        <v>67</v>
      </c>
      <c r="F1376" s="3" t="s">
        <v>57</v>
      </c>
      <c r="G1376" s="3" t="n">
        <v>24</v>
      </c>
      <c r="H1376" s="4" t="n">
        <v>14.99</v>
      </c>
      <c r="I1376" s="4" t="n">
        <v>5.5</v>
      </c>
      <c r="J1376" s="5" t="n">
        <v>0.25</v>
      </c>
      <c r="K1376" s="4" t="n">
        <f aca="false">G1376*H1376*(1-J1376)</f>
        <v>269.82</v>
      </c>
      <c r="L1376" s="4" t="n">
        <f aca="false">G1376*I1376</f>
        <v>132</v>
      </c>
      <c r="M1376" s="4" t="n">
        <f aca="false">K1376-L1376</f>
        <v>137.82</v>
      </c>
      <c r="N1376" s="6" t="n">
        <f aca="false">IF(K1376=0,0,M1376/K1376)</f>
        <v>0.510784967756282</v>
      </c>
      <c r="O1376" s="4" t="n">
        <f aca="false">(G1376*H1376)-K1376</f>
        <v>89.94</v>
      </c>
      <c r="P1376" s="3" t="s">
        <v>21</v>
      </c>
    </row>
    <row r="1377" customFormat="false" ht="15" hidden="false" customHeight="false" outlineLevel="0" collapsed="false">
      <c r="A1377" s="7" t="n">
        <v>46105</v>
      </c>
      <c r="B1377" s="8" t="s">
        <v>31</v>
      </c>
      <c r="C1377" s="8" t="s">
        <v>23</v>
      </c>
      <c r="D1377" s="8" t="s">
        <v>78</v>
      </c>
      <c r="E1377" s="8" t="s">
        <v>79</v>
      </c>
      <c r="F1377" s="8" t="s">
        <v>20</v>
      </c>
      <c r="G1377" s="8" t="n">
        <v>26</v>
      </c>
      <c r="H1377" s="9" t="n">
        <v>39.99</v>
      </c>
      <c r="I1377" s="9" t="n">
        <v>16</v>
      </c>
      <c r="J1377" s="10" t="n">
        <v>0.1</v>
      </c>
      <c r="K1377" s="9" t="n">
        <f aca="false">G1377*H1377*(1-J1377)</f>
        <v>935.766</v>
      </c>
      <c r="L1377" s="9" t="n">
        <f aca="false">G1377*I1377</f>
        <v>416</v>
      </c>
      <c r="M1377" s="9" t="n">
        <f aca="false">K1377-L1377</f>
        <v>519.766</v>
      </c>
      <c r="N1377" s="11" t="n">
        <f aca="false">IF(K1377=0,0,M1377/K1377)</f>
        <v>0.555444416659721</v>
      </c>
      <c r="O1377" s="9" t="n">
        <f aca="false">(G1377*H1377)-K1377</f>
        <v>103.974</v>
      </c>
      <c r="P1377" s="8" t="s">
        <v>21</v>
      </c>
    </row>
    <row r="1378" customFormat="false" ht="15" hidden="false" customHeight="false" outlineLevel="0" collapsed="false">
      <c r="A1378" s="2" t="n">
        <v>46035</v>
      </c>
      <c r="B1378" s="3" t="s">
        <v>31</v>
      </c>
      <c r="C1378" s="3" t="s">
        <v>23</v>
      </c>
      <c r="D1378" s="3" t="s">
        <v>53</v>
      </c>
      <c r="E1378" s="3" t="s">
        <v>54</v>
      </c>
      <c r="F1378" s="3" t="s">
        <v>50</v>
      </c>
      <c r="G1378" s="3" t="n">
        <v>20</v>
      </c>
      <c r="H1378" s="4" t="n">
        <v>22.99</v>
      </c>
      <c r="I1378" s="4" t="n">
        <v>8</v>
      </c>
      <c r="J1378" s="5" t="n">
        <v>0.3</v>
      </c>
      <c r="K1378" s="4" t="n">
        <f aca="false">G1378*H1378*(1-J1378)</f>
        <v>321.86</v>
      </c>
      <c r="L1378" s="4" t="n">
        <f aca="false">G1378*I1378</f>
        <v>160</v>
      </c>
      <c r="M1378" s="4" t="n">
        <f aca="false">K1378-L1378</f>
        <v>161.86</v>
      </c>
      <c r="N1378" s="6" t="n">
        <f aca="false">IF(K1378=0,0,M1378/K1378)</f>
        <v>0.502889455042565</v>
      </c>
      <c r="O1378" s="4" t="n">
        <f aca="false">(G1378*H1378)-K1378</f>
        <v>137.94</v>
      </c>
      <c r="P1378" s="3" t="s">
        <v>21</v>
      </c>
    </row>
    <row r="1379" customFormat="false" ht="15" hidden="false" customHeight="false" outlineLevel="0" collapsed="false">
      <c r="A1379" s="7" t="n">
        <v>46120</v>
      </c>
      <c r="B1379" s="8" t="s">
        <v>27</v>
      </c>
      <c r="C1379" s="8" t="s">
        <v>28</v>
      </c>
      <c r="D1379" s="8" t="s">
        <v>90</v>
      </c>
      <c r="E1379" s="8" t="s">
        <v>91</v>
      </c>
      <c r="F1379" s="8" t="s">
        <v>26</v>
      </c>
      <c r="G1379" s="8" t="n">
        <v>11</v>
      </c>
      <c r="H1379" s="9" t="n">
        <v>24.99</v>
      </c>
      <c r="I1379" s="9" t="n">
        <v>11</v>
      </c>
      <c r="J1379" s="10" t="n">
        <v>0</v>
      </c>
      <c r="K1379" s="9" t="n">
        <f aca="false">G1379*H1379*(1-J1379)</f>
        <v>274.89</v>
      </c>
      <c r="L1379" s="9" t="n">
        <f aca="false">G1379*I1379</f>
        <v>121</v>
      </c>
      <c r="M1379" s="9" t="n">
        <f aca="false">K1379-L1379</f>
        <v>153.89</v>
      </c>
      <c r="N1379" s="11" t="n">
        <f aca="false">IF(K1379=0,0,M1379/K1379)</f>
        <v>0.559823929571829</v>
      </c>
      <c r="O1379" s="9" t="n">
        <f aca="false">(G1379*H1379)-K1379</f>
        <v>0</v>
      </c>
      <c r="P1379" s="8" t="s">
        <v>21</v>
      </c>
    </row>
    <row r="1380" customFormat="false" ht="15" hidden="false" customHeight="false" outlineLevel="0" collapsed="false">
      <c r="A1380" s="2" t="n">
        <v>46125</v>
      </c>
      <c r="B1380" s="3" t="s">
        <v>37</v>
      </c>
      <c r="C1380" s="3" t="s">
        <v>17</v>
      </c>
      <c r="D1380" s="3" t="s">
        <v>68</v>
      </c>
      <c r="E1380" s="3" t="s">
        <v>69</v>
      </c>
      <c r="F1380" s="3" t="s">
        <v>40</v>
      </c>
      <c r="G1380" s="3" t="n">
        <v>5</v>
      </c>
      <c r="H1380" s="4" t="n">
        <v>24.99</v>
      </c>
      <c r="I1380" s="4" t="n">
        <v>9</v>
      </c>
      <c r="J1380" s="5" t="n">
        <v>0.05</v>
      </c>
      <c r="K1380" s="4" t="n">
        <f aca="false">G1380*H1380*(1-J1380)</f>
        <v>118.7025</v>
      </c>
      <c r="L1380" s="4" t="n">
        <f aca="false">G1380*I1380</f>
        <v>45</v>
      </c>
      <c r="M1380" s="4" t="n">
        <f aca="false">K1380-L1380</f>
        <v>73.7025</v>
      </c>
      <c r="N1380" s="6" t="n">
        <f aca="false">IF(K1380=0,0,M1380/K1380)</f>
        <v>0.620900991975738</v>
      </c>
      <c r="O1380" s="4" t="n">
        <f aca="false">(G1380*H1380)-K1380</f>
        <v>6.2475</v>
      </c>
      <c r="P1380" s="3" t="s">
        <v>21</v>
      </c>
    </row>
    <row r="1381" customFormat="false" ht="15" hidden="false" customHeight="false" outlineLevel="0" collapsed="false">
      <c r="A1381" s="7" t="n">
        <v>46085</v>
      </c>
      <c r="B1381" s="8" t="s">
        <v>41</v>
      </c>
      <c r="C1381" s="8" t="s">
        <v>28</v>
      </c>
      <c r="D1381" s="8" t="s">
        <v>80</v>
      </c>
      <c r="E1381" s="8" t="s">
        <v>81</v>
      </c>
      <c r="F1381" s="8" t="s">
        <v>57</v>
      </c>
      <c r="G1381" s="8" t="n">
        <v>20</v>
      </c>
      <c r="H1381" s="9" t="n">
        <v>17.99</v>
      </c>
      <c r="I1381" s="9" t="n">
        <v>6.5</v>
      </c>
      <c r="J1381" s="10" t="n">
        <v>0.2</v>
      </c>
      <c r="K1381" s="9" t="n">
        <f aca="false">G1381*H1381*(1-J1381)</f>
        <v>287.84</v>
      </c>
      <c r="L1381" s="9" t="n">
        <f aca="false">G1381*I1381</f>
        <v>130</v>
      </c>
      <c r="M1381" s="9" t="n">
        <f aca="false">K1381-L1381</f>
        <v>157.84</v>
      </c>
      <c r="N1381" s="11" t="n">
        <f aca="false">IF(K1381=0,0,M1381/K1381)</f>
        <v>0.548360200111173</v>
      </c>
      <c r="O1381" s="9" t="n">
        <f aca="false">(G1381*H1381)-K1381</f>
        <v>71.96</v>
      </c>
      <c r="P1381" s="8" t="s">
        <v>21</v>
      </c>
    </row>
    <row r="1382" customFormat="false" ht="15" hidden="false" customHeight="false" outlineLevel="0" collapsed="false">
      <c r="A1382" s="2" t="n">
        <v>46057</v>
      </c>
      <c r="B1382" s="3" t="s">
        <v>31</v>
      </c>
      <c r="C1382" s="3" t="s">
        <v>23</v>
      </c>
      <c r="D1382" s="3" t="s">
        <v>90</v>
      </c>
      <c r="E1382" s="3" t="s">
        <v>91</v>
      </c>
      <c r="F1382" s="3" t="s">
        <v>26</v>
      </c>
      <c r="G1382" s="3" t="n">
        <v>24</v>
      </c>
      <c r="H1382" s="4" t="n">
        <v>29.99</v>
      </c>
      <c r="I1382" s="4" t="n">
        <v>11</v>
      </c>
      <c r="J1382" s="5" t="n">
        <v>0.05</v>
      </c>
      <c r="K1382" s="4" t="n">
        <f aca="false">G1382*H1382*(1-J1382)</f>
        <v>683.772</v>
      </c>
      <c r="L1382" s="4" t="n">
        <f aca="false">G1382*I1382</f>
        <v>264</v>
      </c>
      <c r="M1382" s="4" t="n">
        <f aca="false">K1382-L1382</f>
        <v>419.772</v>
      </c>
      <c r="N1382" s="6" t="n">
        <f aca="false">IF(K1382=0,0,M1382/K1382)</f>
        <v>0.613906389849248</v>
      </c>
      <c r="O1382" s="4" t="n">
        <f aca="false">(G1382*H1382)-K1382</f>
        <v>35.9880000000001</v>
      </c>
      <c r="P1382" s="3" t="s">
        <v>21</v>
      </c>
    </row>
    <row r="1383" customFormat="false" ht="15" hidden="false" customHeight="false" outlineLevel="0" collapsed="false">
      <c r="A1383" s="7" t="n">
        <v>46093</v>
      </c>
      <c r="B1383" s="8" t="s">
        <v>27</v>
      </c>
      <c r="C1383" s="8" t="s">
        <v>28</v>
      </c>
      <c r="D1383" s="8" t="s">
        <v>61</v>
      </c>
      <c r="E1383" s="8" t="s">
        <v>62</v>
      </c>
      <c r="F1383" s="8" t="s">
        <v>34</v>
      </c>
      <c r="G1383" s="8" t="n">
        <v>5</v>
      </c>
      <c r="H1383" s="9" t="n">
        <v>12.99</v>
      </c>
      <c r="I1383" s="9" t="n">
        <v>4.5</v>
      </c>
      <c r="J1383" s="10" t="n">
        <v>0.3</v>
      </c>
      <c r="K1383" s="9" t="n">
        <f aca="false">G1383*H1383*(1-J1383)</f>
        <v>45.465</v>
      </c>
      <c r="L1383" s="9" t="n">
        <f aca="false">G1383*I1383</f>
        <v>22.5</v>
      </c>
      <c r="M1383" s="9" t="n">
        <f aca="false">K1383-L1383</f>
        <v>22.965</v>
      </c>
      <c r="N1383" s="11" t="n">
        <f aca="false">IF(K1383=0,0,M1383/K1383)</f>
        <v>0.505113823820521</v>
      </c>
      <c r="O1383" s="9" t="n">
        <f aca="false">(G1383*H1383)-K1383</f>
        <v>19.485</v>
      </c>
      <c r="P1383" s="8" t="s">
        <v>21</v>
      </c>
    </row>
    <row r="1384" customFormat="false" ht="15" hidden="false" customHeight="false" outlineLevel="0" collapsed="false">
      <c r="A1384" s="2" t="n">
        <v>46060</v>
      </c>
      <c r="B1384" s="3" t="s">
        <v>31</v>
      </c>
      <c r="C1384" s="3" t="s">
        <v>23</v>
      </c>
      <c r="D1384" s="3" t="s">
        <v>90</v>
      </c>
      <c r="E1384" s="3" t="s">
        <v>91</v>
      </c>
      <c r="F1384" s="3" t="s">
        <v>26</v>
      </c>
      <c r="G1384" s="3" t="n">
        <v>23</v>
      </c>
      <c r="H1384" s="4" t="n">
        <v>29.99</v>
      </c>
      <c r="I1384" s="4" t="n">
        <v>11</v>
      </c>
      <c r="J1384" s="5" t="n">
        <v>0</v>
      </c>
      <c r="K1384" s="4" t="n">
        <f aca="false">G1384*H1384*(1-J1384)</f>
        <v>689.77</v>
      </c>
      <c r="L1384" s="4" t="n">
        <f aca="false">G1384*I1384</f>
        <v>253</v>
      </c>
      <c r="M1384" s="4" t="n">
        <f aca="false">K1384-L1384</f>
        <v>436.77</v>
      </c>
      <c r="N1384" s="6" t="n">
        <f aca="false">IF(K1384=0,0,M1384/K1384)</f>
        <v>0.633211070356786</v>
      </c>
      <c r="O1384" s="4" t="n">
        <f aca="false">(G1384*H1384)-K1384</f>
        <v>0</v>
      </c>
      <c r="P1384" s="3" t="s">
        <v>21</v>
      </c>
    </row>
    <row r="1385" customFormat="false" ht="15" hidden="false" customHeight="false" outlineLevel="0" collapsed="false">
      <c r="A1385" s="7" t="n">
        <v>46033</v>
      </c>
      <c r="B1385" s="8" t="s">
        <v>16</v>
      </c>
      <c r="C1385" s="8" t="s">
        <v>17</v>
      </c>
      <c r="D1385" s="8" t="s">
        <v>35</v>
      </c>
      <c r="E1385" s="8" t="s">
        <v>36</v>
      </c>
      <c r="F1385" s="8" t="s">
        <v>26</v>
      </c>
      <c r="G1385" s="8" t="n">
        <v>3</v>
      </c>
      <c r="H1385" s="9" t="n">
        <v>69.99</v>
      </c>
      <c r="I1385" s="9" t="n">
        <v>30</v>
      </c>
      <c r="J1385" s="10" t="n">
        <v>0.05</v>
      </c>
      <c r="K1385" s="9" t="n">
        <f aca="false">G1385*H1385*(1-J1385)</f>
        <v>199.4715</v>
      </c>
      <c r="L1385" s="9" t="n">
        <f aca="false">G1385*I1385</f>
        <v>90</v>
      </c>
      <c r="M1385" s="9" t="n">
        <f aca="false">K1385-L1385</f>
        <v>109.4715</v>
      </c>
      <c r="N1385" s="11" t="n">
        <f aca="false">IF(K1385=0,0,M1385/K1385)</f>
        <v>0.548807724411758</v>
      </c>
      <c r="O1385" s="9" t="n">
        <f aca="false">(G1385*H1385)-K1385</f>
        <v>10.4985</v>
      </c>
      <c r="P1385" s="8" t="s">
        <v>21</v>
      </c>
    </row>
    <row r="1386" customFormat="false" ht="15" hidden="false" customHeight="false" outlineLevel="0" collapsed="false">
      <c r="A1386" s="2" t="n">
        <v>46060</v>
      </c>
      <c r="B1386" s="3" t="s">
        <v>37</v>
      </c>
      <c r="C1386" s="3" t="s">
        <v>17</v>
      </c>
      <c r="D1386" s="3" t="s">
        <v>61</v>
      </c>
      <c r="E1386" s="3" t="s">
        <v>62</v>
      </c>
      <c r="F1386" s="3" t="s">
        <v>34</v>
      </c>
      <c r="G1386" s="3" t="n">
        <v>3</v>
      </c>
      <c r="H1386" s="4" t="n">
        <v>14.99</v>
      </c>
      <c r="I1386" s="4" t="n">
        <v>4.5</v>
      </c>
      <c r="J1386" s="5" t="n">
        <v>0</v>
      </c>
      <c r="K1386" s="4" t="n">
        <f aca="false">G1386*H1386*(1-J1386)</f>
        <v>44.97</v>
      </c>
      <c r="L1386" s="4" t="n">
        <f aca="false">G1386*I1386</f>
        <v>13.5</v>
      </c>
      <c r="M1386" s="4" t="n">
        <f aca="false">K1386-L1386</f>
        <v>31.47</v>
      </c>
      <c r="N1386" s="6" t="n">
        <f aca="false">IF(K1386=0,0,M1386/K1386)</f>
        <v>0.699799866577718</v>
      </c>
      <c r="O1386" s="4" t="n">
        <f aca="false">(G1386*H1386)-K1386</f>
        <v>0</v>
      </c>
      <c r="P1386" s="3" t="s">
        <v>21</v>
      </c>
    </row>
    <row r="1387" customFormat="false" ht="15" hidden="false" customHeight="false" outlineLevel="0" collapsed="false">
      <c r="A1387" s="7" t="n">
        <v>46127</v>
      </c>
      <c r="B1387" s="8" t="s">
        <v>22</v>
      </c>
      <c r="C1387" s="8" t="s">
        <v>23</v>
      </c>
      <c r="D1387" s="8" t="s">
        <v>44</v>
      </c>
      <c r="E1387" s="8" t="s">
        <v>45</v>
      </c>
      <c r="F1387" s="8" t="s">
        <v>40</v>
      </c>
      <c r="G1387" s="8" t="n">
        <v>5</v>
      </c>
      <c r="H1387" s="9" t="n">
        <v>7.22</v>
      </c>
      <c r="I1387" s="9" t="n">
        <v>11</v>
      </c>
      <c r="J1387" s="10" t="n">
        <v>0</v>
      </c>
      <c r="K1387" s="9" t="n">
        <f aca="false">G1387*H1387*(1-J1387)</f>
        <v>36.1</v>
      </c>
      <c r="L1387" s="9" t="n">
        <f aca="false">G1387*I1387</f>
        <v>55</v>
      </c>
      <c r="M1387" s="9" t="n">
        <f aca="false">K1387-L1387</f>
        <v>-18.9</v>
      </c>
      <c r="N1387" s="11" t="n">
        <f aca="false">IF(K1387=0,0,M1387/K1387)</f>
        <v>-0.523545706371191</v>
      </c>
      <c r="O1387" s="9" t="n">
        <f aca="false">(G1387*H1387)-K1387</f>
        <v>0</v>
      </c>
      <c r="P1387" s="15" t="s">
        <v>98</v>
      </c>
    </row>
    <row r="1388" customFormat="false" ht="15" hidden="false" customHeight="false" outlineLevel="0" collapsed="false">
      <c r="A1388" s="2" t="n">
        <v>46108</v>
      </c>
      <c r="B1388" s="3" t="s">
        <v>58</v>
      </c>
      <c r="C1388" s="3" t="s">
        <v>58</v>
      </c>
      <c r="D1388" s="3" t="s">
        <v>24</v>
      </c>
      <c r="E1388" s="3" t="s">
        <v>25</v>
      </c>
      <c r="F1388" s="3" t="s">
        <v>26</v>
      </c>
      <c r="G1388" s="3" t="n">
        <v>18</v>
      </c>
      <c r="H1388" s="4" t="n">
        <v>54.99</v>
      </c>
      <c r="I1388" s="4" t="n">
        <v>24</v>
      </c>
      <c r="J1388" s="5" t="n">
        <v>0</v>
      </c>
      <c r="K1388" s="4" t="n">
        <f aca="false">G1388*H1388*(1-J1388)</f>
        <v>989.82</v>
      </c>
      <c r="L1388" s="4" t="n">
        <f aca="false">G1388*I1388</f>
        <v>432</v>
      </c>
      <c r="M1388" s="4" t="n">
        <f aca="false">K1388-L1388</f>
        <v>557.82</v>
      </c>
      <c r="N1388" s="6" t="n">
        <f aca="false">IF(K1388=0,0,M1388/K1388)</f>
        <v>0.563557010365521</v>
      </c>
      <c r="O1388" s="4" t="n">
        <f aca="false">(G1388*H1388)-K1388</f>
        <v>0</v>
      </c>
      <c r="P1388" s="3" t="s">
        <v>21</v>
      </c>
    </row>
    <row r="1389" customFormat="false" ht="15" hidden="false" customHeight="false" outlineLevel="0" collapsed="false">
      <c r="A1389" s="7" t="n">
        <v>46086</v>
      </c>
      <c r="B1389" s="8" t="s">
        <v>22</v>
      </c>
      <c r="C1389" s="8" t="s">
        <v>23</v>
      </c>
      <c r="D1389" s="8" t="s">
        <v>90</v>
      </c>
      <c r="E1389" s="8" t="s">
        <v>91</v>
      </c>
      <c r="F1389" s="8" t="s">
        <v>26</v>
      </c>
      <c r="G1389" s="8" t="n">
        <v>2</v>
      </c>
      <c r="H1389" s="9" t="n">
        <v>36.12</v>
      </c>
      <c r="I1389" s="9" t="n">
        <v>11</v>
      </c>
      <c r="J1389" s="10" t="n">
        <v>0</v>
      </c>
      <c r="K1389" s="9" t="n">
        <f aca="false">G1389*H1389*(1-J1389)</f>
        <v>72.24</v>
      </c>
      <c r="L1389" s="9" t="n">
        <f aca="false">G1389*I1389</f>
        <v>22</v>
      </c>
      <c r="M1389" s="9" t="n">
        <f aca="false">K1389-L1389</f>
        <v>50.24</v>
      </c>
      <c r="N1389" s="11" t="n">
        <f aca="false">IF(K1389=0,0,M1389/K1389)</f>
        <v>0.695459579180509</v>
      </c>
      <c r="O1389" s="9" t="n">
        <f aca="false">(G1389*H1389)-K1389</f>
        <v>0</v>
      </c>
      <c r="P1389" s="12" t="s">
        <v>63</v>
      </c>
    </row>
    <row r="1390" customFormat="false" ht="15" hidden="false" customHeight="false" outlineLevel="0" collapsed="false">
      <c r="A1390" s="2" t="n">
        <v>46124</v>
      </c>
      <c r="B1390" s="3" t="s">
        <v>31</v>
      </c>
      <c r="C1390" s="3" t="s">
        <v>23</v>
      </c>
      <c r="D1390" s="3" t="s">
        <v>53</v>
      </c>
      <c r="E1390" s="3" t="s">
        <v>54</v>
      </c>
      <c r="F1390" s="3" t="s">
        <v>50</v>
      </c>
      <c r="G1390" s="3" t="n">
        <v>30</v>
      </c>
      <c r="H1390" s="4" t="n">
        <v>22.99</v>
      </c>
      <c r="I1390" s="4" t="n">
        <v>8</v>
      </c>
      <c r="J1390" s="5" t="n">
        <v>0.25</v>
      </c>
      <c r="K1390" s="4" t="n">
        <f aca="false">G1390*H1390*(1-J1390)</f>
        <v>517.275</v>
      </c>
      <c r="L1390" s="4" t="n">
        <f aca="false">G1390*I1390</f>
        <v>240</v>
      </c>
      <c r="M1390" s="4" t="n">
        <f aca="false">K1390-L1390</f>
        <v>277.275</v>
      </c>
      <c r="N1390" s="6" t="n">
        <f aca="false">IF(K1390=0,0,M1390/K1390)</f>
        <v>0.536030158039727</v>
      </c>
      <c r="O1390" s="4" t="n">
        <f aca="false">(G1390*H1390)-K1390</f>
        <v>172.425</v>
      </c>
      <c r="P1390" s="3" t="s">
        <v>21</v>
      </c>
    </row>
    <row r="1391" customFormat="false" ht="15" hidden="false" customHeight="false" outlineLevel="0" collapsed="false">
      <c r="A1391" s="7" t="n">
        <v>46049</v>
      </c>
      <c r="B1391" s="8" t="s">
        <v>16</v>
      </c>
      <c r="C1391" s="8" t="s">
        <v>17</v>
      </c>
      <c r="D1391" s="8" t="s">
        <v>32</v>
      </c>
      <c r="E1391" s="8" t="s">
        <v>33</v>
      </c>
      <c r="F1391" s="8" t="s">
        <v>34</v>
      </c>
      <c r="G1391" s="8" t="n">
        <v>10</v>
      </c>
      <c r="H1391" s="9" t="n">
        <v>18.99</v>
      </c>
      <c r="I1391" s="9" t="n">
        <v>6</v>
      </c>
      <c r="J1391" s="10" t="n">
        <v>0</v>
      </c>
      <c r="K1391" s="9" t="n">
        <f aca="false">G1391*H1391*(1-J1391)</f>
        <v>189.9</v>
      </c>
      <c r="L1391" s="9" t="n">
        <f aca="false">G1391*I1391</f>
        <v>60</v>
      </c>
      <c r="M1391" s="9" t="n">
        <f aca="false">K1391-L1391</f>
        <v>129.9</v>
      </c>
      <c r="N1391" s="11" t="n">
        <f aca="false">IF(K1391=0,0,M1391/K1391)</f>
        <v>0.684044233807267</v>
      </c>
      <c r="O1391" s="9" t="n">
        <f aca="false">(G1391*H1391)-K1391</f>
        <v>0</v>
      </c>
      <c r="P1391" s="8" t="s">
        <v>21</v>
      </c>
    </row>
    <row r="1392" customFormat="false" ht="15" hidden="false" customHeight="false" outlineLevel="0" collapsed="false">
      <c r="A1392" s="2" t="n">
        <v>46097</v>
      </c>
      <c r="B1392" s="3" t="s">
        <v>41</v>
      </c>
      <c r="C1392" s="3" t="s">
        <v>28</v>
      </c>
      <c r="D1392" s="3" t="s">
        <v>51</v>
      </c>
      <c r="E1392" s="3" t="s">
        <v>52</v>
      </c>
      <c r="F1392" s="3" t="s">
        <v>50</v>
      </c>
      <c r="G1392" s="3" t="n">
        <v>6</v>
      </c>
      <c r="H1392" s="4" t="n">
        <v>19.99</v>
      </c>
      <c r="I1392" s="4" t="n">
        <v>7</v>
      </c>
      <c r="J1392" s="5" t="n">
        <v>0.2</v>
      </c>
      <c r="K1392" s="4" t="n">
        <f aca="false">G1392*H1392*(1-J1392)</f>
        <v>95.952</v>
      </c>
      <c r="L1392" s="4" t="n">
        <f aca="false">G1392*I1392</f>
        <v>42</v>
      </c>
      <c r="M1392" s="4" t="n">
        <f aca="false">K1392-L1392</f>
        <v>53.952</v>
      </c>
      <c r="N1392" s="6" t="n">
        <f aca="false">IF(K1392=0,0,M1392/K1392)</f>
        <v>0.562281140570285</v>
      </c>
      <c r="O1392" s="4" t="n">
        <f aca="false">(G1392*H1392)-K1392</f>
        <v>23.988</v>
      </c>
      <c r="P1392" s="3" t="s">
        <v>21</v>
      </c>
    </row>
    <row r="1393" customFormat="false" ht="15" hidden="false" customHeight="false" outlineLevel="0" collapsed="false">
      <c r="A1393" s="7" t="n">
        <v>46111</v>
      </c>
      <c r="B1393" s="8" t="s">
        <v>41</v>
      </c>
      <c r="C1393" s="8" t="s">
        <v>28</v>
      </c>
      <c r="D1393" s="8" t="s">
        <v>35</v>
      </c>
      <c r="E1393" s="8" t="s">
        <v>36</v>
      </c>
      <c r="F1393" s="8" t="s">
        <v>26</v>
      </c>
      <c r="G1393" s="8" t="n">
        <v>6</v>
      </c>
      <c r="H1393" s="9" t="n">
        <v>69.99</v>
      </c>
      <c r="I1393" s="9" t="n">
        <v>30</v>
      </c>
      <c r="J1393" s="10" t="n">
        <v>0</v>
      </c>
      <c r="K1393" s="9" t="n">
        <f aca="false">G1393*H1393*(1-J1393)</f>
        <v>419.94</v>
      </c>
      <c r="L1393" s="9" t="n">
        <f aca="false">G1393*I1393</f>
        <v>180</v>
      </c>
      <c r="M1393" s="9" t="n">
        <f aca="false">K1393-L1393</f>
        <v>239.94</v>
      </c>
      <c r="N1393" s="11" t="n">
        <f aca="false">IF(K1393=0,0,M1393/K1393)</f>
        <v>0.57136733819117</v>
      </c>
      <c r="O1393" s="9" t="n">
        <f aca="false">(G1393*H1393)-K1393</f>
        <v>0</v>
      </c>
      <c r="P1393" s="8" t="s">
        <v>21</v>
      </c>
    </row>
    <row r="1394" customFormat="false" ht="15" hidden="false" customHeight="false" outlineLevel="0" collapsed="false">
      <c r="A1394" s="2" t="n">
        <v>46029</v>
      </c>
      <c r="B1394" s="3" t="s">
        <v>22</v>
      </c>
      <c r="C1394" s="3" t="s">
        <v>23</v>
      </c>
      <c r="D1394" s="3" t="s">
        <v>44</v>
      </c>
      <c r="E1394" s="3" t="s">
        <v>45</v>
      </c>
      <c r="F1394" s="3" t="s">
        <v>40</v>
      </c>
      <c r="G1394" s="3" t="n">
        <v>6</v>
      </c>
      <c r="H1394" s="4" t="n">
        <v>29.99</v>
      </c>
      <c r="I1394" s="4" t="n">
        <v>11</v>
      </c>
      <c r="J1394" s="5" t="n">
        <v>0</v>
      </c>
      <c r="K1394" s="4" t="n">
        <f aca="false">G1394*H1394*(1-J1394)</f>
        <v>179.94</v>
      </c>
      <c r="L1394" s="4" t="n">
        <f aca="false">G1394*I1394</f>
        <v>66</v>
      </c>
      <c r="M1394" s="4" t="n">
        <f aca="false">K1394-L1394</f>
        <v>113.94</v>
      </c>
      <c r="N1394" s="6" t="n">
        <f aca="false">IF(K1394=0,0,M1394/K1394)</f>
        <v>0.633211070356786</v>
      </c>
      <c r="O1394" s="4" t="n">
        <f aca="false">(G1394*H1394)-K1394</f>
        <v>0</v>
      </c>
      <c r="P1394" s="3" t="s">
        <v>21</v>
      </c>
    </row>
    <row r="1395" customFormat="false" ht="15" hidden="false" customHeight="false" outlineLevel="0" collapsed="false">
      <c r="A1395" s="7" t="n">
        <v>46068</v>
      </c>
      <c r="B1395" s="8" t="s">
        <v>37</v>
      </c>
      <c r="C1395" s="8" t="s">
        <v>17</v>
      </c>
      <c r="D1395" s="8" t="s">
        <v>76</v>
      </c>
      <c r="E1395" s="8" t="s">
        <v>77</v>
      </c>
      <c r="F1395" s="8" t="s">
        <v>34</v>
      </c>
      <c r="G1395" s="8" t="n">
        <v>8</v>
      </c>
      <c r="H1395" s="9" t="n">
        <v>44.99</v>
      </c>
      <c r="I1395" s="9" t="n">
        <v>14</v>
      </c>
      <c r="J1395" s="10" t="n">
        <v>0.3</v>
      </c>
      <c r="K1395" s="9" t="n">
        <f aca="false">G1395*H1395*(1-J1395)</f>
        <v>251.944</v>
      </c>
      <c r="L1395" s="9" t="n">
        <f aca="false">G1395*I1395</f>
        <v>112</v>
      </c>
      <c r="M1395" s="9" t="n">
        <f aca="false">K1395-L1395</f>
        <v>139.944</v>
      </c>
      <c r="N1395" s="11" t="n">
        <f aca="false">IF(K1395=0,0,M1395/K1395)</f>
        <v>0.555456768170705</v>
      </c>
      <c r="O1395" s="9" t="n">
        <f aca="false">(G1395*H1395)-K1395</f>
        <v>107.976</v>
      </c>
      <c r="P1395" s="8" t="s">
        <v>21</v>
      </c>
    </row>
    <row r="1396" customFormat="false" ht="15" hidden="false" customHeight="false" outlineLevel="0" collapsed="false">
      <c r="A1396" s="2" t="n">
        <v>46027</v>
      </c>
      <c r="B1396" s="3" t="s">
        <v>41</v>
      </c>
      <c r="C1396" s="3" t="s">
        <v>28</v>
      </c>
      <c r="D1396" s="3" t="s">
        <v>82</v>
      </c>
      <c r="E1396" s="3" t="s">
        <v>83</v>
      </c>
      <c r="F1396" s="3" t="s">
        <v>26</v>
      </c>
      <c r="G1396" s="3" t="n">
        <v>21</v>
      </c>
      <c r="H1396" s="4" t="n">
        <v>44.99</v>
      </c>
      <c r="I1396" s="4" t="n">
        <v>18</v>
      </c>
      <c r="J1396" s="5" t="n">
        <v>0</v>
      </c>
      <c r="K1396" s="4" t="n">
        <f aca="false">G1396*H1396*(1-J1396)</f>
        <v>944.79</v>
      </c>
      <c r="L1396" s="4" t="n">
        <f aca="false">G1396*I1396</f>
        <v>378</v>
      </c>
      <c r="M1396" s="4" t="n">
        <f aca="false">K1396-L1396</f>
        <v>566.79</v>
      </c>
      <c r="N1396" s="6" t="n">
        <f aca="false">IF(K1396=0,0,M1396/K1396)</f>
        <v>0.599911091353634</v>
      </c>
      <c r="O1396" s="4" t="n">
        <f aca="false">(G1396*H1396)-K1396</f>
        <v>0</v>
      </c>
      <c r="P1396" s="3" t="s">
        <v>21</v>
      </c>
    </row>
    <row r="1397" customFormat="false" ht="15" hidden="false" customHeight="false" outlineLevel="0" collapsed="false">
      <c r="A1397" s="7" t="n">
        <v>46054</v>
      </c>
      <c r="B1397" s="8" t="s">
        <v>41</v>
      </c>
      <c r="C1397" s="8" t="s">
        <v>28</v>
      </c>
      <c r="D1397" s="8" t="s">
        <v>95</v>
      </c>
      <c r="E1397" s="8" t="s">
        <v>96</v>
      </c>
      <c r="F1397" s="8" t="s">
        <v>50</v>
      </c>
      <c r="G1397" s="8" t="n">
        <v>19</v>
      </c>
      <c r="H1397" s="9" t="n">
        <v>34.99</v>
      </c>
      <c r="I1397" s="9" t="n">
        <v>12</v>
      </c>
      <c r="J1397" s="10" t="n">
        <v>0</v>
      </c>
      <c r="K1397" s="9" t="n">
        <f aca="false">G1397*H1397*(1-J1397)</f>
        <v>664.81</v>
      </c>
      <c r="L1397" s="9" t="n">
        <f aca="false">G1397*I1397</f>
        <v>228</v>
      </c>
      <c r="M1397" s="9" t="n">
        <f aca="false">K1397-L1397</f>
        <v>436.81</v>
      </c>
      <c r="N1397" s="11" t="n">
        <f aca="false">IF(K1397=0,0,M1397/K1397)</f>
        <v>0.657044869962847</v>
      </c>
      <c r="O1397" s="9" t="n">
        <f aca="false">(G1397*H1397)-K1397</f>
        <v>0</v>
      </c>
      <c r="P1397" s="8" t="s">
        <v>21</v>
      </c>
    </row>
    <row r="1398" customFormat="false" ht="15" hidden="false" customHeight="false" outlineLevel="0" collapsed="false">
      <c r="A1398" s="2" t="n">
        <v>46068</v>
      </c>
      <c r="B1398" s="3" t="s">
        <v>22</v>
      </c>
      <c r="C1398" s="3" t="s">
        <v>23</v>
      </c>
      <c r="D1398" s="3" t="s">
        <v>80</v>
      </c>
      <c r="E1398" s="3" t="s">
        <v>81</v>
      </c>
      <c r="F1398" s="3" t="s">
        <v>57</v>
      </c>
      <c r="G1398" s="3" t="n">
        <v>20</v>
      </c>
      <c r="H1398" s="4" t="n">
        <v>17.99</v>
      </c>
      <c r="I1398" s="4" t="n">
        <v>6.5</v>
      </c>
      <c r="J1398" s="5" t="n">
        <v>0.1</v>
      </c>
      <c r="K1398" s="4" t="n">
        <f aca="false">G1398*H1398*(1-J1398)</f>
        <v>323.82</v>
      </c>
      <c r="L1398" s="4" t="n">
        <f aca="false">G1398*I1398</f>
        <v>130</v>
      </c>
      <c r="M1398" s="4" t="n">
        <f aca="false">K1398-L1398</f>
        <v>193.82</v>
      </c>
      <c r="N1398" s="6" t="n">
        <f aca="false">IF(K1398=0,0,M1398/K1398)</f>
        <v>0.59854240009882</v>
      </c>
      <c r="O1398" s="4" t="n">
        <f aca="false">(G1398*H1398)-K1398</f>
        <v>35.98</v>
      </c>
      <c r="P1398" s="3" t="s">
        <v>21</v>
      </c>
    </row>
    <row r="1399" customFormat="false" ht="15" hidden="false" customHeight="false" outlineLevel="0" collapsed="false">
      <c r="A1399" s="7" t="n">
        <v>46101</v>
      </c>
      <c r="B1399" s="8" t="s">
        <v>41</v>
      </c>
      <c r="C1399" s="8" t="s">
        <v>28</v>
      </c>
      <c r="D1399" s="8" t="s">
        <v>51</v>
      </c>
      <c r="E1399" s="8" t="s">
        <v>52</v>
      </c>
      <c r="F1399" s="8" t="s">
        <v>50</v>
      </c>
      <c r="G1399" s="8" t="n">
        <v>6</v>
      </c>
      <c r="H1399" s="9" t="n">
        <v>19.99</v>
      </c>
      <c r="I1399" s="9" t="n">
        <v>7</v>
      </c>
      <c r="J1399" s="10" t="n">
        <v>0.15</v>
      </c>
      <c r="K1399" s="9" t="n">
        <f aca="false">G1399*H1399*(1-J1399)</f>
        <v>101.949</v>
      </c>
      <c r="L1399" s="9" t="n">
        <f aca="false">G1399*I1399</f>
        <v>42</v>
      </c>
      <c r="M1399" s="9" t="n">
        <f aca="false">K1399-L1399</f>
        <v>59.949</v>
      </c>
      <c r="N1399" s="11" t="n">
        <f aca="false">IF(K1399=0,0,M1399/K1399)</f>
        <v>0.588029308772033</v>
      </c>
      <c r="O1399" s="9" t="n">
        <f aca="false">(G1399*H1399)-K1399</f>
        <v>17.991</v>
      </c>
      <c r="P1399" s="8" t="s">
        <v>21</v>
      </c>
    </row>
    <row r="1400" customFormat="false" ht="15" hidden="false" customHeight="false" outlineLevel="0" collapsed="false">
      <c r="A1400" s="2" t="n">
        <v>46118</v>
      </c>
      <c r="B1400" s="3" t="s">
        <v>31</v>
      </c>
      <c r="C1400" s="3" t="s">
        <v>23</v>
      </c>
      <c r="D1400" s="3" t="s">
        <v>53</v>
      </c>
      <c r="E1400" s="3" t="s">
        <v>54</v>
      </c>
      <c r="F1400" s="3" t="s">
        <v>50</v>
      </c>
      <c r="G1400" s="3" t="n">
        <v>15</v>
      </c>
      <c r="H1400" s="4" t="n">
        <v>22.99</v>
      </c>
      <c r="I1400" s="4" t="n">
        <v>8</v>
      </c>
      <c r="J1400" s="5" t="n">
        <v>0</v>
      </c>
      <c r="K1400" s="4" t="n">
        <f aca="false">G1400*H1400*(1-J1400)</f>
        <v>344.85</v>
      </c>
      <c r="L1400" s="4" t="n">
        <f aca="false">G1400*I1400</f>
        <v>120</v>
      </c>
      <c r="M1400" s="4" t="n">
        <f aca="false">K1400-L1400</f>
        <v>224.85</v>
      </c>
      <c r="N1400" s="6" t="n">
        <f aca="false">IF(K1400=0,0,M1400/K1400)</f>
        <v>0.652022618529796</v>
      </c>
      <c r="O1400" s="4" t="n">
        <f aca="false">(G1400*H1400)-K1400</f>
        <v>0</v>
      </c>
      <c r="P1400" s="3" t="s">
        <v>21</v>
      </c>
    </row>
    <row r="1401" customFormat="false" ht="15" hidden="false" customHeight="false" outlineLevel="0" collapsed="false">
      <c r="A1401" s="7" t="n">
        <v>46027</v>
      </c>
      <c r="B1401" s="8" t="s">
        <v>64</v>
      </c>
      <c r="C1401" s="8" t="s">
        <v>65</v>
      </c>
      <c r="D1401" s="8" t="s">
        <v>55</v>
      </c>
      <c r="E1401" s="8" t="s">
        <v>56</v>
      </c>
      <c r="F1401" s="8" t="s">
        <v>57</v>
      </c>
      <c r="G1401" s="8" t="n">
        <v>13</v>
      </c>
      <c r="H1401" s="9" t="n">
        <v>29.99</v>
      </c>
      <c r="I1401" s="9" t="n">
        <v>11</v>
      </c>
      <c r="J1401" s="10" t="n">
        <v>0.15</v>
      </c>
      <c r="K1401" s="9" t="n">
        <f aca="false">G1401*H1401*(1-J1401)</f>
        <v>331.3895</v>
      </c>
      <c r="L1401" s="9" t="n">
        <f aca="false">G1401*I1401</f>
        <v>143</v>
      </c>
      <c r="M1401" s="9" t="n">
        <f aca="false">K1401-L1401</f>
        <v>188.3895</v>
      </c>
      <c r="N1401" s="11" t="n">
        <f aca="false">IF(K1401=0,0,M1401/K1401)</f>
        <v>0.568483612184454</v>
      </c>
      <c r="O1401" s="9" t="n">
        <f aca="false">(G1401*H1401)-K1401</f>
        <v>58.4805</v>
      </c>
      <c r="P1401" s="8" t="s">
        <v>21</v>
      </c>
    </row>
    <row r="1402" customFormat="false" ht="15" hidden="false" customHeight="false" outlineLevel="0" collapsed="false">
      <c r="A1402" s="2" t="n">
        <v>46039</v>
      </c>
      <c r="B1402" s="3" t="s">
        <v>31</v>
      </c>
      <c r="C1402" s="3" t="s">
        <v>23</v>
      </c>
      <c r="D1402" s="3" t="s">
        <v>95</v>
      </c>
      <c r="E1402" s="3" t="s">
        <v>96</v>
      </c>
      <c r="F1402" s="3" t="s">
        <v>50</v>
      </c>
      <c r="G1402" s="3" t="n">
        <v>3</v>
      </c>
      <c r="H1402" s="4" t="n">
        <v>34.99</v>
      </c>
      <c r="I1402" s="4" t="n">
        <v>12</v>
      </c>
      <c r="J1402" s="5" t="n">
        <v>0.3</v>
      </c>
      <c r="K1402" s="4" t="n">
        <f aca="false">G1402*H1402*(1-J1402)</f>
        <v>73.479</v>
      </c>
      <c r="L1402" s="4" t="n">
        <f aca="false">G1402*I1402</f>
        <v>36</v>
      </c>
      <c r="M1402" s="4" t="n">
        <f aca="false">K1402-L1402</f>
        <v>37.479</v>
      </c>
      <c r="N1402" s="6" t="n">
        <f aca="false">IF(K1402=0,0,M1402/K1402)</f>
        <v>0.510064099946924</v>
      </c>
      <c r="O1402" s="4" t="n">
        <f aca="false">(G1402*H1402)-K1402</f>
        <v>31.491</v>
      </c>
      <c r="P1402" s="3" t="s">
        <v>21</v>
      </c>
    </row>
    <row r="1403" customFormat="false" ht="15" hidden="false" customHeight="false" outlineLevel="0" collapsed="false">
      <c r="A1403" s="7" t="n">
        <v>46089</v>
      </c>
      <c r="B1403" s="8" t="s">
        <v>31</v>
      </c>
      <c r="C1403" s="8" t="s">
        <v>23</v>
      </c>
      <c r="D1403" s="8" t="s">
        <v>59</v>
      </c>
      <c r="E1403" s="8" t="s">
        <v>60</v>
      </c>
      <c r="F1403" s="8" t="s">
        <v>50</v>
      </c>
      <c r="G1403" s="8" t="n">
        <v>21</v>
      </c>
      <c r="H1403" s="9" t="n">
        <v>24.99</v>
      </c>
      <c r="I1403" s="9" t="n">
        <v>8.5</v>
      </c>
      <c r="J1403" s="10" t="n">
        <v>0</v>
      </c>
      <c r="K1403" s="9" t="n">
        <f aca="false">G1403*H1403*(1-J1403)</f>
        <v>524.79</v>
      </c>
      <c r="L1403" s="9" t="n">
        <f aca="false">G1403*I1403</f>
        <v>178.5</v>
      </c>
      <c r="M1403" s="9" t="n">
        <f aca="false">K1403-L1403</f>
        <v>346.29</v>
      </c>
      <c r="N1403" s="11" t="n">
        <f aca="false">IF(K1403=0,0,M1403/K1403)</f>
        <v>0.659863945578231</v>
      </c>
      <c r="O1403" s="9" t="n">
        <f aca="false">(G1403*H1403)-K1403</f>
        <v>0</v>
      </c>
      <c r="P1403" s="8" t="s">
        <v>21</v>
      </c>
    </row>
    <row r="1404" customFormat="false" ht="15" hidden="false" customHeight="false" outlineLevel="0" collapsed="false">
      <c r="A1404" s="2" t="n">
        <v>46059</v>
      </c>
      <c r="B1404" s="3" t="s">
        <v>22</v>
      </c>
      <c r="C1404" s="3" t="s">
        <v>23</v>
      </c>
      <c r="D1404" s="3" t="s">
        <v>46</v>
      </c>
      <c r="E1404" s="3" t="s">
        <v>47</v>
      </c>
      <c r="F1404" s="3" t="s">
        <v>20</v>
      </c>
      <c r="G1404" s="3" t="n">
        <v>6</v>
      </c>
      <c r="H1404" s="4" t="n">
        <v>44.99</v>
      </c>
      <c r="I1404" s="4" t="n">
        <v>18</v>
      </c>
      <c r="J1404" s="5" t="n">
        <v>0.05</v>
      </c>
      <c r="K1404" s="4" t="n">
        <f aca="false">G1404*H1404*(1-J1404)</f>
        <v>256.443</v>
      </c>
      <c r="L1404" s="4" t="n">
        <f aca="false">G1404*I1404</f>
        <v>108</v>
      </c>
      <c r="M1404" s="4" t="n">
        <f aca="false">K1404-L1404</f>
        <v>148.443</v>
      </c>
      <c r="N1404" s="6" t="n">
        <f aca="false">IF(K1404=0,0,M1404/K1404)</f>
        <v>0.578853780372246</v>
      </c>
      <c r="O1404" s="4" t="n">
        <f aca="false">(G1404*H1404)-K1404</f>
        <v>13.497</v>
      </c>
      <c r="P1404" s="3" t="s">
        <v>21</v>
      </c>
    </row>
    <row r="1405" customFormat="false" ht="15" hidden="false" customHeight="false" outlineLevel="0" collapsed="false">
      <c r="A1405" s="7" t="n">
        <v>46103</v>
      </c>
      <c r="B1405" s="8" t="s">
        <v>22</v>
      </c>
      <c r="C1405" s="8" t="s">
        <v>23</v>
      </c>
      <c r="D1405" s="8" t="s">
        <v>42</v>
      </c>
      <c r="E1405" s="8" t="s">
        <v>43</v>
      </c>
      <c r="F1405" s="8" t="s">
        <v>34</v>
      </c>
      <c r="G1405" s="8" t="n">
        <v>19</v>
      </c>
      <c r="H1405" s="9" t="n">
        <v>11.99</v>
      </c>
      <c r="I1405" s="9" t="n">
        <v>3.5</v>
      </c>
      <c r="J1405" s="10" t="n">
        <v>0.1</v>
      </c>
      <c r="K1405" s="9" t="n">
        <f aca="false">G1405*H1405*(1-J1405)</f>
        <v>205.029</v>
      </c>
      <c r="L1405" s="9" t="n">
        <f aca="false">G1405*I1405</f>
        <v>66.5</v>
      </c>
      <c r="M1405" s="9" t="n">
        <f aca="false">K1405-L1405</f>
        <v>138.529</v>
      </c>
      <c r="N1405" s="11" t="n">
        <f aca="false">IF(K1405=0,0,M1405/K1405)</f>
        <v>0.675655638958391</v>
      </c>
      <c r="O1405" s="9" t="n">
        <f aca="false">(G1405*H1405)-K1405</f>
        <v>22.781</v>
      </c>
      <c r="P1405" s="8" t="s">
        <v>21</v>
      </c>
    </row>
    <row r="1406" customFormat="false" ht="15" hidden="false" customHeight="false" outlineLevel="0" collapsed="false">
      <c r="A1406" s="2" t="n">
        <v>46048</v>
      </c>
      <c r="B1406" s="3" t="s">
        <v>16</v>
      </c>
      <c r="C1406" s="3" t="s">
        <v>17</v>
      </c>
      <c r="D1406" s="3" t="s">
        <v>29</v>
      </c>
      <c r="E1406" s="3" t="s">
        <v>30</v>
      </c>
      <c r="F1406" s="3" t="s">
        <v>20</v>
      </c>
      <c r="G1406" s="3" t="n">
        <v>11</v>
      </c>
      <c r="H1406" s="4" t="n">
        <v>89.99</v>
      </c>
      <c r="I1406" s="4" t="n">
        <v>42</v>
      </c>
      <c r="J1406" s="5" t="n">
        <v>0.2</v>
      </c>
      <c r="K1406" s="4" t="n">
        <f aca="false">G1406*H1406*(1-J1406)</f>
        <v>791.912</v>
      </c>
      <c r="L1406" s="4" t="n">
        <f aca="false">G1406*I1406</f>
        <v>462</v>
      </c>
      <c r="M1406" s="4" t="n">
        <f aca="false">K1406-L1406</f>
        <v>329.912</v>
      </c>
      <c r="N1406" s="6" t="n">
        <f aca="false">IF(K1406=0,0,M1406/K1406)</f>
        <v>0.416601844649406</v>
      </c>
      <c r="O1406" s="4" t="n">
        <f aca="false">(G1406*H1406)-K1406</f>
        <v>197.978</v>
      </c>
      <c r="P1406" s="3" t="s">
        <v>21</v>
      </c>
    </row>
    <row r="1407" customFormat="false" ht="15" hidden="false" customHeight="false" outlineLevel="0" collapsed="false">
      <c r="A1407" s="7" t="n">
        <v>46126</v>
      </c>
      <c r="B1407" s="8" t="s">
        <v>31</v>
      </c>
      <c r="C1407" s="8" t="s">
        <v>23</v>
      </c>
      <c r="D1407" s="8" t="s">
        <v>32</v>
      </c>
      <c r="E1407" s="8" t="s">
        <v>33</v>
      </c>
      <c r="F1407" s="8" t="s">
        <v>34</v>
      </c>
      <c r="G1407" s="8" t="n">
        <v>9</v>
      </c>
      <c r="H1407" s="9" t="n">
        <v>18.99</v>
      </c>
      <c r="I1407" s="9" t="n">
        <v>6</v>
      </c>
      <c r="J1407" s="10" t="n">
        <v>0.1</v>
      </c>
      <c r="K1407" s="9" t="n">
        <f aca="false">G1407*H1407*(1-J1407)</f>
        <v>153.819</v>
      </c>
      <c r="L1407" s="9" t="n">
        <f aca="false">G1407*I1407</f>
        <v>54</v>
      </c>
      <c r="M1407" s="9" t="n">
        <f aca="false">K1407-L1407</f>
        <v>99.819</v>
      </c>
      <c r="N1407" s="11" t="n">
        <f aca="false">IF(K1407=0,0,M1407/K1407)</f>
        <v>0.64893803756363</v>
      </c>
      <c r="O1407" s="9" t="n">
        <f aca="false">(G1407*H1407)-K1407</f>
        <v>17.091</v>
      </c>
      <c r="P1407" s="8" t="s">
        <v>21</v>
      </c>
    </row>
    <row r="1408" customFormat="false" ht="15" hidden="false" customHeight="false" outlineLevel="0" collapsed="false">
      <c r="A1408" s="2" t="n">
        <v>46101</v>
      </c>
      <c r="B1408" s="3" t="s">
        <v>64</v>
      </c>
      <c r="C1408" s="3" t="s">
        <v>65</v>
      </c>
      <c r="D1408" s="3" t="s">
        <v>53</v>
      </c>
      <c r="E1408" s="3" t="s">
        <v>54</v>
      </c>
      <c r="F1408" s="3" t="s">
        <v>50</v>
      </c>
      <c r="G1408" s="3" t="n">
        <v>19</v>
      </c>
      <c r="H1408" s="4" t="n">
        <v>22.99</v>
      </c>
      <c r="I1408" s="4" t="n">
        <v>8</v>
      </c>
      <c r="J1408" s="5" t="n">
        <v>0.2</v>
      </c>
      <c r="K1408" s="4" t="n">
        <f aca="false">G1408*H1408*(1-J1408)</f>
        <v>349.448</v>
      </c>
      <c r="L1408" s="4" t="n">
        <f aca="false">G1408*I1408</f>
        <v>152</v>
      </c>
      <c r="M1408" s="4" t="n">
        <f aca="false">K1408-L1408</f>
        <v>197.448</v>
      </c>
      <c r="N1408" s="6" t="n">
        <f aca="false">IF(K1408=0,0,M1408/K1408)</f>
        <v>0.565028273162245</v>
      </c>
      <c r="O1408" s="4" t="n">
        <f aca="false">(G1408*H1408)-K1408</f>
        <v>87.362</v>
      </c>
      <c r="P1408" s="3" t="s">
        <v>21</v>
      </c>
    </row>
    <row r="1409" customFormat="false" ht="15" hidden="false" customHeight="false" outlineLevel="0" collapsed="false">
      <c r="A1409" s="7" t="n">
        <v>46024</v>
      </c>
      <c r="B1409" s="8" t="s">
        <v>22</v>
      </c>
      <c r="C1409" s="8" t="s">
        <v>23</v>
      </c>
      <c r="D1409" s="8" t="s">
        <v>76</v>
      </c>
      <c r="E1409" s="8" t="s">
        <v>77</v>
      </c>
      <c r="F1409" s="8" t="s">
        <v>34</v>
      </c>
      <c r="G1409" s="8" t="n">
        <v>12</v>
      </c>
      <c r="H1409" s="9" t="n">
        <v>44.99</v>
      </c>
      <c r="I1409" s="9" t="n">
        <v>14</v>
      </c>
      <c r="J1409" s="10" t="n">
        <v>0.15</v>
      </c>
      <c r="K1409" s="9" t="n">
        <f aca="false">G1409*H1409*(1-J1409)</f>
        <v>458.898</v>
      </c>
      <c r="L1409" s="9" t="n">
        <f aca="false">G1409*I1409</f>
        <v>168</v>
      </c>
      <c r="M1409" s="9" t="n">
        <f aca="false">K1409-L1409</f>
        <v>290.898</v>
      </c>
      <c r="N1409" s="11" t="n">
        <f aca="false">IF(K1409=0,0,M1409/K1409)</f>
        <v>0.633905573787639</v>
      </c>
      <c r="O1409" s="9" t="n">
        <f aca="false">(G1409*H1409)-K1409</f>
        <v>80.982</v>
      </c>
      <c r="P1409" s="8" t="s">
        <v>21</v>
      </c>
    </row>
    <row r="1410" customFormat="false" ht="15" hidden="false" customHeight="false" outlineLevel="0" collapsed="false">
      <c r="A1410" s="2" t="n">
        <v>46054</v>
      </c>
      <c r="B1410" s="3" t="s">
        <v>16</v>
      </c>
      <c r="C1410" s="3" t="s">
        <v>17</v>
      </c>
      <c r="D1410" s="3" t="s">
        <v>72</v>
      </c>
      <c r="E1410" s="3" t="s">
        <v>73</v>
      </c>
      <c r="F1410" s="3" t="s">
        <v>57</v>
      </c>
      <c r="G1410" s="3" t="n">
        <v>24</v>
      </c>
      <c r="H1410" s="4" t="n">
        <v>19.99</v>
      </c>
      <c r="I1410" s="4" t="n">
        <v>7</v>
      </c>
      <c r="J1410" s="5" t="n">
        <v>0.2</v>
      </c>
      <c r="K1410" s="4" t="n">
        <f aca="false">G1410*H1410*(1-J1410)</f>
        <v>383.808</v>
      </c>
      <c r="L1410" s="4" t="n">
        <f aca="false">G1410*I1410</f>
        <v>168</v>
      </c>
      <c r="M1410" s="4" t="n">
        <f aca="false">K1410-L1410</f>
        <v>215.808</v>
      </c>
      <c r="N1410" s="6" t="n">
        <f aca="false">IF(K1410=0,0,M1410/K1410)</f>
        <v>0.562281140570285</v>
      </c>
      <c r="O1410" s="4" t="n">
        <f aca="false">(G1410*H1410)-K1410</f>
        <v>95.952</v>
      </c>
      <c r="P1410" s="3" t="s">
        <v>21</v>
      </c>
    </row>
    <row r="1411" customFormat="false" ht="15" hidden="false" customHeight="false" outlineLevel="0" collapsed="false">
      <c r="A1411" s="7" t="n">
        <v>46132</v>
      </c>
      <c r="B1411" s="8" t="s">
        <v>64</v>
      </c>
      <c r="C1411" s="8" t="s">
        <v>65</v>
      </c>
      <c r="D1411" s="8" t="s">
        <v>48</v>
      </c>
      <c r="E1411" s="8" t="s">
        <v>49</v>
      </c>
      <c r="F1411" s="8" t="s">
        <v>50</v>
      </c>
      <c r="G1411" s="8" t="n">
        <v>21</v>
      </c>
      <c r="H1411" s="9" t="n">
        <v>59.99</v>
      </c>
      <c r="I1411" s="9" t="n">
        <v>20</v>
      </c>
      <c r="J1411" s="10" t="n">
        <v>0.15</v>
      </c>
      <c r="K1411" s="9" t="n">
        <f aca="false">G1411*H1411*(1-J1411)</f>
        <v>1070.8215</v>
      </c>
      <c r="L1411" s="9" t="n">
        <f aca="false">G1411*I1411</f>
        <v>420</v>
      </c>
      <c r="M1411" s="9" t="n">
        <f aca="false">K1411-L1411</f>
        <v>650.8215</v>
      </c>
      <c r="N1411" s="11" t="n">
        <f aca="false">IF(K1411=0,0,M1411/K1411)</f>
        <v>0.607777766882716</v>
      </c>
      <c r="O1411" s="9" t="n">
        <f aca="false">(G1411*H1411)-K1411</f>
        <v>188.9685</v>
      </c>
      <c r="P1411" s="8" t="s">
        <v>21</v>
      </c>
    </row>
    <row r="1412" customFormat="false" ht="15" hidden="false" customHeight="false" outlineLevel="0" collapsed="false">
      <c r="A1412" s="2" t="n">
        <v>46083</v>
      </c>
      <c r="B1412" s="3" t="s">
        <v>64</v>
      </c>
      <c r="C1412" s="3" t="s">
        <v>65</v>
      </c>
      <c r="D1412" s="3" t="s">
        <v>38</v>
      </c>
      <c r="E1412" s="3" t="s">
        <v>39</v>
      </c>
      <c r="F1412" s="3" t="s">
        <v>40</v>
      </c>
      <c r="G1412" s="3" t="n">
        <v>7</v>
      </c>
      <c r="H1412" s="4" t="n">
        <v>3.58</v>
      </c>
      <c r="I1412" s="4" t="n">
        <v>4</v>
      </c>
      <c r="J1412" s="5" t="n">
        <v>0</v>
      </c>
      <c r="K1412" s="4" t="n">
        <f aca="false">G1412*H1412*(1-J1412)</f>
        <v>25.06</v>
      </c>
      <c r="L1412" s="4" t="n">
        <f aca="false">G1412*I1412</f>
        <v>28</v>
      </c>
      <c r="M1412" s="4" t="n">
        <f aca="false">K1412-L1412</f>
        <v>-2.94</v>
      </c>
      <c r="N1412" s="6" t="n">
        <f aca="false">IF(K1412=0,0,M1412/K1412)</f>
        <v>-0.11731843575419</v>
      </c>
      <c r="O1412" s="4" t="n">
        <f aca="false">(G1412*H1412)-K1412</f>
        <v>0</v>
      </c>
      <c r="P1412" s="15" t="s">
        <v>98</v>
      </c>
    </row>
    <row r="1413" customFormat="false" ht="15" hidden="false" customHeight="false" outlineLevel="0" collapsed="false">
      <c r="A1413" s="7" t="n">
        <v>46058</v>
      </c>
      <c r="B1413" s="8" t="s">
        <v>31</v>
      </c>
      <c r="C1413" s="8" t="s">
        <v>23</v>
      </c>
      <c r="D1413" s="8" t="s">
        <v>55</v>
      </c>
      <c r="E1413" s="8" t="s">
        <v>56</v>
      </c>
      <c r="F1413" s="8" t="s">
        <v>57</v>
      </c>
      <c r="G1413" s="8" t="n">
        <v>8</v>
      </c>
      <c r="H1413" s="9" t="n">
        <v>29.99</v>
      </c>
      <c r="I1413" s="9" t="n">
        <v>11</v>
      </c>
      <c r="J1413" s="10" t="n">
        <v>0.2</v>
      </c>
      <c r="K1413" s="9" t="n">
        <f aca="false">G1413*H1413*(1-J1413)</f>
        <v>191.936</v>
      </c>
      <c r="L1413" s="9" t="n">
        <f aca="false">G1413*I1413</f>
        <v>88</v>
      </c>
      <c r="M1413" s="9" t="n">
        <f aca="false">K1413-L1413</f>
        <v>103.936</v>
      </c>
      <c r="N1413" s="11" t="n">
        <f aca="false">IF(K1413=0,0,M1413/K1413)</f>
        <v>0.541513837945982</v>
      </c>
      <c r="O1413" s="9" t="n">
        <f aca="false">(G1413*H1413)-K1413</f>
        <v>47.984</v>
      </c>
      <c r="P1413" s="8" t="s">
        <v>21</v>
      </c>
    </row>
    <row r="1414" customFormat="false" ht="15" hidden="false" customHeight="false" outlineLevel="0" collapsed="false">
      <c r="A1414" s="2" t="n">
        <v>46096</v>
      </c>
      <c r="B1414" s="3" t="s">
        <v>16</v>
      </c>
      <c r="C1414" s="3" t="s">
        <v>17</v>
      </c>
      <c r="D1414" s="3" t="s">
        <v>66</v>
      </c>
      <c r="E1414" s="3" t="s">
        <v>67</v>
      </c>
      <c r="F1414" s="3" t="s">
        <v>57</v>
      </c>
      <c r="G1414" s="3" t="n">
        <v>26</v>
      </c>
      <c r="H1414" s="4" t="n">
        <v>14.99</v>
      </c>
      <c r="I1414" s="4" t="n">
        <v>5.5</v>
      </c>
      <c r="J1414" s="5" t="n">
        <v>0</v>
      </c>
      <c r="K1414" s="4" t="n">
        <f aca="false">G1414*H1414*(1-J1414)</f>
        <v>389.74</v>
      </c>
      <c r="L1414" s="4" t="n">
        <f aca="false">G1414*I1414</f>
        <v>143</v>
      </c>
      <c r="M1414" s="4" t="n">
        <f aca="false">K1414-L1414</f>
        <v>246.74</v>
      </c>
      <c r="N1414" s="6" t="n">
        <f aca="false">IF(K1414=0,0,M1414/K1414)</f>
        <v>0.633088725817211</v>
      </c>
      <c r="O1414" s="4" t="n">
        <f aca="false">(G1414*H1414)-K1414</f>
        <v>0</v>
      </c>
      <c r="P1414" s="3" t="s">
        <v>21</v>
      </c>
    </row>
    <row r="1415" customFormat="false" ht="15" hidden="false" customHeight="false" outlineLevel="0" collapsed="false">
      <c r="A1415" s="7" t="n">
        <v>46047</v>
      </c>
      <c r="B1415" s="8" t="s">
        <v>37</v>
      </c>
      <c r="C1415" s="8" t="s">
        <v>17</v>
      </c>
      <c r="D1415" s="8" t="s">
        <v>70</v>
      </c>
      <c r="E1415" s="8" t="s">
        <v>71</v>
      </c>
      <c r="F1415" s="8" t="s">
        <v>20</v>
      </c>
      <c r="G1415" s="8" t="n">
        <v>5</v>
      </c>
      <c r="H1415" s="9" t="n">
        <v>49.99</v>
      </c>
      <c r="I1415" s="9" t="n">
        <v>19</v>
      </c>
      <c r="J1415" s="10" t="n">
        <v>0</v>
      </c>
      <c r="K1415" s="9" t="n">
        <f aca="false">G1415*H1415*(1-J1415)</f>
        <v>249.95</v>
      </c>
      <c r="L1415" s="9" t="n">
        <f aca="false">G1415*I1415</f>
        <v>95</v>
      </c>
      <c r="M1415" s="9" t="n">
        <f aca="false">K1415-L1415</f>
        <v>154.95</v>
      </c>
      <c r="N1415" s="11" t="n">
        <f aca="false">IF(K1415=0,0,M1415/K1415)</f>
        <v>0.619923984796959</v>
      </c>
      <c r="O1415" s="9" t="n">
        <f aca="false">(G1415*H1415)-K1415</f>
        <v>0</v>
      </c>
      <c r="P1415" s="8" t="s">
        <v>21</v>
      </c>
    </row>
    <row r="1416" customFormat="false" ht="15" hidden="false" customHeight="false" outlineLevel="0" collapsed="false">
      <c r="A1416" s="2" t="n">
        <v>46027</v>
      </c>
      <c r="B1416" s="3" t="s">
        <v>41</v>
      </c>
      <c r="C1416" s="3" t="s">
        <v>28</v>
      </c>
      <c r="D1416" s="3" t="s">
        <v>44</v>
      </c>
      <c r="E1416" s="3" t="s">
        <v>45</v>
      </c>
      <c r="F1416" s="3" t="s">
        <v>40</v>
      </c>
      <c r="G1416" s="3" t="n">
        <v>15</v>
      </c>
      <c r="H1416" s="4" t="n">
        <v>29.99</v>
      </c>
      <c r="I1416" s="4" t="n">
        <v>11</v>
      </c>
      <c r="J1416" s="5" t="n">
        <v>0</v>
      </c>
      <c r="K1416" s="4" t="n">
        <f aca="false">G1416*H1416*(1-J1416)</f>
        <v>449.85</v>
      </c>
      <c r="L1416" s="4" t="n">
        <f aca="false">G1416*I1416</f>
        <v>165</v>
      </c>
      <c r="M1416" s="4" t="n">
        <f aca="false">K1416-L1416</f>
        <v>284.85</v>
      </c>
      <c r="N1416" s="6" t="n">
        <f aca="false">IF(K1416=0,0,M1416/K1416)</f>
        <v>0.633211070356786</v>
      </c>
      <c r="O1416" s="4" t="n">
        <f aca="false">(G1416*H1416)-K1416</f>
        <v>0</v>
      </c>
      <c r="P1416" s="3" t="s">
        <v>21</v>
      </c>
    </row>
    <row r="1417" customFormat="false" ht="15" hidden="false" customHeight="false" outlineLevel="0" collapsed="false">
      <c r="A1417" s="7" t="n">
        <v>46025</v>
      </c>
      <c r="B1417" s="8" t="s">
        <v>27</v>
      </c>
      <c r="C1417" s="8" t="s">
        <v>28</v>
      </c>
      <c r="D1417" s="8" t="s">
        <v>84</v>
      </c>
      <c r="E1417" s="8" t="s">
        <v>85</v>
      </c>
      <c r="F1417" s="8" t="s">
        <v>20</v>
      </c>
      <c r="G1417" s="8" t="n">
        <v>7</v>
      </c>
      <c r="H1417" s="9" t="n">
        <v>34.99</v>
      </c>
      <c r="I1417" s="9" t="n">
        <v>13</v>
      </c>
      <c r="J1417" s="10" t="n">
        <v>0.15</v>
      </c>
      <c r="K1417" s="9" t="n">
        <f aca="false">G1417*H1417*(1-J1417)</f>
        <v>208.1905</v>
      </c>
      <c r="L1417" s="9" t="n">
        <f aca="false">G1417*I1417</f>
        <v>91</v>
      </c>
      <c r="M1417" s="9" t="n">
        <f aca="false">K1417-L1417</f>
        <v>117.1905</v>
      </c>
      <c r="N1417" s="11" t="n">
        <f aca="false">IF(K1417=0,0,M1417/K1417)</f>
        <v>0.562900324462452</v>
      </c>
      <c r="O1417" s="9" t="n">
        <f aca="false">(G1417*H1417)-K1417</f>
        <v>36.7395</v>
      </c>
      <c r="P1417" s="8" t="s">
        <v>21</v>
      </c>
    </row>
    <row r="1418" customFormat="false" ht="15" hidden="false" customHeight="false" outlineLevel="0" collapsed="false">
      <c r="A1418" s="2" t="n">
        <v>46023</v>
      </c>
      <c r="B1418" s="3" t="s">
        <v>37</v>
      </c>
      <c r="C1418" s="3" t="s">
        <v>17</v>
      </c>
      <c r="D1418" s="3" t="s">
        <v>51</v>
      </c>
      <c r="E1418" s="3" t="s">
        <v>52</v>
      </c>
      <c r="F1418" s="3" t="s">
        <v>50</v>
      </c>
      <c r="G1418" s="3" t="n">
        <v>14</v>
      </c>
      <c r="H1418" s="4" t="n">
        <v>19.99</v>
      </c>
      <c r="I1418" s="4" t="n">
        <v>7</v>
      </c>
      <c r="J1418" s="5" t="n">
        <v>0</v>
      </c>
      <c r="K1418" s="4" t="n">
        <f aca="false">G1418*H1418*(1-J1418)</f>
        <v>279.86</v>
      </c>
      <c r="L1418" s="4" t="n">
        <f aca="false">G1418*I1418</f>
        <v>98</v>
      </c>
      <c r="M1418" s="4" t="n">
        <f aca="false">K1418-L1418</f>
        <v>181.86</v>
      </c>
      <c r="N1418" s="6" t="n">
        <f aca="false">IF(K1418=0,0,M1418/K1418)</f>
        <v>0.649824912456228</v>
      </c>
      <c r="O1418" s="4" t="n">
        <f aca="false">(G1418*H1418)-K1418</f>
        <v>0</v>
      </c>
      <c r="P1418" s="3" t="s">
        <v>21</v>
      </c>
    </row>
    <row r="1419" customFormat="false" ht="15" hidden="false" customHeight="false" outlineLevel="0" collapsed="false">
      <c r="A1419" s="7" t="n">
        <v>46124</v>
      </c>
      <c r="B1419" s="8" t="s">
        <v>64</v>
      </c>
      <c r="C1419" s="8" t="s">
        <v>65</v>
      </c>
      <c r="D1419" s="8" t="s">
        <v>51</v>
      </c>
      <c r="E1419" s="8" t="s">
        <v>52</v>
      </c>
      <c r="F1419" s="8" t="s">
        <v>50</v>
      </c>
      <c r="G1419" s="8" t="n">
        <v>19</v>
      </c>
      <c r="H1419" s="9" t="n">
        <v>19.99</v>
      </c>
      <c r="I1419" s="9" t="n">
        <v>7</v>
      </c>
      <c r="J1419" s="10" t="n">
        <v>0.25</v>
      </c>
      <c r="K1419" s="9" t="n">
        <f aca="false">G1419*H1419*(1-J1419)</f>
        <v>284.8575</v>
      </c>
      <c r="L1419" s="9" t="n">
        <f aca="false">G1419*I1419</f>
        <v>133</v>
      </c>
      <c r="M1419" s="9" t="n">
        <f aca="false">K1419-L1419</f>
        <v>151.8575</v>
      </c>
      <c r="N1419" s="11" t="n">
        <f aca="false">IF(K1419=0,0,M1419/K1419)</f>
        <v>0.533099883274971</v>
      </c>
      <c r="O1419" s="9" t="n">
        <f aca="false">(G1419*H1419)-K1419</f>
        <v>94.9525</v>
      </c>
      <c r="P1419" s="8" t="s">
        <v>21</v>
      </c>
    </row>
    <row r="1420" customFormat="false" ht="15" hidden="false" customHeight="false" outlineLevel="0" collapsed="false">
      <c r="A1420" s="2" t="n">
        <v>46100</v>
      </c>
      <c r="B1420" s="3" t="s">
        <v>22</v>
      </c>
      <c r="C1420" s="3" t="s">
        <v>23</v>
      </c>
      <c r="D1420" s="3" t="s">
        <v>90</v>
      </c>
      <c r="E1420" s="3" t="s">
        <v>91</v>
      </c>
      <c r="F1420" s="3" t="s">
        <v>26</v>
      </c>
      <c r="G1420" s="3" t="n">
        <v>25</v>
      </c>
      <c r="H1420" s="4" t="n">
        <v>29.99</v>
      </c>
      <c r="I1420" s="4" t="n">
        <v>11</v>
      </c>
      <c r="J1420" s="5" t="n">
        <v>0.15</v>
      </c>
      <c r="K1420" s="4" t="n">
        <f aca="false">G1420*H1420*(1-J1420)</f>
        <v>637.2875</v>
      </c>
      <c r="L1420" s="4" t="n">
        <f aca="false">G1420*I1420</f>
        <v>275</v>
      </c>
      <c r="M1420" s="4" t="n">
        <f aca="false">K1420-L1420</f>
        <v>362.2875</v>
      </c>
      <c r="N1420" s="6" t="n">
        <f aca="false">IF(K1420=0,0,M1420/K1420)</f>
        <v>0.568483612184454</v>
      </c>
      <c r="O1420" s="4" t="n">
        <f aca="false">(G1420*H1420)-K1420</f>
        <v>112.4625</v>
      </c>
      <c r="P1420" s="3" t="s">
        <v>21</v>
      </c>
    </row>
    <row r="1421" customFormat="false" ht="15" hidden="false" customHeight="false" outlineLevel="0" collapsed="false">
      <c r="A1421" s="7" t="n">
        <v>46080</v>
      </c>
      <c r="B1421" s="8" t="s">
        <v>64</v>
      </c>
      <c r="C1421" s="8" t="s">
        <v>65</v>
      </c>
      <c r="D1421" s="8" t="s">
        <v>29</v>
      </c>
      <c r="E1421" s="8" t="s">
        <v>30</v>
      </c>
      <c r="F1421" s="8" t="s">
        <v>20</v>
      </c>
      <c r="G1421" s="8" t="n">
        <v>6</v>
      </c>
      <c r="H1421" s="9" t="n">
        <v>89.99</v>
      </c>
      <c r="I1421" s="9" t="n">
        <v>42</v>
      </c>
      <c r="J1421" s="10" t="n">
        <v>0</v>
      </c>
      <c r="K1421" s="9" t="n">
        <f aca="false">G1421*H1421*(1-J1421)</f>
        <v>539.94</v>
      </c>
      <c r="L1421" s="9" t="n">
        <f aca="false">G1421*I1421</f>
        <v>252</v>
      </c>
      <c r="M1421" s="9" t="n">
        <f aca="false">K1421-L1421</f>
        <v>287.94</v>
      </c>
      <c r="N1421" s="11" t="n">
        <f aca="false">IF(K1421=0,0,M1421/K1421)</f>
        <v>0.533281475719524</v>
      </c>
      <c r="O1421" s="9" t="n">
        <f aca="false">(G1421*H1421)-K1421</f>
        <v>0</v>
      </c>
      <c r="P1421" s="8" t="s">
        <v>21</v>
      </c>
    </row>
    <row r="1422" customFormat="false" ht="15" hidden="false" customHeight="false" outlineLevel="0" collapsed="false">
      <c r="A1422" s="2" t="n">
        <v>46071</v>
      </c>
      <c r="B1422" s="3" t="s">
        <v>64</v>
      </c>
      <c r="C1422" s="3" t="s">
        <v>65</v>
      </c>
      <c r="D1422" s="3" t="s">
        <v>72</v>
      </c>
      <c r="E1422" s="3" t="s">
        <v>73</v>
      </c>
      <c r="F1422" s="3" t="s">
        <v>57</v>
      </c>
      <c r="G1422" s="3" t="n">
        <v>7</v>
      </c>
      <c r="H1422" s="4" t="n">
        <v>19.99</v>
      </c>
      <c r="I1422" s="4" t="n">
        <v>7</v>
      </c>
      <c r="J1422" s="5" t="n">
        <v>0.3</v>
      </c>
      <c r="K1422" s="4" t="n">
        <f aca="false">G1422*H1422*(1-J1422)</f>
        <v>97.951</v>
      </c>
      <c r="L1422" s="4" t="n">
        <f aca="false">G1422*I1422</f>
        <v>49</v>
      </c>
      <c r="M1422" s="4" t="n">
        <f aca="false">K1422-L1422</f>
        <v>48.951</v>
      </c>
      <c r="N1422" s="6" t="n">
        <f aca="false">IF(K1422=0,0,M1422/K1422)</f>
        <v>0.499749874937469</v>
      </c>
      <c r="O1422" s="4" t="n">
        <f aca="false">(G1422*H1422)-K1422</f>
        <v>41.979</v>
      </c>
      <c r="P1422" s="3" t="s">
        <v>21</v>
      </c>
    </row>
    <row r="1423" customFormat="false" ht="15" hidden="false" customHeight="false" outlineLevel="0" collapsed="false">
      <c r="A1423" s="7" t="n">
        <v>46054</v>
      </c>
      <c r="B1423" s="8" t="s">
        <v>37</v>
      </c>
      <c r="C1423" s="8" t="s">
        <v>17</v>
      </c>
      <c r="D1423" s="8" t="s">
        <v>82</v>
      </c>
      <c r="E1423" s="8" t="s">
        <v>83</v>
      </c>
      <c r="F1423" s="8" t="s">
        <v>26</v>
      </c>
      <c r="G1423" s="8" t="n">
        <v>21</v>
      </c>
      <c r="H1423" s="9" t="n">
        <v>44.99</v>
      </c>
      <c r="I1423" s="9" t="n">
        <v>18</v>
      </c>
      <c r="J1423" s="10" t="n">
        <v>0.05</v>
      </c>
      <c r="K1423" s="9" t="n">
        <f aca="false">G1423*H1423*(1-J1423)</f>
        <v>897.5505</v>
      </c>
      <c r="L1423" s="9" t="n">
        <f aca="false">G1423*I1423</f>
        <v>378</v>
      </c>
      <c r="M1423" s="9" t="n">
        <f aca="false">K1423-L1423</f>
        <v>519.5505</v>
      </c>
      <c r="N1423" s="11" t="n">
        <f aca="false">IF(K1423=0,0,M1423/K1423)</f>
        <v>0.578853780372246</v>
      </c>
      <c r="O1423" s="9" t="n">
        <f aca="false">(G1423*H1423)-K1423</f>
        <v>47.2395</v>
      </c>
      <c r="P1423" s="8" t="s">
        <v>21</v>
      </c>
    </row>
    <row r="1424" customFormat="false" ht="15" hidden="false" customHeight="false" outlineLevel="0" collapsed="false">
      <c r="A1424" s="2" t="n">
        <v>46080</v>
      </c>
      <c r="B1424" s="3" t="s">
        <v>16</v>
      </c>
      <c r="C1424" s="3" t="s">
        <v>17</v>
      </c>
      <c r="D1424" s="3" t="s">
        <v>29</v>
      </c>
      <c r="E1424" s="3" t="s">
        <v>30</v>
      </c>
      <c r="F1424" s="3" t="s">
        <v>20</v>
      </c>
      <c r="G1424" s="3" t="n">
        <v>19</v>
      </c>
      <c r="H1424" s="4" t="n">
        <v>89.99</v>
      </c>
      <c r="I1424" s="4" t="n">
        <v>42</v>
      </c>
      <c r="J1424" s="5" t="n">
        <v>0.25</v>
      </c>
      <c r="K1424" s="4" t="n">
        <f aca="false">G1424*H1424*(1-J1424)</f>
        <v>1282.3575</v>
      </c>
      <c r="L1424" s="4" t="n">
        <f aca="false">G1424*I1424</f>
        <v>798</v>
      </c>
      <c r="M1424" s="4" t="n">
        <f aca="false">K1424-L1424</f>
        <v>484.3575</v>
      </c>
      <c r="N1424" s="6" t="n">
        <f aca="false">IF(K1424=0,0,M1424/K1424)</f>
        <v>0.377708634292699</v>
      </c>
      <c r="O1424" s="4" t="n">
        <f aca="false">(G1424*H1424)-K1424</f>
        <v>427.4525</v>
      </c>
      <c r="P1424" s="3" t="s">
        <v>21</v>
      </c>
    </row>
    <row r="1425" customFormat="false" ht="15" hidden="false" customHeight="false" outlineLevel="0" collapsed="false">
      <c r="A1425" s="7" t="n">
        <v>46031</v>
      </c>
      <c r="B1425" s="8" t="s">
        <v>22</v>
      </c>
      <c r="C1425" s="8" t="s">
        <v>23</v>
      </c>
      <c r="D1425" s="8" t="s">
        <v>35</v>
      </c>
      <c r="E1425" s="8" t="s">
        <v>36</v>
      </c>
      <c r="F1425" s="8" t="s">
        <v>26</v>
      </c>
      <c r="G1425" s="8" t="n">
        <v>5</v>
      </c>
      <c r="H1425" s="9" t="n">
        <v>69.99</v>
      </c>
      <c r="I1425" s="9" t="n">
        <v>30</v>
      </c>
      <c r="J1425" s="10" t="n">
        <v>0.1</v>
      </c>
      <c r="K1425" s="9" t="n">
        <f aca="false">G1425*H1425*(1-J1425)</f>
        <v>314.955</v>
      </c>
      <c r="L1425" s="9" t="n">
        <f aca="false">G1425*I1425</f>
        <v>150</v>
      </c>
      <c r="M1425" s="9" t="n">
        <f aca="false">K1425-L1425</f>
        <v>164.955</v>
      </c>
      <c r="N1425" s="11" t="n">
        <f aca="false">IF(K1425=0,0,M1425/K1425)</f>
        <v>0.523741486879078</v>
      </c>
      <c r="O1425" s="9" t="n">
        <f aca="false">(G1425*H1425)-K1425</f>
        <v>34.995</v>
      </c>
      <c r="P1425" s="8" t="s">
        <v>21</v>
      </c>
    </row>
    <row r="1426" customFormat="false" ht="15" hidden="false" customHeight="false" outlineLevel="0" collapsed="false">
      <c r="A1426" s="2" t="n">
        <v>46083</v>
      </c>
      <c r="B1426" s="3" t="s">
        <v>27</v>
      </c>
      <c r="C1426" s="3" t="s">
        <v>28</v>
      </c>
      <c r="D1426" s="3" t="s">
        <v>70</v>
      </c>
      <c r="E1426" s="3" t="s">
        <v>71</v>
      </c>
      <c r="F1426" s="3" t="s">
        <v>20</v>
      </c>
      <c r="G1426" s="3" t="n">
        <v>17</v>
      </c>
      <c r="H1426" s="4" t="n">
        <v>49.99</v>
      </c>
      <c r="I1426" s="4" t="n">
        <v>19</v>
      </c>
      <c r="J1426" s="5" t="n">
        <v>0.1</v>
      </c>
      <c r="K1426" s="4" t="n">
        <f aca="false">G1426*H1426*(1-J1426)</f>
        <v>764.847</v>
      </c>
      <c r="L1426" s="4" t="n">
        <f aca="false">G1426*I1426</f>
        <v>323</v>
      </c>
      <c r="M1426" s="4" t="n">
        <f aca="false">K1426-L1426</f>
        <v>441.847</v>
      </c>
      <c r="N1426" s="6" t="n">
        <f aca="false">IF(K1426=0,0,M1426/K1426)</f>
        <v>0.577693316441066</v>
      </c>
      <c r="O1426" s="4" t="n">
        <f aca="false">(G1426*H1426)-K1426</f>
        <v>84.983</v>
      </c>
      <c r="P1426" s="3" t="s">
        <v>21</v>
      </c>
    </row>
    <row r="1427" customFormat="false" ht="15" hidden="false" customHeight="false" outlineLevel="0" collapsed="false">
      <c r="A1427" s="7" t="n">
        <v>46116</v>
      </c>
      <c r="B1427" s="8" t="s">
        <v>37</v>
      </c>
      <c r="C1427" s="8" t="s">
        <v>17</v>
      </c>
      <c r="D1427" s="8" t="s">
        <v>18</v>
      </c>
      <c r="E1427" s="8" t="s">
        <v>19</v>
      </c>
      <c r="F1427" s="8" t="s">
        <v>20</v>
      </c>
      <c r="G1427" s="8" t="n">
        <v>23</v>
      </c>
      <c r="H1427" s="9" t="n">
        <v>26.99</v>
      </c>
      <c r="I1427" s="9" t="n">
        <v>10.5</v>
      </c>
      <c r="J1427" s="10" t="n">
        <v>0.1</v>
      </c>
      <c r="K1427" s="9" t="n">
        <f aca="false">G1427*H1427*(1-J1427)</f>
        <v>558.693</v>
      </c>
      <c r="L1427" s="9" t="n">
        <f aca="false">G1427*I1427</f>
        <v>241.5</v>
      </c>
      <c r="M1427" s="9" t="n">
        <f aca="false">K1427-L1427</f>
        <v>317.193</v>
      </c>
      <c r="N1427" s="11" t="n">
        <f aca="false">IF(K1427=0,0,M1427/K1427)</f>
        <v>0.567741138693343</v>
      </c>
      <c r="O1427" s="9" t="n">
        <f aca="false">(G1427*H1427)-K1427</f>
        <v>62.077</v>
      </c>
      <c r="P1427" s="8" t="s">
        <v>21</v>
      </c>
    </row>
    <row r="1428" customFormat="false" ht="15" hidden="false" customHeight="false" outlineLevel="0" collapsed="false">
      <c r="A1428" s="2" t="n">
        <v>46028</v>
      </c>
      <c r="B1428" s="3" t="s">
        <v>37</v>
      </c>
      <c r="C1428" s="3" t="s">
        <v>17</v>
      </c>
      <c r="D1428" s="3" t="s">
        <v>55</v>
      </c>
      <c r="E1428" s="3" t="s">
        <v>56</v>
      </c>
      <c r="F1428" s="3" t="s">
        <v>57</v>
      </c>
      <c r="G1428" s="3" t="n">
        <v>30</v>
      </c>
      <c r="H1428" s="4" t="n">
        <v>29.99</v>
      </c>
      <c r="I1428" s="4" t="n">
        <v>11</v>
      </c>
      <c r="J1428" s="5" t="n">
        <v>0.1</v>
      </c>
      <c r="K1428" s="4" t="n">
        <f aca="false">G1428*H1428*(1-J1428)</f>
        <v>809.73</v>
      </c>
      <c r="L1428" s="4" t="n">
        <f aca="false">G1428*I1428</f>
        <v>330</v>
      </c>
      <c r="M1428" s="4" t="n">
        <f aca="false">K1428-L1428</f>
        <v>479.73</v>
      </c>
      <c r="N1428" s="6" t="n">
        <f aca="false">IF(K1428=0,0,M1428/K1428)</f>
        <v>0.592456744840873</v>
      </c>
      <c r="O1428" s="4" t="n">
        <f aca="false">(G1428*H1428)-K1428</f>
        <v>89.97</v>
      </c>
      <c r="P1428" s="3" t="s">
        <v>21</v>
      </c>
    </row>
    <row r="1429" customFormat="false" ht="15" hidden="false" customHeight="false" outlineLevel="0" collapsed="false">
      <c r="A1429" s="7" t="n">
        <v>46071</v>
      </c>
      <c r="B1429" s="8" t="s">
        <v>58</v>
      </c>
      <c r="C1429" s="8" t="s">
        <v>58</v>
      </c>
      <c r="D1429" s="8" t="s">
        <v>78</v>
      </c>
      <c r="E1429" s="8" t="s">
        <v>79</v>
      </c>
      <c r="F1429" s="8" t="s">
        <v>20</v>
      </c>
      <c r="G1429" s="8" t="n">
        <v>21</v>
      </c>
      <c r="H1429" s="9" t="n">
        <v>39.99</v>
      </c>
      <c r="I1429" s="9" t="n">
        <v>16</v>
      </c>
      <c r="J1429" s="10" t="n">
        <v>0</v>
      </c>
      <c r="K1429" s="9" t="n">
        <f aca="false">G1429*H1429*(1-J1429)</f>
        <v>839.79</v>
      </c>
      <c r="L1429" s="9" t="n">
        <f aca="false">G1429*I1429</f>
        <v>336</v>
      </c>
      <c r="M1429" s="9" t="n">
        <f aca="false">K1429-L1429</f>
        <v>503.79</v>
      </c>
      <c r="N1429" s="11" t="n">
        <f aca="false">IF(K1429=0,0,M1429/K1429)</f>
        <v>0.599899974993749</v>
      </c>
      <c r="O1429" s="9" t="n">
        <f aca="false">(G1429*H1429)-K1429</f>
        <v>0</v>
      </c>
      <c r="P1429" s="8" t="s">
        <v>21</v>
      </c>
    </row>
    <row r="1430" customFormat="false" ht="15" hidden="false" customHeight="false" outlineLevel="0" collapsed="false">
      <c r="A1430" s="2" t="n">
        <v>46129</v>
      </c>
      <c r="B1430" s="3" t="s">
        <v>27</v>
      </c>
      <c r="C1430" s="3" t="s">
        <v>28</v>
      </c>
      <c r="D1430" s="3" t="s">
        <v>66</v>
      </c>
      <c r="E1430" s="3" t="s">
        <v>67</v>
      </c>
      <c r="F1430" s="3" t="s">
        <v>57</v>
      </c>
      <c r="G1430" s="3" t="n">
        <v>18</v>
      </c>
      <c r="H1430" s="4" t="n">
        <v>14.99</v>
      </c>
      <c r="I1430" s="4" t="n">
        <v>5.5</v>
      </c>
      <c r="J1430" s="5" t="n">
        <v>0.15</v>
      </c>
      <c r="K1430" s="4" t="n">
        <f aca="false">G1430*H1430*(1-J1430)</f>
        <v>229.347</v>
      </c>
      <c r="L1430" s="4" t="n">
        <f aca="false">G1430*I1430</f>
        <v>99</v>
      </c>
      <c r="M1430" s="4" t="n">
        <f aca="false">K1430-L1430</f>
        <v>130.347</v>
      </c>
      <c r="N1430" s="6" t="n">
        <f aca="false">IF(K1430=0,0,M1430/K1430)</f>
        <v>0.568339677432013</v>
      </c>
      <c r="O1430" s="4" t="n">
        <f aca="false">(G1430*H1430)-K1430</f>
        <v>40.473</v>
      </c>
      <c r="P1430" s="3" t="s">
        <v>21</v>
      </c>
    </row>
    <row r="1431" customFormat="false" ht="15" hidden="false" customHeight="false" outlineLevel="0" collapsed="false">
      <c r="A1431" s="7" t="n">
        <v>46056</v>
      </c>
      <c r="B1431" s="8" t="s">
        <v>16</v>
      </c>
      <c r="C1431" s="8" t="s">
        <v>17</v>
      </c>
      <c r="D1431" s="8" t="s">
        <v>93</v>
      </c>
      <c r="E1431" s="8" t="s">
        <v>94</v>
      </c>
      <c r="F1431" s="8" t="s">
        <v>34</v>
      </c>
      <c r="G1431" s="8" t="n">
        <v>22</v>
      </c>
      <c r="H1431" s="9" t="n">
        <v>29.99</v>
      </c>
      <c r="I1431" s="9" t="n">
        <v>9</v>
      </c>
      <c r="J1431" s="10" t="n">
        <v>0.1</v>
      </c>
      <c r="K1431" s="9" t="n">
        <f aca="false">G1431*H1431*(1-J1431)</f>
        <v>593.802</v>
      </c>
      <c r="L1431" s="9" t="n">
        <f aca="false">G1431*I1431</f>
        <v>198</v>
      </c>
      <c r="M1431" s="9" t="n">
        <f aca="false">K1431-L1431</f>
        <v>395.802</v>
      </c>
      <c r="N1431" s="11" t="n">
        <f aca="false">IF(K1431=0,0,M1431/K1431)</f>
        <v>0.666555518506169</v>
      </c>
      <c r="O1431" s="9" t="n">
        <f aca="false">(G1431*H1431)-K1431</f>
        <v>65.978</v>
      </c>
      <c r="P1431" s="8" t="s">
        <v>21</v>
      </c>
    </row>
    <row r="1432" customFormat="false" ht="15" hidden="false" customHeight="false" outlineLevel="0" collapsed="false">
      <c r="A1432" s="2" t="n">
        <v>46115</v>
      </c>
      <c r="B1432" s="3" t="s">
        <v>58</v>
      </c>
      <c r="C1432" s="3" t="s">
        <v>58</v>
      </c>
      <c r="D1432" s="3" t="s">
        <v>82</v>
      </c>
      <c r="E1432" s="3" t="s">
        <v>83</v>
      </c>
      <c r="F1432" s="3" t="s">
        <v>26</v>
      </c>
      <c r="G1432" s="3" t="n">
        <v>26</v>
      </c>
      <c r="H1432" s="4" t="n">
        <v>44.99</v>
      </c>
      <c r="I1432" s="4" t="n">
        <v>18</v>
      </c>
      <c r="J1432" s="5" t="n">
        <v>0.15</v>
      </c>
      <c r="K1432" s="4" t="n">
        <f aca="false">G1432*H1432*(1-J1432)</f>
        <v>994.279</v>
      </c>
      <c r="L1432" s="4" t="n">
        <f aca="false">G1432*I1432</f>
        <v>468</v>
      </c>
      <c r="M1432" s="4" t="n">
        <f aca="false">K1432-L1432</f>
        <v>526.279</v>
      </c>
      <c r="N1432" s="6" t="n">
        <f aca="false">IF(K1432=0,0,M1432/K1432)</f>
        <v>0.529307166298393</v>
      </c>
      <c r="O1432" s="4" t="n">
        <f aca="false">(G1432*H1432)-K1432</f>
        <v>175.461</v>
      </c>
      <c r="P1432" s="3" t="s">
        <v>21</v>
      </c>
    </row>
    <row r="1433" customFormat="false" ht="15" hidden="false" customHeight="false" outlineLevel="0" collapsed="false">
      <c r="A1433" s="7" t="n">
        <v>46076</v>
      </c>
      <c r="B1433" s="8" t="s">
        <v>27</v>
      </c>
      <c r="C1433" s="8" t="s">
        <v>28</v>
      </c>
      <c r="D1433" s="8" t="s">
        <v>24</v>
      </c>
      <c r="E1433" s="8" t="s">
        <v>25</v>
      </c>
      <c r="F1433" s="8" t="s">
        <v>26</v>
      </c>
      <c r="G1433" s="8" t="n">
        <v>25</v>
      </c>
      <c r="H1433" s="9" t="n">
        <v>54.99</v>
      </c>
      <c r="I1433" s="9" t="n">
        <v>24</v>
      </c>
      <c r="J1433" s="10" t="n">
        <v>0.2</v>
      </c>
      <c r="K1433" s="9" t="n">
        <f aca="false">G1433*H1433*(1-J1433)</f>
        <v>1099.8</v>
      </c>
      <c r="L1433" s="9" t="n">
        <f aca="false">G1433*I1433</f>
        <v>600</v>
      </c>
      <c r="M1433" s="9" t="n">
        <f aca="false">K1433-L1433</f>
        <v>499.8</v>
      </c>
      <c r="N1433" s="11" t="n">
        <f aca="false">IF(K1433=0,0,M1433/K1433)</f>
        <v>0.454446262956901</v>
      </c>
      <c r="O1433" s="9" t="n">
        <f aca="false">(G1433*H1433)-K1433</f>
        <v>274.95</v>
      </c>
      <c r="P1433" s="8" t="s">
        <v>21</v>
      </c>
    </row>
    <row r="1434" customFormat="false" ht="15" hidden="false" customHeight="false" outlineLevel="0" collapsed="false">
      <c r="A1434" s="2" t="n">
        <v>46052</v>
      </c>
      <c r="B1434" s="3" t="s">
        <v>22</v>
      </c>
      <c r="C1434" s="3" t="s">
        <v>23</v>
      </c>
      <c r="D1434" s="3" t="s">
        <v>93</v>
      </c>
      <c r="E1434" s="3" t="s">
        <v>94</v>
      </c>
      <c r="F1434" s="3" t="s">
        <v>34</v>
      </c>
      <c r="G1434" s="3" t="n">
        <v>7</v>
      </c>
      <c r="H1434" s="4" t="n">
        <v>29.99</v>
      </c>
      <c r="I1434" s="4" t="n">
        <v>9</v>
      </c>
      <c r="J1434" s="5" t="n">
        <v>0.1</v>
      </c>
      <c r="K1434" s="4" t="n">
        <f aca="false">G1434*H1434*(1-J1434)</f>
        <v>188.937</v>
      </c>
      <c r="L1434" s="4" t="n">
        <f aca="false">G1434*I1434</f>
        <v>63</v>
      </c>
      <c r="M1434" s="4" t="n">
        <f aca="false">K1434-L1434</f>
        <v>125.937</v>
      </c>
      <c r="N1434" s="6" t="n">
        <f aca="false">IF(K1434=0,0,M1434/K1434)</f>
        <v>0.666555518506169</v>
      </c>
      <c r="O1434" s="4" t="n">
        <f aca="false">(G1434*H1434)-K1434</f>
        <v>20.993</v>
      </c>
      <c r="P1434" s="3" t="s">
        <v>21</v>
      </c>
    </row>
    <row r="1435" customFormat="false" ht="15" hidden="false" customHeight="false" outlineLevel="0" collapsed="false">
      <c r="A1435" s="7" t="n">
        <v>46068</v>
      </c>
      <c r="B1435" s="8" t="s">
        <v>16</v>
      </c>
      <c r="C1435" s="8" t="s">
        <v>17</v>
      </c>
      <c r="D1435" s="8" t="s">
        <v>35</v>
      </c>
      <c r="E1435" s="8" t="s">
        <v>36</v>
      </c>
      <c r="F1435" s="8" t="s">
        <v>26</v>
      </c>
      <c r="G1435" s="8" t="n">
        <v>29</v>
      </c>
      <c r="H1435" s="9" t="n">
        <v>69.99</v>
      </c>
      <c r="I1435" s="9" t="n">
        <v>30</v>
      </c>
      <c r="J1435" s="10" t="n">
        <v>0</v>
      </c>
      <c r="K1435" s="9" t="n">
        <f aca="false">G1435*H1435*(1-J1435)</f>
        <v>2029.71</v>
      </c>
      <c r="L1435" s="9" t="n">
        <f aca="false">G1435*I1435</f>
        <v>870</v>
      </c>
      <c r="M1435" s="9" t="n">
        <f aca="false">K1435-L1435</f>
        <v>1159.71</v>
      </c>
      <c r="N1435" s="11" t="n">
        <f aca="false">IF(K1435=0,0,M1435/K1435)</f>
        <v>0.57136733819117</v>
      </c>
      <c r="O1435" s="9" t="n">
        <f aca="false">(G1435*H1435)-K1435</f>
        <v>0</v>
      </c>
      <c r="P1435" s="8" t="s">
        <v>21</v>
      </c>
    </row>
    <row r="1436" customFormat="false" ht="15" hidden="false" customHeight="false" outlineLevel="0" collapsed="false">
      <c r="A1436" s="2" t="n">
        <v>46082</v>
      </c>
      <c r="B1436" s="3" t="s">
        <v>27</v>
      </c>
      <c r="C1436" s="3" t="s">
        <v>28</v>
      </c>
      <c r="D1436" s="3" t="s">
        <v>93</v>
      </c>
      <c r="E1436" s="3" t="s">
        <v>94</v>
      </c>
      <c r="F1436" s="3" t="s">
        <v>34</v>
      </c>
      <c r="G1436" s="3" t="n">
        <v>1</v>
      </c>
      <c r="H1436" s="4" t="n">
        <v>29.99</v>
      </c>
      <c r="I1436" s="4" t="n">
        <v>9</v>
      </c>
      <c r="J1436" s="5" t="n">
        <v>0.1</v>
      </c>
      <c r="K1436" s="4" t="n">
        <f aca="false">G1436*H1436*(1-J1436)</f>
        <v>26.991</v>
      </c>
      <c r="L1436" s="4" t="n">
        <f aca="false">G1436*I1436</f>
        <v>9</v>
      </c>
      <c r="M1436" s="4" t="n">
        <f aca="false">K1436-L1436</f>
        <v>17.991</v>
      </c>
      <c r="N1436" s="6" t="n">
        <f aca="false">IF(K1436=0,0,M1436/K1436)</f>
        <v>0.666555518506169</v>
      </c>
      <c r="O1436" s="4" t="n">
        <f aca="false">(G1436*H1436)-K1436</f>
        <v>2.999</v>
      </c>
      <c r="P1436" s="3" t="s">
        <v>21</v>
      </c>
    </row>
    <row r="1437" customFormat="false" ht="15" hidden="false" customHeight="false" outlineLevel="0" collapsed="false">
      <c r="A1437" s="7" t="n">
        <v>46125</v>
      </c>
      <c r="B1437" s="8" t="s">
        <v>16</v>
      </c>
      <c r="C1437" s="8" t="s">
        <v>17</v>
      </c>
      <c r="D1437" s="8" t="s">
        <v>46</v>
      </c>
      <c r="E1437" s="8" t="s">
        <v>47</v>
      </c>
      <c r="F1437" s="8" t="s">
        <v>20</v>
      </c>
      <c r="G1437" s="8" t="n">
        <v>25</v>
      </c>
      <c r="H1437" s="9" t="n">
        <v>44.99</v>
      </c>
      <c r="I1437" s="9" t="n">
        <v>18</v>
      </c>
      <c r="J1437" s="10" t="n">
        <v>0.15</v>
      </c>
      <c r="K1437" s="9" t="n">
        <f aca="false">G1437*H1437*(1-J1437)</f>
        <v>956.0375</v>
      </c>
      <c r="L1437" s="9" t="n">
        <f aca="false">G1437*I1437</f>
        <v>450</v>
      </c>
      <c r="M1437" s="9" t="n">
        <f aca="false">K1437-L1437</f>
        <v>506.0375</v>
      </c>
      <c r="N1437" s="11" t="n">
        <f aca="false">IF(K1437=0,0,M1437/K1437)</f>
        <v>0.529307166298393</v>
      </c>
      <c r="O1437" s="9" t="n">
        <f aca="false">(G1437*H1437)-K1437</f>
        <v>168.7125</v>
      </c>
      <c r="P1437" s="8" t="s">
        <v>21</v>
      </c>
    </row>
    <row r="1438" customFormat="false" ht="15" hidden="false" customHeight="false" outlineLevel="0" collapsed="false">
      <c r="A1438" s="2" t="n">
        <v>46071</v>
      </c>
      <c r="B1438" s="3" t="s">
        <v>31</v>
      </c>
      <c r="C1438" s="3" t="s">
        <v>23</v>
      </c>
      <c r="D1438" s="3" t="s">
        <v>90</v>
      </c>
      <c r="E1438" s="3" t="s">
        <v>91</v>
      </c>
      <c r="F1438" s="3" t="s">
        <v>26</v>
      </c>
      <c r="G1438" s="3" t="n">
        <v>17</v>
      </c>
      <c r="H1438" s="4" t="n">
        <v>29.99</v>
      </c>
      <c r="I1438" s="4" t="n">
        <v>11</v>
      </c>
      <c r="J1438" s="5" t="n">
        <v>0</v>
      </c>
      <c r="K1438" s="4" t="n">
        <f aca="false">G1438*H1438*(1-J1438)</f>
        <v>509.83</v>
      </c>
      <c r="L1438" s="4" t="n">
        <f aca="false">G1438*I1438</f>
        <v>187</v>
      </c>
      <c r="M1438" s="4" t="n">
        <f aca="false">K1438-L1438</f>
        <v>322.83</v>
      </c>
      <c r="N1438" s="6" t="n">
        <f aca="false">IF(K1438=0,0,M1438/K1438)</f>
        <v>0.633211070356786</v>
      </c>
      <c r="O1438" s="4" t="n">
        <f aca="false">(G1438*H1438)-K1438</f>
        <v>0</v>
      </c>
      <c r="P1438" s="3" t="s">
        <v>21</v>
      </c>
    </row>
    <row r="1439" customFormat="false" ht="15" hidden="false" customHeight="false" outlineLevel="0" collapsed="false">
      <c r="A1439" s="7" t="n">
        <v>46036</v>
      </c>
      <c r="B1439" s="8" t="s">
        <v>41</v>
      </c>
      <c r="C1439" s="8" t="s">
        <v>28</v>
      </c>
      <c r="D1439" s="8" t="s">
        <v>42</v>
      </c>
      <c r="E1439" s="8" t="s">
        <v>43</v>
      </c>
      <c r="F1439" s="8" t="s">
        <v>34</v>
      </c>
      <c r="G1439" s="8" t="n">
        <v>18</v>
      </c>
      <c r="H1439" s="9" t="n">
        <v>11.99</v>
      </c>
      <c r="I1439" s="9" t="n">
        <v>3.5</v>
      </c>
      <c r="J1439" s="10" t="n">
        <v>0.1</v>
      </c>
      <c r="K1439" s="9" t="n">
        <f aca="false">G1439*H1439*(1-J1439)</f>
        <v>194.238</v>
      </c>
      <c r="L1439" s="9" t="n">
        <f aca="false">G1439*I1439</f>
        <v>63</v>
      </c>
      <c r="M1439" s="9" t="n">
        <f aca="false">K1439-L1439</f>
        <v>131.238</v>
      </c>
      <c r="N1439" s="11" t="n">
        <f aca="false">IF(K1439=0,0,M1439/K1439)</f>
        <v>0.675655638958391</v>
      </c>
      <c r="O1439" s="9" t="n">
        <f aca="false">(G1439*H1439)-K1439</f>
        <v>21.582</v>
      </c>
      <c r="P1439" s="8" t="s">
        <v>21</v>
      </c>
    </row>
    <row r="1440" customFormat="false" ht="15" hidden="false" customHeight="false" outlineLevel="0" collapsed="false">
      <c r="A1440" s="2" t="n">
        <v>46102</v>
      </c>
      <c r="B1440" s="3" t="s">
        <v>41</v>
      </c>
      <c r="C1440" s="3" t="s">
        <v>28</v>
      </c>
      <c r="D1440" s="3" t="s">
        <v>93</v>
      </c>
      <c r="E1440" s="3" t="s">
        <v>94</v>
      </c>
      <c r="F1440" s="3" t="s">
        <v>34</v>
      </c>
      <c r="G1440" s="3" t="n">
        <v>30</v>
      </c>
      <c r="H1440" s="4" t="n">
        <v>29.99</v>
      </c>
      <c r="I1440" s="4" t="n">
        <v>9</v>
      </c>
      <c r="J1440" s="5" t="n">
        <v>0</v>
      </c>
      <c r="K1440" s="4" t="n">
        <f aca="false">G1440*H1440*(1-J1440)</f>
        <v>899.7</v>
      </c>
      <c r="L1440" s="4" t="n">
        <f aca="false">G1440*I1440</f>
        <v>270</v>
      </c>
      <c r="M1440" s="4" t="n">
        <f aca="false">K1440-L1440</f>
        <v>629.7</v>
      </c>
      <c r="N1440" s="6" t="n">
        <f aca="false">IF(K1440=0,0,M1440/K1440)</f>
        <v>0.699899966655552</v>
      </c>
      <c r="O1440" s="4" t="n">
        <f aca="false">(G1440*H1440)-K1440</f>
        <v>0</v>
      </c>
      <c r="P1440" s="3" t="s">
        <v>21</v>
      </c>
    </row>
    <row r="1441" customFormat="false" ht="15" hidden="false" customHeight="false" outlineLevel="0" collapsed="false">
      <c r="A1441" s="7" t="n">
        <v>46034</v>
      </c>
      <c r="B1441" s="8" t="s">
        <v>31</v>
      </c>
      <c r="C1441" s="8" t="s">
        <v>23</v>
      </c>
      <c r="D1441" s="8" t="s">
        <v>80</v>
      </c>
      <c r="E1441" s="8" t="s">
        <v>81</v>
      </c>
      <c r="F1441" s="8" t="s">
        <v>57</v>
      </c>
      <c r="G1441" s="8" t="n">
        <v>22</v>
      </c>
      <c r="H1441" s="9" t="n">
        <v>17.99</v>
      </c>
      <c r="I1441" s="9" t="n">
        <v>6.5</v>
      </c>
      <c r="J1441" s="10" t="n">
        <v>0</v>
      </c>
      <c r="K1441" s="9" t="n">
        <f aca="false">G1441*H1441*(1-J1441)</f>
        <v>395.78</v>
      </c>
      <c r="L1441" s="9" t="n">
        <f aca="false">G1441*I1441</f>
        <v>143</v>
      </c>
      <c r="M1441" s="9" t="n">
        <f aca="false">K1441-L1441</f>
        <v>252.78</v>
      </c>
      <c r="N1441" s="11" t="n">
        <f aca="false">IF(K1441=0,0,M1441/K1441)</f>
        <v>0.638688160088938</v>
      </c>
      <c r="O1441" s="9" t="n">
        <f aca="false">(G1441*H1441)-K1441</f>
        <v>0</v>
      </c>
      <c r="P1441" s="8" t="s">
        <v>21</v>
      </c>
    </row>
    <row r="1442" customFormat="false" ht="15" hidden="false" customHeight="false" outlineLevel="0" collapsed="false">
      <c r="A1442" s="2" t="n">
        <v>46095</v>
      </c>
      <c r="B1442" s="3" t="s">
        <v>27</v>
      </c>
      <c r="C1442" s="3" t="s">
        <v>28</v>
      </c>
      <c r="D1442" s="3" t="s">
        <v>93</v>
      </c>
      <c r="E1442" s="3" t="s">
        <v>94</v>
      </c>
      <c r="F1442" s="3" t="s">
        <v>34</v>
      </c>
      <c r="G1442" s="3" t="n">
        <v>20</v>
      </c>
      <c r="H1442" s="4" t="n">
        <v>29.99</v>
      </c>
      <c r="I1442" s="4" t="n">
        <v>9</v>
      </c>
      <c r="J1442" s="5" t="n">
        <v>0</v>
      </c>
      <c r="K1442" s="4" t="n">
        <f aca="false">G1442*H1442*(1-J1442)</f>
        <v>599.8</v>
      </c>
      <c r="L1442" s="4" t="n">
        <f aca="false">G1442*I1442</f>
        <v>180</v>
      </c>
      <c r="M1442" s="4" t="n">
        <f aca="false">K1442-L1442</f>
        <v>419.8</v>
      </c>
      <c r="N1442" s="6" t="n">
        <f aca="false">IF(K1442=0,0,M1442/K1442)</f>
        <v>0.699899966655552</v>
      </c>
      <c r="O1442" s="4" t="n">
        <f aca="false">(G1442*H1442)-K1442</f>
        <v>0</v>
      </c>
      <c r="P1442" s="3" t="s">
        <v>21</v>
      </c>
    </row>
    <row r="1443" customFormat="false" ht="15" hidden="false" customHeight="false" outlineLevel="0" collapsed="false">
      <c r="A1443" s="7" t="n">
        <v>46092</v>
      </c>
      <c r="B1443" s="8" t="s">
        <v>27</v>
      </c>
      <c r="C1443" s="8" t="s">
        <v>28</v>
      </c>
      <c r="D1443" s="8" t="s">
        <v>32</v>
      </c>
      <c r="E1443" s="8" t="s">
        <v>33</v>
      </c>
      <c r="F1443" s="8" t="s">
        <v>34</v>
      </c>
      <c r="G1443" s="8" t="n">
        <v>10</v>
      </c>
      <c r="H1443" s="9" t="n">
        <v>18.99</v>
      </c>
      <c r="I1443" s="9" t="n">
        <v>6</v>
      </c>
      <c r="J1443" s="10" t="n">
        <v>0.15</v>
      </c>
      <c r="K1443" s="9" t="n">
        <f aca="false">G1443*H1443*(1-J1443)</f>
        <v>161.415</v>
      </c>
      <c r="L1443" s="9" t="n">
        <f aca="false">G1443*I1443</f>
        <v>60</v>
      </c>
      <c r="M1443" s="9" t="n">
        <f aca="false">K1443-L1443</f>
        <v>101.415</v>
      </c>
      <c r="N1443" s="11" t="n">
        <f aca="false">IF(K1443=0,0,M1443/K1443)</f>
        <v>0.628287333890902</v>
      </c>
      <c r="O1443" s="9" t="n">
        <f aca="false">(G1443*H1443)-K1443</f>
        <v>28.485</v>
      </c>
      <c r="P1443" s="8" t="s">
        <v>21</v>
      </c>
    </row>
    <row r="1444" customFormat="false" ht="15" hidden="false" customHeight="false" outlineLevel="0" collapsed="false">
      <c r="A1444" s="2" t="n">
        <v>46121</v>
      </c>
      <c r="B1444" s="3" t="s">
        <v>31</v>
      </c>
      <c r="C1444" s="3" t="s">
        <v>23</v>
      </c>
      <c r="D1444" s="3" t="s">
        <v>48</v>
      </c>
      <c r="E1444" s="3" t="s">
        <v>49</v>
      </c>
      <c r="F1444" s="3" t="s">
        <v>50</v>
      </c>
      <c r="G1444" s="3" t="n">
        <v>26</v>
      </c>
      <c r="H1444" s="4" t="n">
        <v>59.99</v>
      </c>
      <c r="I1444" s="4" t="n">
        <v>20</v>
      </c>
      <c r="J1444" s="5" t="n">
        <v>0.1</v>
      </c>
      <c r="K1444" s="4" t="n">
        <f aca="false">G1444*H1444*(1-J1444)</f>
        <v>1403.766</v>
      </c>
      <c r="L1444" s="4" t="n">
        <f aca="false">G1444*I1444</f>
        <v>520</v>
      </c>
      <c r="M1444" s="4" t="n">
        <f aca="false">K1444-L1444</f>
        <v>883.766</v>
      </c>
      <c r="N1444" s="6" t="n">
        <f aca="false">IF(K1444=0,0,M1444/K1444)</f>
        <v>0.629567890944787</v>
      </c>
      <c r="O1444" s="4" t="n">
        <f aca="false">(G1444*H1444)-K1444</f>
        <v>155.974</v>
      </c>
      <c r="P1444" s="3" t="s">
        <v>21</v>
      </c>
    </row>
    <row r="1445" customFormat="false" ht="15" hidden="false" customHeight="false" outlineLevel="0" collapsed="false">
      <c r="A1445" s="7" t="n">
        <v>46069</v>
      </c>
      <c r="B1445" s="8" t="s">
        <v>41</v>
      </c>
      <c r="C1445" s="8" t="s">
        <v>28</v>
      </c>
      <c r="D1445" s="8" t="s">
        <v>29</v>
      </c>
      <c r="E1445" s="8" t="s">
        <v>30</v>
      </c>
      <c r="F1445" s="8" t="s">
        <v>20</v>
      </c>
      <c r="G1445" s="8" t="n">
        <v>21</v>
      </c>
      <c r="H1445" s="9" t="n">
        <v>89.99</v>
      </c>
      <c r="I1445" s="9" t="n">
        <v>42</v>
      </c>
      <c r="J1445" s="10" t="n">
        <v>0.2</v>
      </c>
      <c r="K1445" s="9" t="n">
        <f aca="false">G1445*H1445*(1-J1445)</f>
        <v>1511.832</v>
      </c>
      <c r="L1445" s="9" t="n">
        <f aca="false">G1445*I1445</f>
        <v>882</v>
      </c>
      <c r="M1445" s="9" t="n">
        <f aca="false">K1445-L1445</f>
        <v>629.832</v>
      </c>
      <c r="N1445" s="11" t="n">
        <f aca="false">IF(K1445=0,0,M1445/K1445)</f>
        <v>0.416601844649406</v>
      </c>
      <c r="O1445" s="9" t="n">
        <f aca="false">(G1445*H1445)-K1445</f>
        <v>377.958</v>
      </c>
      <c r="P1445" s="8" t="s">
        <v>21</v>
      </c>
    </row>
    <row r="1446" customFormat="false" ht="15" hidden="false" customHeight="false" outlineLevel="0" collapsed="false">
      <c r="A1446" s="2" t="n">
        <v>46092</v>
      </c>
      <c r="B1446" s="3" t="s">
        <v>27</v>
      </c>
      <c r="C1446" s="3" t="s">
        <v>28</v>
      </c>
      <c r="D1446" s="3" t="s">
        <v>72</v>
      </c>
      <c r="E1446" s="3" t="s">
        <v>73</v>
      </c>
      <c r="F1446" s="3" t="s">
        <v>57</v>
      </c>
      <c r="G1446" s="3" t="n">
        <v>15</v>
      </c>
      <c r="H1446" s="4" t="n">
        <v>19.99</v>
      </c>
      <c r="I1446" s="4" t="n">
        <v>7</v>
      </c>
      <c r="J1446" s="5" t="n">
        <v>0</v>
      </c>
      <c r="K1446" s="4" t="n">
        <f aca="false">G1446*H1446*(1-J1446)</f>
        <v>299.85</v>
      </c>
      <c r="L1446" s="4" t="n">
        <f aca="false">G1446*I1446</f>
        <v>105</v>
      </c>
      <c r="M1446" s="4" t="n">
        <f aca="false">K1446-L1446</f>
        <v>194.85</v>
      </c>
      <c r="N1446" s="6" t="n">
        <f aca="false">IF(K1446=0,0,M1446/K1446)</f>
        <v>0.649824912456228</v>
      </c>
      <c r="O1446" s="4" t="n">
        <f aca="false">(G1446*H1446)-K1446</f>
        <v>0</v>
      </c>
      <c r="P1446" s="3" t="s">
        <v>21</v>
      </c>
    </row>
    <row r="1447" customFormat="false" ht="15" hidden="false" customHeight="false" outlineLevel="0" collapsed="false">
      <c r="A1447" s="7" t="n">
        <v>46023</v>
      </c>
      <c r="B1447" s="8" t="s">
        <v>27</v>
      </c>
      <c r="C1447" s="8" t="s">
        <v>28</v>
      </c>
      <c r="D1447" s="8" t="s">
        <v>82</v>
      </c>
      <c r="E1447" s="8" t="s">
        <v>83</v>
      </c>
      <c r="F1447" s="8" t="s">
        <v>26</v>
      </c>
      <c r="G1447" s="8" t="n">
        <v>7</v>
      </c>
      <c r="H1447" s="9" t="n">
        <v>44.99</v>
      </c>
      <c r="I1447" s="9" t="n">
        <v>18</v>
      </c>
      <c r="J1447" s="10" t="n">
        <v>0.1</v>
      </c>
      <c r="K1447" s="9" t="n">
        <f aca="false">G1447*H1447*(1-J1447)</f>
        <v>283.437</v>
      </c>
      <c r="L1447" s="9" t="n">
        <f aca="false">G1447*I1447</f>
        <v>126</v>
      </c>
      <c r="M1447" s="9" t="n">
        <f aca="false">K1447-L1447</f>
        <v>157.437</v>
      </c>
      <c r="N1447" s="11" t="n">
        <f aca="false">IF(K1447=0,0,M1447/K1447)</f>
        <v>0.555456768170705</v>
      </c>
      <c r="O1447" s="9" t="n">
        <f aca="false">(G1447*H1447)-K1447</f>
        <v>31.493</v>
      </c>
      <c r="P1447" s="8" t="s">
        <v>21</v>
      </c>
    </row>
    <row r="1448" customFormat="false" ht="15" hidden="false" customHeight="false" outlineLevel="0" collapsed="false">
      <c r="A1448" s="2" t="n">
        <v>46103</v>
      </c>
      <c r="B1448" s="3" t="s">
        <v>64</v>
      </c>
      <c r="C1448" s="3" t="s">
        <v>65</v>
      </c>
      <c r="D1448" s="3" t="s">
        <v>55</v>
      </c>
      <c r="E1448" s="3" t="s">
        <v>56</v>
      </c>
      <c r="F1448" s="3" t="s">
        <v>57</v>
      </c>
      <c r="G1448" s="3" t="n">
        <v>21</v>
      </c>
      <c r="H1448" s="4" t="n">
        <v>29.99</v>
      </c>
      <c r="I1448" s="4" t="n">
        <v>11</v>
      </c>
      <c r="J1448" s="5" t="n">
        <v>0.3</v>
      </c>
      <c r="K1448" s="4" t="n">
        <f aca="false">G1448*H1448*(1-J1448)</f>
        <v>440.853</v>
      </c>
      <c r="L1448" s="4" t="n">
        <f aca="false">G1448*I1448</f>
        <v>231</v>
      </c>
      <c r="M1448" s="4" t="n">
        <f aca="false">K1448-L1448</f>
        <v>209.853</v>
      </c>
      <c r="N1448" s="6" t="n">
        <f aca="false">IF(K1448=0,0,M1448/K1448)</f>
        <v>0.476015814795408</v>
      </c>
      <c r="O1448" s="4" t="n">
        <f aca="false">(G1448*H1448)-K1448</f>
        <v>188.937</v>
      </c>
      <c r="P1448" s="3" t="s">
        <v>21</v>
      </c>
    </row>
    <row r="1449" customFormat="false" ht="15" hidden="false" customHeight="false" outlineLevel="0" collapsed="false">
      <c r="A1449" s="7" t="n">
        <v>46038</v>
      </c>
      <c r="B1449" s="8" t="s">
        <v>16</v>
      </c>
      <c r="C1449" s="8" t="s">
        <v>17</v>
      </c>
      <c r="D1449" s="8" t="s">
        <v>24</v>
      </c>
      <c r="E1449" s="8" t="s">
        <v>25</v>
      </c>
      <c r="F1449" s="8" t="s">
        <v>26</v>
      </c>
      <c r="G1449" s="8" t="n">
        <v>7</v>
      </c>
      <c r="H1449" s="9" t="n">
        <v>59.99</v>
      </c>
      <c r="I1449" s="9" t="n">
        <v>24</v>
      </c>
      <c r="J1449" s="10" t="n">
        <v>0.15</v>
      </c>
      <c r="K1449" s="9" t="n">
        <f aca="false">G1449*H1449*(1-J1449)</f>
        <v>356.9405</v>
      </c>
      <c r="L1449" s="9" t="n">
        <f aca="false">G1449*I1449</f>
        <v>168</v>
      </c>
      <c r="M1449" s="9" t="n">
        <f aca="false">K1449-L1449</f>
        <v>188.9405</v>
      </c>
      <c r="N1449" s="11" t="n">
        <f aca="false">IF(K1449=0,0,M1449/K1449)</f>
        <v>0.529333320259259</v>
      </c>
      <c r="O1449" s="9" t="n">
        <f aca="false">(G1449*H1449)-K1449</f>
        <v>62.9895</v>
      </c>
      <c r="P1449" s="8" t="s">
        <v>21</v>
      </c>
    </row>
    <row r="1450" customFormat="false" ht="15" hidden="false" customHeight="false" outlineLevel="0" collapsed="false">
      <c r="A1450" s="2" t="n">
        <v>46071</v>
      </c>
      <c r="B1450" s="3" t="s">
        <v>41</v>
      </c>
      <c r="C1450" s="3" t="s">
        <v>28</v>
      </c>
      <c r="D1450" s="3" t="s">
        <v>53</v>
      </c>
      <c r="E1450" s="3" t="s">
        <v>54</v>
      </c>
      <c r="F1450" s="3" t="s">
        <v>50</v>
      </c>
      <c r="G1450" s="3" t="n">
        <v>11</v>
      </c>
      <c r="H1450" s="4" t="n">
        <v>22.99</v>
      </c>
      <c r="I1450" s="4" t="n">
        <v>8</v>
      </c>
      <c r="J1450" s="5" t="n">
        <v>0.1</v>
      </c>
      <c r="K1450" s="4" t="n">
        <f aca="false">G1450*H1450*(1-J1450)</f>
        <v>227.601</v>
      </c>
      <c r="L1450" s="4" t="n">
        <f aca="false">G1450*I1450</f>
        <v>88</v>
      </c>
      <c r="M1450" s="4" t="n">
        <f aca="false">K1450-L1450</f>
        <v>139.601</v>
      </c>
      <c r="N1450" s="6" t="n">
        <f aca="false">IF(K1450=0,0,M1450/K1450)</f>
        <v>0.613358465033106</v>
      </c>
      <c r="O1450" s="4" t="n">
        <f aca="false">(G1450*H1450)-K1450</f>
        <v>25.289</v>
      </c>
      <c r="P1450" s="3" t="s">
        <v>21</v>
      </c>
    </row>
    <row r="1451" customFormat="false" ht="15" hidden="false" customHeight="false" outlineLevel="0" collapsed="false">
      <c r="A1451" s="7" t="n">
        <v>46080</v>
      </c>
      <c r="B1451" s="8" t="s">
        <v>37</v>
      </c>
      <c r="C1451" s="8" t="s">
        <v>17</v>
      </c>
      <c r="D1451" s="8" t="s">
        <v>80</v>
      </c>
      <c r="E1451" s="8" t="s">
        <v>81</v>
      </c>
      <c r="F1451" s="8" t="s">
        <v>57</v>
      </c>
      <c r="G1451" s="8" t="n">
        <v>2</v>
      </c>
      <c r="H1451" s="9" t="n">
        <v>17.99</v>
      </c>
      <c r="I1451" s="9" t="n">
        <v>6.5</v>
      </c>
      <c r="J1451" s="10" t="n">
        <v>0.3</v>
      </c>
      <c r="K1451" s="9" t="n">
        <f aca="false">G1451*H1451*(1-J1451)</f>
        <v>25.186</v>
      </c>
      <c r="L1451" s="9" t="n">
        <f aca="false">G1451*I1451</f>
        <v>13</v>
      </c>
      <c r="M1451" s="9" t="n">
        <f aca="false">K1451-L1451</f>
        <v>12.186</v>
      </c>
      <c r="N1451" s="11" t="n">
        <f aca="false">IF(K1451=0,0,M1451/K1451)</f>
        <v>0.483840228698483</v>
      </c>
      <c r="O1451" s="9" t="n">
        <f aca="false">(G1451*H1451)-K1451</f>
        <v>10.794</v>
      </c>
      <c r="P1451" s="8" t="s">
        <v>21</v>
      </c>
    </row>
    <row r="1452" customFormat="false" ht="15" hidden="false" customHeight="false" outlineLevel="0" collapsed="false">
      <c r="A1452" s="2" t="n">
        <v>46115</v>
      </c>
      <c r="B1452" s="3" t="s">
        <v>16</v>
      </c>
      <c r="C1452" s="3" t="s">
        <v>17</v>
      </c>
      <c r="D1452" s="3" t="s">
        <v>24</v>
      </c>
      <c r="E1452" s="3" t="s">
        <v>25</v>
      </c>
      <c r="F1452" s="3" t="s">
        <v>26</v>
      </c>
      <c r="G1452" s="3" t="n">
        <v>19</v>
      </c>
      <c r="H1452" s="4" t="n">
        <v>54.99</v>
      </c>
      <c r="I1452" s="4" t="n">
        <v>24</v>
      </c>
      <c r="J1452" s="5" t="n">
        <v>0.1</v>
      </c>
      <c r="K1452" s="4" t="n">
        <f aca="false">G1452*H1452*(1-J1452)</f>
        <v>940.329</v>
      </c>
      <c r="L1452" s="4" t="n">
        <f aca="false">G1452*I1452</f>
        <v>456</v>
      </c>
      <c r="M1452" s="4" t="n">
        <f aca="false">K1452-L1452</f>
        <v>484.329</v>
      </c>
      <c r="N1452" s="6" t="n">
        <f aca="false">IF(K1452=0,0,M1452/K1452)</f>
        <v>0.515063344850579</v>
      </c>
      <c r="O1452" s="4" t="n">
        <f aca="false">(G1452*H1452)-K1452</f>
        <v>104.481</v>
      </c>
      <c r="P1452" s="3" t="s">
        <v>21</v>
      </c>
    </row>
    <row r="1453" customFormat="false" ht="15" hidden="false" customHeight="false" outlineLevel="0" collapsed="false">
      <c r="A1453" s="7" t="n">
        <v>46107</v>
      </c>
      <c r="B1453" s="8" t="s">
        <v>58</v>
      </c>
      <c r="C1453" s="8" t="s">
        <v>58</v>
      </c>
      <c r="D1453" s="8" t="s">
        <v>66</v>
      </c>
      <c r="E1453" s="8" t="s">
        <v>67</v>
      </c>
      <c r="F1453" s="8" t="s">
        <v>57</v>
      </c>
      <c r="G1453" s="8" t="n">
        <v>18</v>
      </c>
      <c r="H1453" s="9" t="n">
        <v>14.99</v>
      </c>
      <c r="I1453" s="9" t="n">
        <v>5.5</v>
      </c>
      <c r="J1453" s="10" t="n">
        <v>0</v>
      </c>
      <c r="K1453" s="9" t="n">
        <f aca="false">G1453*H1453*(1-J1453)</f>
        <v>269.82</v>
      </c>
      <c r="L1453" s="9" t="n">
        <f aca="false">G1453*I1453</f>
        <v>99</v>
      </c>
      <c r="M1453" s="9" t="n">
        <f aca="false">K1453-L1453</f>
        <v>170.82</v>
      </c>
      <c r="N1453" s="11" t="n">
        <f aca="false">IF(K1453=0,0,M1453/K1453)</f>
        <v>0.633088725817211</v>
      </c>
      <c r="O1453" s="9" t="n">
        <f aca="false">(G1453*H1453)-K1453</f>
        <v>0</v>
      </c>
      <c r="P1453" s="8" t="s">
        <v>21</v>
      </c>
    </row>
    <row r="1454" customFormat="false" ht="15" hidden="false" customHeight="false" outlineLevel="0" collapsed="false">
      <c r="A1454" s="2" t="n">
        <v>46111</v>
      </c>
      <c r="B1454" s="3" t="s">
        <v>37</v>
      </c>
      <c r="C1454" s="3" t="s">
        <v>17</v>
      </c>
      <c r="D1454" s="3" t="s">
        <v>78</v>
      </c>
      <c r="E1454" s="3" t="s">
        <v>79</v>
      </c>
      <c r="F1454" s="3" t="s">
        <v>20</v>
      </c>
      <c r="G1454" s="3" t="n">
        <v>24</v>
      </c>
      <c r="H1454" s="4" t="n">
        <v>39.99</v>
      </c>
      <c r="I1454" s="4" t="n">
        <v>16</v>
      </c>
      <c r="J1454" s="5" t="n">
        <v>0.15</v>
      </c>
      <c r="K1454" s="4" t="n">
        <f aca="false">G1454*H1454*(1-J1454)</f>
        <v>815.796</v>
      </c>
      <c r="L1454" s="4" t="n">
        <f aca="false">G1454*I1454</f>
        <v>384</v>
      </c>
      <c r="M1454" s="4" t="n">
        <f aca="false">K1454-L1454</f>
        <v>431.796</v>
      </c>
      <c r="N1454" s="6" t="n">
        <f aca="false">IF(K1454=0,0,M1454/K1454)</f>
        <v>0.529294088227939</v>
      </c>
      <c r="O1454" s="4" t="n">
        <f aca="false">(G1454*H1454)-K1454</f>
        <v>143.964</v>
      </c>
      <c r="P1454" s="3" t="s">
        <v>21</v>
      </c>
    </row>
    <row r="1455" customFormat="false" ht="15" hidden="false" customHeight="false" outlineLevel="0" collapsed="false">
      <c r="A1455" s="7" t="n">
        <v>46051</v>
      </c>
      <c r="B1455" s="8" t="s">
        <v>27</v>
      </c>
      <c r="C1455" s="8" t="s">
        <v>28</v>
      </c>
      <c r="D1455" s="8" t="s">
        <v>80</v>
      </c>
      <c r="E1455" s="8" t="s">
        <v>81</v>
      </c>
      <c r="F1455" s="8" t="s">
        <v>57</v>
      </c>
      <c r="G1455" s="8" t="n">
        <v>26</v>
      </c>
      <c r="H1455" s="9" t="n">
        <v>17.99</v>
      </c>
      <c r="I1455" s="9" t="n">
        <v>6.5</v>
      </c>
      <c r="J1455" s="10" t="n">
        <v>0.05</v>
      </c>
      <c r="K1455" s="9" t="n">
        <f aca="false">G1455*H1455*(1-J1455)</f>
        <v>444.353</v>
      </c>
      <c r="L1455" s="9" t="n">
        <f aca="false">G1455*I1455</f>
        <v>169</v>
      </c>
      <c r="M1455" s="9" t="n">
        <f aca="false">K1455-L1455</f>
        <v>275.353</v>
      </c>
      <c r="N1455" s="11" t="n">
        <f aca="false">IF(K1455=0,0,M1455/K1455)</f>
        <v>0.61967174746204</v>
      </c>
      <c r="O1455" s="9" t="n">
        <f aca="false">(G1455*H1455)-K1455</f>
        <v>23.387</v>
      </c>
      <c r="P1455" s="8" t="s">
        <v>21</v>
      </c>
    </row>
    <row r="1456" customFormat="false" ht="15" hidden="false" customHeight="false" outlineLevel="0" collapsed="false">
      <c r="A1456" s="2" t="n">
        <v>46041</v>
      </c>
      <c r="B1456" s="3" t="s">
        <v>27</v>
      </c>
      <c r="C1456" s="3" t="s">
        <v>28</v>
      </c>
      <c r="D1456" s="3" t="s">
        <v>38</v>
      </c>
      <c r="E1456" s="3" t="s">
        <v>39</v>
      </c>
      <c r="F1456" s="3" t="s">
        <v>40</v>
      </c>
      <c r="G1456" s="3" t="n">
        <v>12</v>
      </c>
      <c r="H1456" s="4" t="n">
        <v>12.99</v>
      </c>
      <c r="I1456" s="4" t="n">
        <v>4</v>
      </c>
      <c r="J1456" s="5" t="n">
        <v>0.1</v>
      </c>
      <c r="K1456" s="4" t="n">
        <f aca="false">G1456*H1456*(1-J1456)</f>
        <v>140.292</v>
      </c>
      <c r="L1456" s="4" t="n">
        <f aca="false">G1456*I1456</f>
        <v>48</v>
      </c>
      <c r="M1456" s="4" t="n">
        <f aca="false">K1456-L1456</f>
        <v>92.292</v>
      </c>
      <c r="N1456" s="6" t="n">
        <f aca="false">IF(K1456=0,0,M1456/K1456)</f>
        <v>0.657856470789496</v>
      </c>
      <c r="O1456" s="4" t="n">
        <f aca="false">(G1456*H1456)-K1456</f>
        <v>15.588</v>
      </c>
      <c r="P1456" s="3" t="s">
        <v>21</v>
      </c>
    </row>
    <row r="1457" customFormat="false" ht="15" hidden="false" customHeight="false" outlineLevel="0" collapsed="false">
      <c r="A1457" s="7" t="n">
        <v>46063</v>
      </c>
      <c r="B1457" s="8" t="s">
        <v>22</v>
      </c>
      <c r="C1457" s="8" t="s">
        <v>23</v>
      </c>
      <c r="D1457" s="8" t="s">
        <v>66</v>
      </c>
      <c r="E1457" s="8" t="s">
        <v>67</v>
      </c>
      <c r="F1457" s="8" t="s">
        <v>57</v>
      </c>
      <c r="G1457" s="8" t="n">
        <v>24</v>
      </c>
      <c r="H1457" s="9" t="n">
        <v>14.99</v>
      </c>
      <c r="I1457" s="9" t="n">
        <v>5.5</v>
      </c>
      <c r="J1457" s="10" t="n">
        <v>0.3</v>
      </c>
      <c r="K1457" s="9" t="n">
        <f aca="false">G1457*H1457*(1-J1457)</f>
        <v>251.832</v>
      </c>
      <c r="L1457" s="9" t="n">
        <f aca="false">G1457*I1457</f>
        <v>132</v>
      </c>
      <c r="M1457" s="9" t="n">
        <f aca="false">K1457-L1457</f>
        <v>119.832</v>
      </c>
      <c r="N1457" s="11" t="n">
        <f aca="false">IF(K1457=0,0,M1457/K1457)</f>
        <v>0.475841036881731</v>
      </c>
      <c r="O1457" s="9" t="n">
        <f aca="false">(G1457*H1457)-K1457</f>
        <v>107.928</v>
      </c>
      <c r="P1457" s="8" t="s">
        <v>21</v>
      </c>
    </row>
    <row r="1458" customFormat="false" ht="15" hidden="false" customHeight="false" outlineLevel="0" collapsed="false">
      <c r="A1458" s="2" t="n">
        <v>46112</v>
      </c>
      <c r="B1458" s="3" t="s">
        <v>27</v>
      </c>
      <c r="C1458" s="3" t="s">
        <v>28</v>
      </c>
      <c r="D1458" s="3" t="s">
        <v>32</v>
      </c>
      <c r="E1458" s="3" t="s">
        <v>33</v>
      </c>
      <c r="F1458" s="3" t="s">
        <v>34</v>
      </c>
      <c r="G1458" s="3" t="n">
        <v>14</v>
      </c>
      <c r="H1458" s="4" t="n">
        <v>18.99</v>
      </c>
      <c r="I1458" s="4" t="n">
        <v>6</v>
      </c>
      <c r="J1458" s="5" t="n">
        <v>0</v>
      </c>
      <c r="K1458" s="4" t="n">
        <f aca="false">G1458*H1458*(1-J1458)</f>
        <v>265.86</v>
      </c>
      <c r="L1458" s="4" t="n">
        <f aca="false">G1458*I1458</f>
        <v>84</v>
      </c>
      <c r="M1458" s="4" t="n">
        <f aca="false">K1458-L1458</f>
        <v>181.86</v>
      </c>
      <c r="N1458" s="6" t="n">
        <f aca="false">IF(K1458=0,0,M1458/K1458)</f>
        <v>0.684044233807267</v>
      </c>
      <c r="O1458" s="4" t="n">
        <f aca="false">(G1458*H1458)-K1458</f>
        <v>0</v>
      </c>
      <c r="P1458" s="3" t="s">
        <v>21</v>
      </c>
    </row>
    <row r="1459" customFormat="false" ht="15" hidden="false" customHeight="false" outlineLevel="0" collapsed="false">
      <c r="A1459" s="7" t="n">
        <v>46060</v>
      </c>
      <c r="B1459" s="8" t="s">
        <v>41</v>
      </c>
      <c r="C1459" s="8" t="s">
        <v>28</v>
      </c>
      <c r="D1459" s="8" t="s">
        <v>93</v>
      </c>
      <c r="E1459" s="8" t="s">
        <v>94</v>
      </c>
      <c r="F1459" s="8" t="s">
        <v>34</v>
      </c>
      <c r="G1459" s="8" t="n">
        <v>14</v>
      </c>
      <c r="H1459" s="9" t="n">
        <v>29.99</v>
      </c>
      <c r="I1459" s="9" t="n">
        <v>9</v>
      </c>
      <c r="J1459" s="10" t="n">
        <v>0</v>
      </c>
      <c r="K1459" s="9" t="n">
        <f aca="false">G1459*H1459*(1-J1459)</f>
        <v>419.86</v>
      </c>
      <c r="L1459" s="9" t="n">
        <f aca="false">G1459*I1459</f>
        <v>126</v>
      </c>
      <c r="M1459" s="9" t="n">
        <f aca="false">K1459-L1459</f>
        <v>293.86</v>
      </c>
      <c r="N1459" s="11" t="n">
        <f aca="false">IF(K1459=0,0,M1459/K1459)</f>
        <v>0.699899966655552</v>
      </c>
      <c r="O1459" s="9" t="n">
        <f aca="false">(G1459*H1459)-K1459</f>
        <v>0</v>
      </c>
      <c r="P1459" s="8" t="s">
        <v>21</v>
      </c>
    </row>
    <row r="1460" customFormat="false" ht="15" hidden="false" customHeight="false" outlineLevel="0" collapsed="false">
      <c r="A1460" s="2" t="n">
        <v>46092</v>
      </c>
      <c r="B1460" s="3" t="s">
        <v>31</v>
      </c>
      <c r="C1460" s="3" t="s">
        <v>23</v>
      </c>
      <c r="D1460" s="3" t="s">
        <v>42</v>
      </c>
      <c r="E1460" s="3" t="s">
        <v>43</v>
      </c>
      <c r="F1460" s="3" t="s">
        <v>34</v>
      </c>
      <c r="G1460" s="3" t="n">
        <v>2</v>
      </c>
      <c r="H1460" s="4" t="n">
        <v>11.99</v>
      </c>
      <c r="I1460" s="4" t="n">
        <v>3.5</v>
      </c>
      <c r="J1460" s="5" t="n">
        <v>0.1</v>
      </c>
      <c r="K1460" s="4" t="n">
        <f aca="false">G1460*H1460*(1-J1460)</f>
        <v>21.582</v>
      </c>
      <c r="L1460" s="4" t="n">
        <f aca="false">G1460*I1460</f>
        <v>7</v>
      </c>
      <c r="M1460" s="4" t="n">
        <f aca="false">K1460-L1460</f>
        <v>14.582</v>
      </c>
      <c r="N1460" s="6" t="n">
        <f aca="false">IF(K1460=0,0,M1460/K1460)</f>
        <v>0.675655638958391</v>
      </c>
      <c r="O1460" s="4" t="n">
        <f aca="false">(G1460*H1460)-K1460</f>
        <v>2.398</v>
      </c>
      <c r="P1460" s="3" t="s">
        <v>21</v>
      </c>
    </row>
    <row r="1461" customFormat="false" ht="15" hidden="false" customHeight="false" outlineLevel="0" collapsed="false">
      <c r="A1461" s="7" t="n">
        <v>46080</v>
      </c>
      <c r="B1461" s="8" t="s">
        <v>27</v>
      </c>
      <c r="C1461" s="8" t="s">
        <v>28</v>
      </c>
      <c r="D1461" s="8" t="s">
        <v>24</v>
      </c>
      <c r="E1461" s="8" t="s">
        <v>25</v>
      </c>
      <c r="F1461" s="8" t="s">
        <v>26</v>
      </c>
      <c r="G1461" s="8" t="n">
        <v>25</v>
      </c>
      <c r="H1461" s="9" t="n">
        <v>54.99</v>
      </c>
      <c r="I1461" s="9" t="n">
        <v>24</v>
      </c>
      <c r="J1461" s="10" t="n">
        <v>0</v>
      </c>
      <c r="K1461" s="9" t="n">
        <f aca="false">G1461*H1461*(1-J1461)</f>
        <v>1374.75</v>
      </c>
      <c r="L1461" s="9" t="n">
        <f aca="false">G1461*I1461</f>
        <v>600</v>
      </c>
      <c r="M1461" s="9" t="n">
        <f aca="false">K1461-L1461</f>
        <v>774.75</v>
      </c>
      <c r="N1461" s="11" t="n">
        <f aca="false">IF(K1461=0,0,M1461/K1461)</f>
        <v>0.563557010365521</v>
      </c>
      <c r="O1461" s="9" t="n">
        <f aca="false">(G1461*H1461)-K1461</f>
        <v>0</v>
      </c>
      <c r="P1461" s="8" t="s">
        <v>21</v>
      </c>
    </row>
    <row r="1462" customFormat="false" ht="15" hidden="false" customHeight="false" outlineLevel="0" collapsed="false">
      <c r="A1462" s="2" t="n">
        <v>46088</v>
      </c>
      <c r="B1462" s="3" t="s">
        <v>37</v>
      </c>
      <c r="C1462" s="3" t="s">
        <v>17</v>
      </c>
      <c r="D1462" s="3" t="s">
        <v>93</v>
      </c>
      <c r="E1462" s="3" t="s">
        <v>94</v>
      </c>
      <c r="F1462" s="3" t="s">
        <v>34</v>
      </c>
      <c r="G1462" s="3" t="n">
        <v>13</v>
      </c>
      <c r="H1462" s="4" t="n">
        <v>29.99</v>
      </c>
      <c r="I1462" s="4" t="n">
        <v>9</v>
      </c>
      <c r="J1462" s="5" t="n">
        <v>0.05</v>
      </c>
      <c r="K1462" s="4" t="n">
        <f aca="false">G1462*H1462*(1-J1462)</f>
        <v>370.3765</v>
      </c>
      <c r="L1462" s="4" t="n">
        <f aca="false">G1462*I1462</f>
        <v>117</v>
      </c>
      <c r="M1462" s="4" t="n">
        <f aca="false">K1462-L1462</f>
        <v>253.3765</v>
      </c>
      <c r="N1462" s="6" t="n">
        <f aca="false">IF(K1462=0,0,M1462/K1462)</f>
        <v>0.684105228058476</v>
      </c>
      <c r="O1462" s="4" t="n">
        <f aca="false">(G1462*H1462)-K1462</f>
        <v>19.4935</v>
      </c>
      <c r="P1462" s="3" t="s">
        <v>21</v>
      </c>
    </row>
    <row r="1463" customFormat="false" ht="15" hidden="false" customHeight="false" outlineLevel="0" collapsed="false">
      <c r="A1463" s="7" t="n">
        <v>46086</v>
      </c>
      <c r="B1463" s="8" t="s">
        <v>41</v>
      </c>
      <c r="C1463" s="8" t="s">
        <v>28</v>
      </c>
      <c r="D1463" s="8" t="s">
        <v>61</v>
      </c>
      <c r="E1463" s="8" t="s">
        <v>62</v>
      </c>
      <c r="F1463" s="8" t="s">
        <v>34</v>
      </c>
      <c r="G1463" s="8" t="n">
        <v>10</v>
      </c>
      <c r="H1463" s="9" t="n">
        <v>12.99</v>
      </c>
      <c r="I1463" s="9" t="n">
        <v>4.5</v>
      </c>
      <c r="J1463" s="10" t="n">
        <v>0.2</v>
      </c>
      <c r="K1463" s="9" t="n">
        <f aca="false">G1463*H1463*(1-J1463)</f>
        <v>103.92</v>
      </c>
      <c r="L1463" s="9" t="n">
        <f aca="false">G1463*I1463</f>
        <v>45</v>
      </c>
      <c r="M1463" s="9" t="n">
        <f aca="false">K1463-L1463</f>
        <v>58.92</v>
      </c>
      <c r="N1463" s="11" t="n">
        <f aca="false">IF(K1463=0,0,M1463/K1463)</f>
        <v>0.566974595842956</v>
      </c>
      <c r="O1463" s="9" t="n">
        <f aca="false">(G1463*H1463)-K1463</f>
        <v>25.98</v>
      </c>
      <c r="P1463" s="8" t="s">
        <v>21</v>
      </c>
    </row>
    <row r="1464" customFormat="false" ht="15" hidden="false" customHeight="false" outlineLevel="0" collapsed="false">
      <c r="A1464" s="2" t="n">
        <v>46100</v>
      </c>
      <c r="B1464" s="3" t="s">
        <v>22</v>
      </c>
      <c r="C1464" s="3" t="s">
        <v>23</v>
      </c>
      <c r="D1464" s="3" t="s">
        <v>24</v>
      </c>
      <c r="E1464" s="3" t="s">
        <v>25</v>
      </c>
      <c r="F1464" s="3" t="s">
        <v>26</v>
      </c>
      <c r="G1464" s="3" t="n">
        <v>15</v>
      </c>
      <c r="H1464" s="4" t="n">
        <v>54.99</v>
      </c>
      <c r="I1464" s="4" t="n">
        <v>24</v>
      </c>
      <c r="J1464" s="5" t="n">
        <v>0</v>
      </c>
      <c r="K1464" s="4" t="n">
        <f aca="false">G1464*H1464*(1-J1464)</f>
        <v>824.85</v>
      </c>
      <c r="L1464" s="4" t="n">
        <f aca="false">G1464*I1464</f>
        <v>360</v>
      </c>
      <c r="M1464" s="4" t="n">
        <f aca="false">K1464-L1464</f>
        <v>464.85</v>
      </c>
      <c r="N1464" s="6" t="n">
        <f aca="false">IF(K1464=0,0,M1464/K1464)</f>
        <v>0.563557010365521</v>
      </c>
      <c r="O1464" s="4" t="n">
        <f aca="false">(G1464*H1464)-K1464</f>
        <v>0</v>
      </c>
      <c r="P1464" s="3" t="s">
        <v>21</v>
      </c>
    </row>
    <row r="1465" customFormat="false" ht="15" hidden="false" customHeight="false" outlineLevel="0" collapsed="false">
      <c r="A1465" s="7" t="n">
        <v>46024</v>
      </c>
      <c r="B1465" s="8" t="s">
        <v>64</v>
      </c>
      <c r="C1465" s="8" t="s">
        <v>65</v>
      </c>
      <c r="D1465" s="8" t="s">
        <v>93</v>
      </c>
      <c r="E1465" s="8" t="s">
        <v>94</v>
      </c>
      <c r="F1465" s="8" t="s">
        <v>34</v>
      </c>
      <c r="G1465" s="8" t="n">
        <v>28</v>
      </c>
      <c r="H1465" s="9" t="n">
        <v>29.99</v>
      </c>
      <c r="I1465" s="9" t="n">
        <v>9</v>
      </c>
      <c r="J1465" s="10" t="n">
        <v>0</v>
      </c>
      <c r="K1465" s="9" t="n">
        <f aca="false">G1465*H1465*(1-J1465)</f>
        <v>839.72</v>
      </c>
      <c r="L1465" s="9" t="n">
        <f aca="false">G1465*I1465</f>
        <v>252</v>
      </c>
      <c r="M1465" s="9" t="n">
        <f aca="false">K1465-L1465</f>
        <v>587.72</v>
      </c>
      <c r="N1465" s="11" t="n">
        <f aca="false">IF(K1465=0,0,M1465/K1465)</f>
        <v>0.699899966655552</v>
      </c>
      <c r="O1465" s="9" t="n">
        <f aca="false">(G1465*H1465)-K1465</f>
        <v>0</v>
      </c>
      <c r="P1465" s="8" t="s">
        <v>21</v>
      </c>
    </row>
    <row r="1466" customFormat="false" ht="15" hidden="false" customHeight="false" outlineLevel="0" collapsed="false">
      <c r="A1466" s="2" t="n">
        <v>46105</v>
      </c>
      <c r="B1466" s="3" t="s">
        <v>41</v>
      </c>
      <c r="C1466" s="3" t="s">
        <v>28</v>
      </c>
      <c r="D1466" s="3" t="s">
        <v>88</v>
      </c>
      <c r="E1466" s="3" t="s">
        <v>89</v>
      </c>
      <c r="F1466" s="3" t="s">
        <v>57</v>
      </c>
      <c r="G1466" s="3" t="n">
        <v>28</v>
      </c>
      <c r="H1466" s="4" t="n">
        <v>12.99</v>
      </c>
      <c r="I1466" s="4" t="n">
        <v>4.5</v>
      </c>
      <c r="J1466" s="5" t="n">
        <v>0</v>
      </c>
      <c r="K1466" s="4" t="n">
        <f aca="false">G1466*H1466*(1-J1466)</f>
        <v>363.72</v>
      </c>
      <c r="L1466" s="4" t="n">
        <f aca="false">G1466*I1466</f>
        <v>126</v>
      </c>
      <c r="M1466" s="4" t="n">
        <f aca="false">K1466-L1466</f>
        <v>237.72</v>
      </c>
      <c r="N1466" s="6" t="n">
        <f aca="false">IF(K1466=0,0,M1466/K1466)</f>
        <v>0.653579676674365</v>
      </c>
      <c r="O1466" s="4" t="n">
        <f aca="false">(G1466*H1466)-K1466</f>
        <v>0</v>
      </c>
      <c r="P1466" s="3" t="s">
        <v>21</v>
      </c>
    </row>
    <row r="1467" customFormat="false" ht="15" hidden="false" customHeight="false" outlineLevel="0" collapsed="false">
      <c r="A1467" s="7" t="n">
        <v>46084</v>
      </c>
      <c r="B1467" s="8" t="s">
        <v>41</v>
      </c>
      <c r="C1467" s="8" t="s">
        <v>28</v>
      </c>
      <c r="D1467" s="8" t="s">
        <v>46</v>
      </c>
      <c r="E1467" s="8" t="s">
        <v>47</v>
      </c>
      <c r="F1467" s="8" t="s">
        <v>20</v>
      </c>
      <c r="G1467" s="8" t="n">
        <v>19</v>
      </c>
      <c r="H1467" s="9" t="n">
        <v>44.99</v>
      </c>
      <c r="I1467" s="9" t="n">
        <v>18</v>
      </c>
      <c r="J1467" s="10" t="n">
        <v>0.15</v>
      </c>
      <c r="K1467" s="9" t="n">
        <f aca="false">G1467*H1467*(1-J1467)</f>
        <v>726.5885</v>
      </c>
      <c r="L1467" s="9" t="n">
        <f aca="false">G1467*I1467</f>
        <v>342</v>
      </c>
      <c r="M1467" s="9" t="n">
        <f aca="false">K1467-L1467</f>
        <v>384.5885</v>
      </c>
      <c r="N1467" s="11" t="n">
        <f aca="false">IF(K1467=0,0,M1467/K1467)</f>
        <v>0.529307166298393</v>
      </c>
      <c r="O1467" s="9" t="n">
        <f aca="false">(G1467*H1467)-K1467</f>
        <v>128.2215</v>
      </c>
      <c r="P1467" s="8" t="s">
        <v>21</v>
      </c>
    </row>
    <row r="1468" customFormat="false" ht="15" hidden="false" customHeight="false" outlineLevel="0" collapsed="false">
      <c r="A1468" s="2" t="n">
        <v>46121</v>
      </c>
      <c r="B1468" s="3" t="s">
        <v>31</v>
      </c>
      <c r="C1468" s="3" t="s">
        <v>23</v>
      </c>
      <c r="D1468" s="3" t="s">
        <v>46</v>
      </c>
      <c r="E1468" s="3" t="s">
        <v>47</v>
      </c>
      <c r="F1468" s="3" t="s">
        <v>20</v>
      </c>
      <c r="G1468" s="3" t="n">
        <v>8</v>
      </c>
      <c r="H1468" s="4" t="n">
        <v>56.39</v>
      </c>
      <c r="I1468" s="4" t="n">
        <v>18</v>
      </c>
      <c r="J1468" s="5" t="n">
        <v>0</v>
      </c>
      <c r="K1468" s="4" t="n">
        <f aca="false">G1468*H1468*(1-J1468)</f>
        <v>451.12</v>
      </c>
      <c r="L1468" s="4" t="n">
        <f aca="false">G1468*I1468</f>
        <v>144</v>
      </c>
      <c r="M1468" s="4" t="n">
        <f aca="false">K1468-L1468</f>
        <v>307.12</v>
      </c>
      <c r="N1468" s="6" t="n">
        <f aca="false">IF(K1468=0,0,M1468/K1468)</f>
        <v>0.680794467104097</v>
      </c>
      <c r="O1468" s="4" t="n">
        <f aca="false">(G1468*H1468)-K1468</f>
        <v>0</v>
      </c>
      <c r="P1468" s="12" t="s">
        <v>63</v>
      </c>
    </row>
    <row r="1469" customFormat="false" ht="15" hidden="false" customHeight="false" outlineLevel="0" collapsed="false">
      <c r="A1469" s="7" t="n">
        <v>46131</v>
      </c>
      <c r="B1469" s="8" t="s">
        <v>64</v>
      </c>
      <c r="C1469" s="8" t="s">
        <v>65</v>
      </c>
      <c r="D1469" s="8" t="s">
        <v>51</v>
      </c>
      <c r="E1469" s="8" t="s">
        <v>52</v>
      </c>
      <c r="F1469" s="8" t="s">
        <v>50</v>
      </c>
      <c r="G1469" s="8" t="n">
        <v>30</v>
      </c>
      <c r="H1469" s="9" t="n">
        <v>19.99</v>
      </c>
      <c r="I1469" s="9" t="n">
        <v>7</v>
      </c>
      <c r="J1469" s="10" t="n">
        <v>0</v>
      </c>
      <c r="K1469" s="9" t="n">
        <f aca="false">G1469*H1469*(1-J1469)</f>
        <v>599.7</v>
      </c>
      <c r="L1469" s="9" t="n">
        <f aca="false">G1469*I1469</f>
        <v>210</v>
      </c>
      <c r="M1469" s="9" t="n">
        <f aca="false">K1469-L1469</f>
        <v>389.7</v>
      </c>
      <c r="N1469" s="11" t="n">
        <f aca="false">IF(K1469=0,0,M1469/K1469)</f>
        <v>0.649824912456228</v>
      </c>
      <c r="O1469" s="9" t="n">
        <f aca="false">(G1469*H1469)-K1469</f>
        <v>0</v>
      </c>
      <c r="P1469" s="8" t="s">
        <v>21</v>
      </c>
    </row>
    <row r="1470" customFormat="false" ht="15" hidden="false" customHeight="false" outlineLevel="0" collapsed="false">
      <c r="A1470" s="2" t="n">
        <v>46062</v>
      </c>
      <c r="B1470" s="3" t="s">
        <v>41</v>
      </c>
      <c r="C1470" s="3" t="s">
        <v>28</v>
      </c>
      <c r="D1470" s="3" t="s">
        <v>86</v>
      </c>
      <c r="E1470" s="3" t="s">
        <v>87</v>
      </c>
      <c r="F1470" s="3" t="s">
        <v>40</v>
      </c>
      <c r="G1470" s="3" t="n">
        <v>30</v>
      </c>
      <c r="H1470" s="4" t="n">
        <v>16.99</v>
      </c>
      <c r="I1470" s="4" t="n">
        <v>5.5</v>
      </c>
      <c r="J1470" s="5" t="n">
        <v>0</v>
      </c>
      <c r="K1470" s="4" t="n">
        <f aca="false">G1470*H1470*(1-J1470)</f>
        <v>509.7</v>
      </c>
      <c r="L1470" s="4" t="n">
        <f aca="false">G1470*I1470</f>
        <v>165</v>
      </c>
      <c r="M1470" s="4" t="n">
        <f aca="false">K1470-L1470</f>
        <v>344.7</v>
      </c>
      <c r="N1470" s="6" t="n">
        <f aca="false">IF(K1470=0,0,M1470/K1470)</f>
        <v>0.676280164802825</v>
      </c>
      <c r="O1470" s="4" t="n">
        <f aca="false">(G1470*H1470)-K1470</f>
        <v>0</v>
      </c>
      <c r="P1470" s="3" t="s">
        <v>21</v>
      </c>
    </row>
    <row r="1471" customFormat="false" ht="15" hidden="false" customHeight="false" outlineLevel="0" collapsed="false">
      <c r="A1471" s="7" t="n">
        <v>46076</v>
      </c>
      <c r="B1471" s="8" t="s">
        <v>64</v>
      </c>
      <c r="C1471" s="8" t="s">
        <v>65</v>
      </c>
      <c r="D1471" s="8" t="s">
        <v>48</v>
      </c>
      <c r="E1471" s="8" t="s">
        <v>49</v>
      </c>
      <c r="F1471" s="8" t="s">
        <v>50</v>
      </c>
      <c r="G1471" s="8" t="n">
        <v>18</v>
      </c>
      <c r="H1471" s="9" t="n">
        <v>54.99</v>
      </c>
      <c r="I1471" s="9" t="n">
        <v>20</v>
      </c>
      <c r="J1471" s="10" t="n">
        <v>0.15</v>
      </c>
      <c r="K1471" s="9" t="n">
        <f aca="false">G1471*H1471*(1-J1471)</f>
        <v>841.347</v>
      </c>
      <c r="L1471" s="9" t="n">
        <f aca="false">G1471*I1471</f>
        <v>360</v>
      </c>
      <c r="M1471" s="9" t="n">
        <f aca="false">K1471-L1471</f>
        <v>481.347</v>
      </c>
      <c r="N1471" s="11" t="n">
        <f aca="false">IF(K1471=0,0,M1471/K1471)</f>
        <v>0.572114716044628</v>
      </c>
      <c r="O1471" s="9" t="n">
        <f aca="false">(G1471*H1471)-K1471</f>
        <v>148.473</v>
      </c>
      <c r="P1471" s="8" t="s">
        <v>21</v>
      </c>
    </row>
    <row r="1472" customFormat="false" ht="15" hidden="false" customHeight="false" outlineLevel="0" collapsed="false">
      <c r="A1472" s="2" t="n">
        <v>46086</v>
      </c>
      <c r="B1472" s="3" t="s">
        <v>64</v>
      </c>
      <c r="C1472" s="3" t="s">
        <v>65</v>
      </c>
      <c r="D1472" s="3" t="s">
        <v>76</v>
      </c>
      <c r="E1472" s="3" t="s">
        <v>77</v>
      </c>
      <c r="F1472" s="3" t="s">
        <v>34</v>
      </c>
      <c r="G1472" s="3" t="n">
        <v>16</v>
      </c>
      <c r="H1472" s="4" t="n">
        <v>49.99</v>
      </c>
      <c r="I1472" s="4" t="n">
        <v>14</v>
      </c>
      <c r="J1472" s="5" t="n">
        <v>0.1</v>
      </c>
      <c r="K1472" s="4" t="n">
        <f aca="false">G1472*H1472*(1-J1472)</f>
        <v>719.856</v>
      </c>
      <c r="L1472" s="4" t="n">
        <f aca="false">G1472*I1472</f>
        <v>224</v>
      </c>
      <c r="M1472" s="4" t="n">
        <f aca="false">K1472-L1472</f>
        <v>495.856</v>
      </c>
      <c r="N1472" s="6" t="n">
        <f aca="false">IF(K1472=0,0,M1472/K1472)</f>
        <v>0.688826654219733</v>
      </c>
      <c r="O1472" s="4" t="n">
        <f aca="false">(G1472*H1472)-K1472</f>
        <v>79.984</v>
      </c>
      <c r="P1472" s="3" t="s">
        <v>21</v>
      </c>
    </row>
    <row r="1473" customFormat="false" ht="15" hidden="false" customHeight="false" outlineLevel="0" collapsed="false">
      <c r="A1473" s="7" t="n">
        <v>46108</v>
      </c>
      <c r="B1473" s="8" t="s">
        <v>31</v>
      </c>
      <c r="C1473" s="8" t="s">
        <v>23</v>
      </c>
      <c r="D1473" s="8" t="s">
        <v>68</v>
      </c>
      <c r="E1473" s="8" t="s">
        <v>69</v>
      </c>
      <c r="F1473" s="8" t="s">
        <v>40</v>
      </c>
      <c r="G1473" s="8" t="n">
        <v>25</v>
      </c>
      <c r="H1473" s="9" t="n">
        <v>24.99</v>
      </c>
      <c r="I1473" s="9" t="n">
        <v>9</v>
      </c>
      <c r="J1473" s="10" t="n">
        <v>0.2</v>
      </c>
      <c r="K1473" s="9" t="n">
        <f aca="false">G1473*H1473*(1-J1473)</f>
        <v>499.8</v>
      </c>
      <c r="L1473" s="9" t="n">
        <f aca="false">G1473*I1473</f>
        <v>225</v>
      </c>
      <c r="M1473" s="9" t="n">
        <f aca="false">K1473-L1473</f>
        <v>274.8</v>
      </c>
      <c r="N1473" s="11" t="n">
        <f aca="false">IF(K1473=0,0,M1473/K1473)</f>
        <v>0.549819927971189</v>
      </c>
      <c r="O1473" s="9" t="n">
        <f aca="false">(G1473*H1473)-K1473</f>
        <v>124.95</v>
      </c>
      <c r="P1473" s="8" t="s">
        <v>21</v>
      </c>
    </row>
    <row r="1474" customFormat="false" ht="15" hidden="false" customHeight="false" outlineLevel="0" collapsed="false">
      <c r="A1474" s="2" t="n">
        <v>46079</v>
      </c>
      <c r="B1474" s="3" t="s">
        <v>16</v>
      </c>
      <c r="C1474" s="3" t="s">
        <v>17</v>
      </c>
      <c r="D1474" s="3" t="s">
        <v>61</v>
      </c>
      <c r="E1474" s="3" t="s">
        <v>62</v>
      </c>
      <c r="F1474" s="3" t="s">
        <v>34</v>
      </c>
      <c r="G1474" s="3" t="n">
        <v>10</v>
      </c>
      <c r="H1474" s="4" t="n">
        <v>12.99</v>
      </c>
      <c r="I1474" s="4" t="n">
        <v>4.5</v>
      </c>
      <c r="J1474" s="5" t="n">
        <v>0</v>
      </c>
      <c r="K1474" s="4" t="n">
        <f aca="false">G1474*H1474*(1-J1474)</f>
        <v>129.9</v>
      </c>
      <c r="L1474" s="4" t="n">
        <f aca="false">G1474*I1474</f>
        <v>45</v>
      </c>
      <c r="M1474" s="4" t="n">
        <f aca="false">K1474-L1474</f>
        <v>84.9</v>
      </c>
      <c r="N1474" s="6" t="n">
        <f aca="false">IF(K1474=0,0,M1474/K1474)</f>
        <v>0.653579676674365</v>
      </c>
      <c r="O1474" s="4" t="n">
        <f aca="false">(G1474*H1474)-K1474</f>
        <v>0</v>
      </c>
      <c r="P1474" s="3" t="s">
        <v>21</v>
      </c>
    </row>
    <row r="1475" customFormat="false" ht="15" hidden="false" customHeight="false" outlineLevel="0" collapsed="false">
      <c r="A1475" s="7" t="n">
        <v>46100</v>
      </c>
      <c r="B1475" s="8" t="s">
        <v>31</v>
      </c>
      <c r="C1475" s="8" t="s">
        <v>23</v>
      </c>
      <c r="D1475" s="8" t="s">
        <v>72</v>
      </c>
      <c r="E1475" s="8" t="s">
        <v>73</v>
      </c>
      <c r="F1475" s="8" t="s">
        <v>57</v>
      </c>
      <c r="G1475" s="8" t="n">
        <v>7</v>
      </c>
      <c r="H1475" s="9" t="n">
        <v>19.99</v>
      </c>
      <c r="I1475" s="9" t="n">
        <v>7</v>
      </c>
      <c r="J1475" s="10" t="n">
        <v>0.3</v>
      </c>
      <c r="K1475" s="9" t="n">
        <f aca="false">G1475*H1475*(1-J1475)</f>
        <v>97.951</v>
      </c>
      <c r="L1475" s="9" t="n">
        <f aca="false">G1475*I1475</f>
        <v>49</v>
      </c>
      <c r="M1475" s="9" t="n">
        <f aca="false">K1475-L1475</f>
        <v>48.951</v>
      </c>
      <c r="N1475" s="11" t="n">
        <f aca="false">IF(K1475=0,0,M1475/K1475)</f>
        <v>0.499749874937469</v>
      </c>
      <c r="O1475" s="9" t="n">
        <f aca="false">(G1475*H1475)-K1475</f>
        <v>41.979</v>
      </c>
      <c r="P1475" s="8" t="s">
        <v>21</v>
      </c>
    </row>
    <row r="1476" customFormat="false" ht="15" hidden="false" customHeight="false" outlineLevel="0" collapsed="false">
      <c r="A1476" s="2" t="n">
        <v>46049</v>
      </c>
      <c r="B1476" s="3" t="s">
        <v>58</v>
      </c>
      <c r="C1476" s="3" t="s">
        <v>58</v>
      </c>
      <c r="D1476" s="3" t="s">
        <v>48</v>
      </c>
      <c r="E1476" s="3" t="s">
        <v>49</v>
      </c>
      <c r="F1476" s="3" t="s">
        <v>50</v>
      </c>
      <c r="G1476" s="3" t="n">
        <v>8</v>
      </c>
      <c r="H1476" s="4" t="n">
        <v>54.99</v>
      </c>
      <c r="I1476" s="4" t="n">
        <v>20</v>
      </c>
      <c r="J1476" s="5" t="n">
        <v>0</v>
      </c>
      <c r="K1476" s="4" t="n">
        <f aca="false">G1476*H1476*(1-J1476)</f>
        <v>439.92</v>
      </c>
      <c r="L1476" s="4" t="n">
        <f aca="false">G1476*I1476</f>
        <v>160</v>
      </c>
      <c r="M1476" s="4" t="n">
        <f aca="false">K1476-L1476</f>
        <v>279.92</v>
      </c>
      <c r="N1476" s="6" t="n">
        <f aca="false">IF(K1476=0,0,M1476/K1476)</f>
        <v>0.636297508637934</v>
      </c>
      <c r="O1476" s="4" t="n">
        <f aca="false">(G1476*H1476)-K1476</f>
        <v>0</v>
      </c>
      <c r="P1476" s="3" t="s">
        <v>21</v>
      </c>
    </row>
    <row r="1477" customFormat="false" ht="15" hidden="false" customHeight="false" outlineLevel="0" collapsed="false">
      <c r="A1477" s="7" t="n">
        <v>46079</v>
      </c>
      <c r="B1477" s="8" t="s">
        <v>16</v>
      </c>
      <c r="C1477" s="8" t="s">
        <v>17</v>
      </c>
      <c r="D1477" s="8" t="s">
        <v>51</v>
      </c>
      <c r="E1477" s="8" t="s">
        <v>52</v>
      </c>
      <c r="F1477" s="8" t="s">
        <v>50</v>
      </c>
      <c r="G1477" s="8" t="n">
        <v>12</v>
      </c>
      <c r="H1477" s="9" t="n">
        <v>19.99</v>
      </c>
      <c r="I1477" s="9" t="n">
        <v>7</v>
      </c>
      <c r="J1477" s="10" t="n">
        <v>0.05</v>
      </c>
      <c r="K1477" s="9" t="n">
        <f aca="false">G1477*H1477*(1-J1477)</f>
        <v>227.886</v>
      </c>
      <c r="L1477" s="9" t="n">
        <f aca="false">G1477*I1477</f>
        <v>84</v>
      </c>
      <c r="M1477" s="9" t="n">
        <f aca="false">K1477-L1477</f>
        <v>143.886</v>
      </c>
      <c r="N1477" s="11" t="n">
        <f aca="false">IF(K1477=0,0,M1477/K1477)</f>
        <v>0.631394644690766</v>
      </c>
      <c r="O1477" s="9" t="n">
        <f aca="false">(G1477*H1477)-K1477</f>
        <v>11.994</v>
      </c>
      <c r="P1477" s="8" t="s">
        <v>21</v>
      </c>
    </row>
    <row r="1478" customFormat="false" ht="15" hidden="false" customHeight="false" outlineLevel="0" collapsed="false">
      <c r="A1478" s="2" t="n">
        <v>46043</v>
      </c>
      <c r="B1478" s="3" t="s">
        <v>31</v>
      </c>
      <c r="C1478" s="3" t="s">
        <v>23</v>
      </c>
      <c r="D1478" s="3" t="s">
        <v>70</v>
      </c>
      <c r="E1478" s="3" t="s">
        <v>71</v>
      </c>
      <c r="F1478" s="3" t="s">
        <v>20</v>
      </c>
      <c r="G1478" s="3" t="n">
        <v>28</v>
      </c>
      <c r="H1478" s="4" t="n">
        <v>49.99</v>
      </c>
      <c r="I1478" s="4" t="n">
        <v>19</v>
      </c>
      <c r="J1478" s="5" t="n">
        <v>0.25</v>
      </c>
      <c r="K1478" s="4" t="n">
        <f aca="false">G1478*H1478*(1-J1478)</f>
        <v>1049.79</v>
      </c>
      <c r="L1478" s="4" t="n">
        <f aca="false">G1478*I1478</f>
        <v>532</v>
      </c>
      <c r="M1478" s="4" t="n">
        <f aca="false">K1478-L1478</f>
        <v>517.79</v>
      </c>
      <c r="N1478" s="6" t="n">
        <f aca="false">IF(K1478=0,0,M1478/K1478)</f>
        <v>0.493231979729279</v>
      </c>
      <c r="O1478" s="4" t="n">
        <f aca="false">(G1478*H1478)-K1478</f>
        <v>349.93</v>
      </c>
      <c r="P1478" s="3" t="s">
        <v>21</v>
      </c>
    </row>
    <row r="1479" customFormat="false" ht="15" hidden="false" customHeight="false" outlineLevel="0" collapsed="false">
      <c r="A1479" s="7" t="n">
        <v>46077</v>
      </c>
      <c r="B1479" s="8" t="s">
        <v>64</v>
      </c>
      <c r="C1479" s="8" t="s">
        <v>65</v>
      </c>
      <c r="D1479" s="8" t="s">
        <v>44</v>
      </c>
      <c r="E1479" s="8" t="s">
        <v>45</v>
      </c>
      <c r="F1479" s="8" t="s">
        <v>40</v>
      </c>
      <c r="G1479" s="8" t="n">
        <v>8</v>
      </c>
      <c r="H1479" s="9" t="n">
        <v>29.99</v>
      </c>
      <c r="I1479" s="9" t="n">
        <v>11</v>
      </c>
      <c r="J1479" s="10" t="n">
        <v>0</v>
      </c>
      <c r="K1479" s="9" t="n">
        <f aca="false">G1479*H1479*(1-J1479)</f>
        <v>239.92</v>
      </c>
      <c r="L1479" s="9" t="n">
        <f aca="false">G1479*I1479</f>
        <v>88</v>
      </c>
      <c r="M1479" s="9" t="n">
        <f aca="false">K1479-L1479</f>
        <v>151.92</v>
      </c>
      <c r="N1479" s="11" t="n">
        <f aca="false">IF(K1479=0,0,M1479/K1479)</f>
        <v>0.633211070356786</v>
      </c>
      <c r="O1479" s="9" t="n">
        <f aca="false">(G1479*H1479)-K1479</f>
        <v>0</v>
      </c>
      <c r="P1479" s="8" t="s">
        <v>21</v>
      </c>
    </row>
    <row r="1480" customFormat="false" ht="15" hidden="false" customHeight="false" outlineLevel="0" collapsed="false">
      <c r="A1480" s="2" t="n">
        <v>46026</v>
      </c>
      <c r="B1480" s="3" t="s">
        <v>16</v>
      </c>
      <c r="C1480" s="3" t="s">
        <v>17</v>
      </c>
      <c r="D1480" s="3" t="s">
        <v>24</v>
      </c>
      <c r="E1480" s="3" t="s">
        <v>25</v>
      </c>
      <c r="F1480" s="3" t="s">
        <v>26</v>
      </c>
      <c r="G1480" s="3" t="n">
        <v>11</v>
      </c>
      <c r="H1480" s="4" t="n">
        <v>59.99</v>
      </c>
      <c r="I1480" s="4" t="n">
        <v>24</v>
      </c>
      <c r="J1480" s="5" t="n">
        <v>0.1</v>
      </c>
      <c r="K1480" s="4" t="n">
        <f aca="false">G1480*H1480*(1-J1480)</f>
        <v>593.901</v>
      </c>
      <c r="L1480" s="4" t="n">
        <f aca="false">G1480*I1480</f>
        <v>264</v>
      </c>
      <c r="M1480" s="4" t="n">
        <f aca="false">K1480-L1480</f>
        <v>329.901</v>
      </c>
      <c r="N1480" s="6" t="n">
        <f aca="false">IF(K1480=0,0,M1480/K1480)</f>
        <v>0.555481469133745</v>
      </c>
      <c r="O1480" s="4" t="n">
        <f aca="false">(G1480*H1480)-K1480</f>
        <v>65.989</v>
      </c>
      <c r="P1480" s="3" t="s">
        <v>21</v>
      </c>
    </row>
    <row r="1481" customFormat="false" ht="15" hidden="false" customHeight="false" outlineLevel="0" collapsed="false">
      <c r="A1481" s="7" t="n">
        <v>46048</v>
      </c>
      <c r="B1481" s="8" t="s">
        <v>58</v>
      </c>
      <c r="C1481" s="8" t="s">
        <v>58</v>
      </c>
      <c r="D1481" s="8" t="s">
        <v>51</v>
      </c>
      <c r="E1481" s="8" t="s">
        <v>52</v>
      </c>
      <c r="F1481" s="8" t="s">
        <v>50</v>
      </c>
      <c r="G1481" s="8" t="n">
        <v>10</v>
      </c>
      <c r="H1481" s="9" t="n">
        <v>19.99</v>
      </c>
      <c r="I1481" s="9" t="n">
        <v>7</v>
      </c>
      <c r="J1481" s="10" t="n">
        <v>0</v>
      </c>
      <c r="K1481" s="9" t="n">
        <f aca="false">G1481*H1481*(1-J1481)</f>
        <v>199.9</v>
      </c>
      <c r="L1481" s="9" t="n">
        <f aca="false">G1481*I1481</f>
        <v>70</v>
      </c>
      <c r="M1481" s="9" t="n">
        <f aca="false">K1481-L1481</f>
        <v>129.9</v>
      </c>
      <c r="N1481" s="11" t="n">
        <f aca="false">IF(K1481=0,0,M1481/K1481)</f>
        <v>0.649824912456228</v>
      </c>
      <c r="O1481" s="9" t="n">
        <f aca="false">(G1481*H1481)-K1481</f>
        <v>0</v>
      </c>
      <c r="P1481" s="8" t="s">
        <v>21</v>
      </c>
    </row>
    <row r="1482" customFormat="false" ht="15" hidden="false" customHeight="false" outlineLevel="0" collapsed="false">
      <c r="A1482" s="2" t="n">
        <v>46070</v>
      </c>
      <c r="B1482" s="3" t="s">
        <v>41</v>
      </c>
      <c r="C1482" s="3" t="s">
        <v>28</v>
      </c>
      <c r="D1482" s="3" t="s">
        <v>53</v>
      </c>
      <c r="E1482" s="3" t="s">
        <v>54</v>
      </c>
      <c r="F1482" s="3" t="s">
        <v>50</v>
      </c>
      <c r="G1482" s="3" t="n">
        <v>16</v>
      </c>
      <c r="H1482" s="4" t="n">
        <v>22.99</v>
      </c>
      <c r="I1482" s="4" t="n">
        <v>8</v>
      </c>
      <c r="J1482" s="5" t="n">
        <v>0.2</v>
      </c>
      <c r="K1482" s="4" t="n">
        <f aca="false">G1482*H1482*(1-J1482)</f>
        <v>294.272</v>
      </c>
      <c r="L1482" s="4" t="n">
        <f aca="false">G1482*I1482</f>
        <v>128</v>
      </c>
      <c r="M1482" s="4" t="n">
        <f aca="false">K1482-L1482</f>
        <v>166.272</v>
      </c>
      <c r="N1482" s="6" t="n">
        <f aca="false">IF(K1482=0,0,M1482/K1482)</f>
        <v>0.565028273162245</v>
      </c>
      <c r="O1482" s="4" t="n">
        <f aca="false">(G1482*H1482)-K1482</f>
        <v>73.568</v>
      </c>
      <c r="P1482" s="3" t="s">
        <v>21</v>
      </c>
    </row>
    <row r="1483" customFormat="false" ht="15" hidden="false" customHeight="false" outlineLevel="0" collapsed="false">
      <c r="A1483" s="7" t="n">
        <v>46043</v>
      </c>
      <c r="B1483" s="8" t="s">
        <v>22</v>
      </c>
      <c r="C1483" s="8" t="s">
        <v>23</v>
      </c>
      <c r="D1483" s="8" t="s">
        <v>35</v>
      </c>
      <c r="E1483" s="8" t="s">
        <v>36</v>
      </c>
      <c r="F1483" s="8" t="s">
        <v>26</v>
      </c>
      <c r="G1483" s="8" t="n">
        <v>25</v>
      </c>
      <c r="H1483" s="9" t="n">
        <v>69.99</v>
      </c>
      <c r="I1483" s="9" t="n">
        <v>30</v>
      </c>
      <c r="J1483" s="10" t="n">
        <v>0.1</v>
      </c>
      <c r="K1483" s="9" t="n">
        <f aca="false">G1483*H1483*(1-J1483)</f>
        <v>1574.775</v>
      </c>
      <c r="L1483" s="9" t="n">
        <f aca="false">G1483*I1483</f>
        <v>750</v>
      </c>
      <c r="M1483" s="9" t="n">
        <f aca="false">K1483-L1483</f>
        <v>824.775</v>
      </c>
      <c r="N1483" s="11" t="n">
        <f aca="false">IF(K1483=0,0,M1483/K1483)</f>
        <v>0.523741486879078</v>
      </c>
      <c r="O1483" s="9" t="n">
        <f aca="false">(G1483*H1483)-K1483</f>
        <v>174.975</v>
      </c>
      <c r="P1483" s="8" t="s">
        <v>21</v>
      </c>
    </row>
    <row r="1484" customFormat="false" ht="15" hidden="false" customHeight="false" outlineLevel="0" collapsed="false">
      <c r="A1484" s="2" t="n">
        <v>46035</v>
      </c>
      <c r="B1484" s="3" t="s">
        <v>41</v>
      </c>
      <c r="C1484" s="3" t="s">
        <v>28</v>
      </c>
      <c r="D1484" s="3" t="s">
        <v>72</v>
      </c>
      <c r="E1484" s="3" t="s">
        <v>73</v>
      </c>
      <c r="F1484" s="3" t="s">
        <v>57</v>
      </c>
      <c r="G1484" s="3" t="n">
        <v>29</v>
      </c>
      <c r="H1484" s="4" t="n">
        <v>19.99</v>
      </c>
      <c r="I1484" s="4" t="n">
        <v>7</v>
      </c>
      <c r="J1484" s="5" t="n">
        <v>0.3</v>
      </c>
      <c r="K1484" s="4" t="n">
        <f aca="false">G1484*H1484*(1-J1484)</f>
        <v>405.797</v>
      </c>
      <c r="L1484" s="4" t="n">
        <f aca="false">G1484*I1484</f>
        <v>203</v>
      </c>
      <c r="M1484" s="4" t="n">
        <f aca="false">K1484-L1484</f>
        <v>202.797</v>
      </c>
      <c r="N1484" s="6" t="n">
        <f aca="false">IF(K1484=0,0,M1484/K1484)</f>
        <v>0.499749874937469</v>
      </c>
      <c r="O1484" s="4" t="n">
        <f aca="false">(G1484*H1484)-K1484</f>
        <v>173.913</v>
      </c>
      <c r="P1484" s="3" t="s">
        <v>21</v>
      </c>
    </row>
    <row r="1485" customFormat="false" ht="15" hidden="false" customHeight="false" outlineLevel="0" collapsed="false">
      <c r="A1485" s="7" t="n">
        <v>46068</v>
      </c>
      <c r="B1485" s="8" t="s">
        <v>31</v>
      </c>
      <c r="C1485" s="8" t="s">
        <v>23</v>
      </c>
      <c r="D1485" s="8" t="s">
        <v>59</v>
      </c>
      <c r="E1485" s="8" t="s">
        <v>60</v>
      </c>
      <c r="F1485" s="8" t="s">
        <v>50</v>
      </c>
      <c r="G1485" s="8" t="n">
        <v>9</v>
      </c>
      <c r="H1485" s="9" t="n">
        <v>24.99</v>
      </c>
      <c r="I1485" s="9" t="n">
        <v>8.5</v>
      </c>
      <c r="J1485" s="10" t="n">
        <v>0</v>
      </c>
      <c r="K1485" s="9" t="n">
        <f aca="false">G1485*H1485*(1-J1485)</f>
        <v>224.91</v>
      </c>
      <c r="L1485" s="9" t="n">
        <f aca="false">G1485*I1485</f>
        <v>76.5</v>
      </c>
      <c r="M1485" s="9" t="n">
        <f aca="false">K1485-L1485</f>
        <v>148.41</v>
      </c>
      <c r="N1485" s="11" t="n">
        <f aca="false">IF(K1485=0,0,M1485/K1485)</f>
        <v>0.659863945578231</v>
      </c>
      <c r="O1485" s="9" t="n">
        <f aca="false">(G1485*H1485)-K1485</f>
        <v>0</v>
      </c>
      <c r="P1485" s="8" t="s">
        <v>21</v>
      </c>
    </row>
    <row r="1486" customFormat="false" ht="15" hidden="false" customHeight="false" outlineLevel="0" collapsed="false">
      <c r="A1486" s="2" t="n">
        <v>46051</v>
      </c>
      <c r="B1486" s="3" t="s">
        <v>22</v>
      </c>
      <c r="C1486" s="3" t="s">
        <v>23</v>
      </c>
      <c r="D1486" s="3" t="s">
        <v>74</v>
      </c>
      <c r="E1486" s="3" t="s">
        <v>75</v>
      </c>
      <c r="F1486" s="3" t="s">
        <v>40</v>
      </c>
      <c r="G1486" s="3" t="n">
        <v>7</v>
      </c>
      <c r="H1486" s="4" t="n">
        <v>29.99</v>
      </c>
      <c r="I1486" s="4" t="n">
        <v>13</v>
      </c>
      <c r="J1486" s="5" t="n">
        <v>0.1</v>
      </c>
      <c r="K1486" s="4" t="n">
        <f aca="false">G1486*H1486*(1-J1486)</f>
        <v>188.937</v>
      </c>
      <c r="L1486" s="4" t="n">
        <f aca="false">G1486*I1486</f>
        <v>91</v>
      </c>
      <c r="M1486" s="4" t="n">
        <f aca="false">K1486-L1486</f>
        <v>97.937</v>
      </c>
      <c r="N1486" s="6" t="n">
        <f aca="false">IF(K1486=0,0,M1486/K1486)</f>
        <v>0.518357971175577</v>
      </c>
      <c r="O1486" s="4" t="n">
        <f aca="false">(G1486*H1486)-K1486</f>
        <v>20.993</v>
      </c>
      <c r="P1486" s="3" t="s">
        <v>21</v>
      </c>
    </row>
    <row r="1487" customFormat="false" ht="15" hidden="false" customHeight="false" outlineLevel="0" collapsed="false">
      <c r="A1487" s="7" t="n">
        <v>46074</v>
      </c>
      <c r="B1487" s="8" t="s">
        <v>64</v>
      </c>
      <c r="C1487" s="8" t="s">
        <v>65</v>
      </c>
      <c r="D1487" s="8" t="s">
        <v>80</v>
      </c>
      <c r="E1487" s="8" t="s">
        <v>81</v>
      </c>
      <c r="F1487" s="8" t="s">
        <v>57</v>
      </c>
      <c r="G1487" s="8" t="n">
        <v>2</v>
      </c>
      <c r="H1487" s="9" t="n">
        <v>4.49</v>
      </c>
      <c r="I1487" s="9" t="n">
        <v>6.5</v>
      </c>
      <c r="J1487" s="10" t="n">
        <v>0</v>
      </c>
      <c r="K1487" s="9" t="n">
        <f aca="false">G1487*H1487*(1-J1487)</f>
        <v>8.98</v>
      </c>
      <c r="L1487" s="9" t="n">
        <f aca="false">G1487*I1487</f>
        <v>13</v>
      </c>
      <c r="M1487" s="9" t="n">
        <f aca="false">K1487-L1487</f>
        <v>-4.02</v>
      </c>
      <c r="N1487" s="11" t="n">
        <f aca="false">IF(K1487=0,0,M1487/K1487)</f>
        <v>-0.447661469933185</v>
      </c>
      <c r="O1487" s="9" t="n">
        <f aca="false">(G1487*H1487)-K1487</f>
        <v>0</v>
      </c>
      <c r="P1487" s="15" t="s">
        <v>98</v>
      </c>
    </row>
    <row r="1488" customFormat="false" ht="15" hidden="false" customHeight="false" outlineLevel="0" collapsed="false">
      <c r="A1488" s="2" t="n">
        <v>46109</v>
      </c>
      <c r="B1488" s="3" t="s">
        <v>31</v>
      </c>
      <c r="C1488" s="3" t="s">
        <v>23</v>
      </c>
      <c r="D1488" s="3" t="s">
        <v>68</v>
      </c>
      <c r="E1488" s="3" t="s">
        <v>69</v>
      </c>
      <c r="F1488" s="3" t="s">
        <v>40</v>
      </c>
      <c r="G1488" s="3" t="n">
        <v>3</v>
      </c>
      <c r="H1488" s="4" t="n">
        <v>24.99</v>
      </c>
      <c r="I1488" s="4" t="n">
        <v>9</v>
      </c>
      <c r="J1488" s="5" t="n">
        <v>0</v>
      </c>
      <c r="K1488" s="4" t="n">
        <f aca="false">G1488*H1488*(1-J1488)</f>
        <v>74.97</v>
      </c>
      <c r="L1488" s="4" t="n">
        <f aca="false">G1488*I1488</f>
        <v>27</v>
      </c>
      <c r="M1488" s="4" t="n">
        <f aca="false">K1488-L1488</f>
        <v>47.97</v>
      </c>
      <c r="N1488" s="6" t="n">
        <f aca="false">IF(K1488=0,0,M1488/K1488)</f>
        <v>0.639855942376951</v>
      </c>
      <c r="O1488" s="4" t="n">
        <f aca="false">(G1488*H1488)-K1488</f>
        <v>0</v>
      </c>
      <c r="P1488" s="3" t="s">
        <v>21</v>
      </c>
    </row>
    <row r="1489" customFormat="false" ht="15" hidden="false" customHeight="false" outlineLevel="0" collapsed="false">
      <c r="A1489" s="7" t="n">
        <v>46086</v>
      </c>
      <c r="B1489" s="8" t="s">
        <v>31</v>
      </c>
      <c r="C1489" s="8" t="s">
        <v>23</v>
      </c>
      <c r="D1489" s="8" t="s">
        <v>29</v>
      </c>
      <c r="E1489" s="8" t="s">
        <v>30</v>
      </c>
      <c r="F1489" s="8" t="s">
        <v>20</v>
      </c>
      <c r="G1489" s="8" t="n">
        <v>13</v>
      </c>
      <c r="H1489" s="9" t="n">
        <v>79.99</v>
      </c>
      <c r="I1489" s="9" t="n">
        <v>42</v>
      </c>
      <c r="J1489" s="10" t="n">
        <v>0.25</v>
      </c>
      <c r="K1489" s="9" t="n">
        <f aca="false">G1489*H1489*(1-J1489)</f>
        <v>779.9025</v>
      </c>
      <c r="L1489" s="9" t="n">
        <f aca="false">G1489*I1489</f>
        <v>546</v>
      </c>
      <c r="M1489" s="9" t="n">
        <f aca="false">K1489-L1489</f>
        <v>233.9025</v>
      </c>
      <c r="N1489" s="11" t="n">
        <f aca="false">IF(K1489=0,0,M1489/K1489)</f>
        <v>0.299912489061133</v>
      </c>
      <c r="O1489" s="9" t="n">
        <f aca="false">(G1489*H1489)-K1489</f>
        <v>259.9675</v>
      </c>
      <c r="P1489" s="8" t="s">
        <v>21</v>
      </c>
    </row>
    <row r="1490" customFormat="false" ht="15" hidden="false" customHeight="false" outlineLevel="0" collapsed="false">
      <c r="A1490" s="2" t="n">
        <v>46035</v>
      </c>
      <c r="B1490" s="3" t="s">
        <v>16</v>
      </c>
      <c r="C1490" s="3" t="s">
        <v>17</v>
      </c>
      <c r="D1490" s="3" t="s">
        <v>42</v>
      </c>
      <c r="E1490" s="3" t="s">
        <v>43</v>
      </c>
      <c r="F1490" s="3" t="s">
        <v>34</v>
      </c>
      <c r="G1490" s="3" t="n">
        <v>4</v>
      </c>
      <c r="H1490" s="4" t="n">
        <v>11.99</v>
      </c>
      <c r="I1490" s="4" t="n">
        <v>3.5</v>
      </c>
      <c r="J1490" s="5" t="n">
        <v>0.25</v>
      </c>
      <c r="K1490" s="4" t="n">
        <f aca="false">G1490*H1490*(1-J1490)</f>
        <v>35.97</v>
      </c>
      <c r="L1490" s="4" t="n">
        <f aca="false">G1490*I1490</f>
        <v>14</v>
      </c>
      <c r="M1490" s="4" t="n">
        <f aca="false">K1490-L1490</f>
        <v>21.97</v>
      </c>
      <c r="N1490" s="6" t="n">
        <f aca="false">IF(K1490=0,0,M1490/K1490)</f>
        <v>0.61078676675007</v>
      </c>
      <c r="O1490" s="4" t="n">
        <f aca="false">(G1490*H1490)-K1490</f>
        <v>11.99</v>
      </c>
      <c r="P1490" s="3" t="s">
        <v>21</v>
      </c>
    </row>
    <row r="1491" customFormat="false" ht="15" hidden="false" customHeight="false" outlineLevel="0" collapsed="false">
      <c r="A1491" s="7" t="n">
        <v>46115</v>
      </c>
      <c r="B1491" s="8" t="s">
        <v>27</v>
      </c>
      <c r="C1491" s="8" t="s">
        <v>28</v>
      </c>
      <c r="D1491" s="8" t="s">
        <v>72</v>
      </c>
      <c r="E1491" s="8" t="s">
        <v>73</v>
      </c>
      <c r="F1491" s="8" t="s">
        <v>57</v>
      </c>
      <c r="G1491" s="8" t="n">
        <v>10</v>
      </c>
      <c r="H1491" s="9" t="n">
        <v>19.99</v>
      </c>
      <c r="I1491" s="9" t="n">
        <v>7</v>
      </c>
      <c r="J1491" s="10" t="n">
        <v>0</v>
      </c>
      <c r="K1491" s="9" t="n">
        <f aca="false">G1491*H1491*(1-J1491)</f>
        <v>199.9</v>
      </c>
      <c r="L1491" s="9" t="n">
        <f aca="false">G1491*I1491</f>
        <v>70</v>
      </c>
      <c r="M1491" s="9" t="n">
        <f aca="false">K1491-L1491</f>
        <v>129.9</v>
      </c>
      <c r="N1491" s="11" t="n">
        <f aca="false">IF(K1491=0,0,M1491/K1491)</f>
        <v>0.649824912456228</v>
      </c>
      <c r="O1491" s="9" t="n">
        <f aca="false">(G1491*H1491)-K1491</f>
        <v>0</v>
      </c>
      <c r="P1491" s="8" t="s">
        <v>21</v>
      </c>
    </row>
    <row r="1492" customFormat="false" ht="15" hidden="false" customHeight="false" outlineLevel="0" collapsed="false">
      <c r="A1492" s="2" t="n">
        <v>46116</v>
      </c>
      <c r="B1492" s="3" t="s">
        <v>22</v>
      </c>
      <c r="C1492" s="3" t="s">
        <v>23</v>
      </c>
      <c r="D1492" s="3" t="s">
        <v>46</v>
      </c>
      <c r="E1492" s="3" t="s">
        <v>47</v>
      </c>
      <c r="F1492" s="3" t="s">
        <v>20</v>
      </c>
      <c r="G1492" s="3" t="n">
        <v>11</v>
      </c>
      <c r="H1492" s="4" t="n">
        <v>44.99</v>
      </c>
      <c r="I1492" s="4" t="n">
        <v>18</v>
      </c>
      <c r="J1492" s="5" t="n">
        <v>0.1</v>
      </c>
      <c r="K1492" s="4" t="n">
        <f aca="false">G1492*H1492*(1-J1492)</f>
        <v>445.401</v>
      </c>
      <c r="L1492" s="4" t="n">
        <f aca="false">G1492*I1492</f>
        <v>198</v>
      </c>
      <c r="M1492" s="4" t="n">
        <f aca="false">K1492-L1492</f>
        <v>247.401</v>
      </c>
      <c r="N1492" s="6" t="n">
        <f aca="false">IF(K1492=0,0,M1492/K1492)</f>
        <v>0.555456768170705</v>
      </c>
      <c r="O1492" s="4" t="n">
        <f aca="false">(G1492*H1492)-K1492</f>
        <v>49.489</v>
      </c>
      <c r="P1492" s="3" t="s">
        <v>21</v>
      </c>
    </row>
    <row r="1493" customFormat="false" ht="15" hidden="false" customHeight="false" outlineLevel="0" collapsed="false">
      <c r="A1493" s="7" t="n">
        <v>46036</v>
      </c>
      <c r="B1493" s="8" t="s">
        <v>27</v>
      </c>
      <c r="C1493" s="8" t="s">
        <v>28</v>
      </c>
      <c r="D1493" s="8" t="s">
        <v>18</v>
      </c>
      <c r="E1493" s="8" t="s">
        <v>19</v>
      </c>
      <c r="F1493" s="8" t="s">
        <v>20</v>
      </c>
      <c r="G1493" s="8" t="n">
        <v>19</v>
      </c>
      <c r="H1493" s="9" t="n">
        <v>24.99</v>
      </c>
      <c r="I1493" s="9" t="n">
        <v>10.5</v>
      </c>
      <c r="J1493" s="10" t="n">
        <v>0.05</v>
      </c>
      <c r="K1493" s="9" t="n">
        <f aca="false">G1493*H1493*(1-J1493)</f>
        <v>451.0695</v>
      </c>
      <c r="L1493" s="9" t="n">
        <f aca="false">G1493*I1493</f>
        <v>199.5</v>
      </c>
      <c r="M1493" s="9" t="n">
        <f aca="false">K1493-L1493</f>
        <v>251.5695</v>
      </c>
      <c r="N1493" s="11" t="n">
        <f aca="false">IF(K1493=0,0,M1493/K1493)</f>
        <v>0.557717823971694</v>
      </c>
      <c r="O1493" s="9" t="n">
        <f aca="false">(G1493*H1493)-K1493</f>
        <v>23.7405</v>
      </c>
      <c r="P1493" s="8" t="s">
        <v>21</v>
      </c>
    </row>
    <row r="1494" customFormat="false" ht="15" hidden="false" customHeight="false" outlineLevel="0" collapsed="false">
      <c r="A1494" s="2" t="n">
        <v>46035</v>
      </c>
      <c r="B1494" s="3" t="s">
        <v>22</v>
      </c>
      <c r="C1494" s="3" t="s">
        <v>23</v>
      </c>
      <c r="D1494" s="3" t="s">
        <v>68</v>
      </c>
      <c r="E1494" s="3" t="s">
        <v>69</v>
      </c>
      <c r="F1494" s="3" t="s">
        <v>40</v>
      </c>
      <c r="G1494" s="3" t="n">
        <v>21</v>
      </c>
      <c r="H1494" s="4" t="n">
        <v>24.99</v>
      </c>
      <c r="I1494" s="4" t="n">
        <v>9</v>
      </c>
      <c r="J1494" s="5" t="n">
        <v>0.3</v>
      </c>
      <c r="K1494" s="4" t="n">
        <f aca="false">G1494*H1494*(1-J1494)</f>
        <v>367.353</v>
      </c>
      <c r="L1494" s="4" t="n">
        <f aca="false">G1494*I1494</f>
        <v>189</v>
      </c>
      <c r="M1494" s="4" t="n">
        <f aca="false">K1494-L1494</f>
        <v>178.353</v>
      </c>
      <c r="N1494" s="6" t="n">
        <f aca="false">IF(K1494=0,0,M1494/K1494)</f>
        <v>0.48550848910993</v>
      </c>
      <c r="O1494" s="4" t="n">
        <f aca="false">(G1494*H1494)-K1494</f>
        <v>157.437</v>
      </c>
      <c r="P1494" s="3" t="s">
        <v>21</v>
      </c>
    </row>
    <row r="1495" customFormat="false" ht="15" hidden="false" customHeight="false" outlineLevel="0" collapsed="false">
      <c r="A1495" s="7" t="n">
        <v>46072</v>
      </c>
      <c r="B1495" s="8" t="s">
        <v>37</v>
      </c>
      <c r="C1495" s="8" t="s">
        <v>17</v>
      </c>
      <c r="D1495" s="8" t="s">
        <v>55</v>
      </c>
      <c r="E1495" s="8" t="s">
        <v>56</v>
      </c>
      <c r="F1495" s="8" t="s">
        <v>57</v>
      </c>
      <c r="G1495" s="8" t="n">
        <v>26</v>
      </c>
      <c r="H1495" s="9" t="n">
        <v>29.99</v>
      </c>
      <c r="I1495" s="9" t="n">
        <v>11</v>
      </c>
      <c r="J1495" s="10" t="n">
        <v>0.05</v>
      </c>
      <c r="K1495" s="9" t="n">
        <f aca="false">G1495*H1495*(1-J1495)</f>
        <v>740.753</v>
      </c>
      <c r="L1495" s="9" t="n">
        <f aca="false">G1495*I1495</f>
        <v>286</v>
      </c>
      <c r="M1495" s="9" t="n">
        <f aca="false">K1495-L1495</f>
        <v>454.753</v>
      </c>
      <c r="N1495" s="11" t="n">
        <f aca="false">IF(K1495=0,0,M1495/K1495)</f>
        <v>0.613906389849248</v>
      </c>
      <c r="O1495" s="9" t="n">
        <f aca="false">(G1495*H1495)-K1495</f>
        <v>38.9870000000001</v>
      </c>
      <c r="P1495" s="8" t="s">
        <v>21</v>
      </c>
    </row>
    <row r="1496" customFormat="false" ht="15" hidden="false" customHeight="false" outlineLevel="0" collapsed="false">
      <c r="A1496" s="2" t="n">
        <v>46057</v>
      </c>
      <c r="B1496" s="3" t="s">
        <v>27</v>
      </c>
      <c r="C1496" s="3" t="s">
        <v>28</v>
      </c>
      <c r="D1496" s="3" t="s">
        <v>80</v>
      </c>
      <c r="E1496" s="3" t="s">
        <v>81</v>
      </c>
      <c r="F1496" s="3" t="s">
        <v>57</v>
      </c>
      <c r="G1496" s="3" t="n">
        <v>7</v>
      </c>
      <c r="H1496" s="4" t="n">
        <v>17.99</v>
      </c>
      <c r="I1496" s="4" t="n">
        <v>6.5</v>
      </c>
      <c r="J1496" s="5" t="n">
        <v>0.1</v>
      </c>
      <c r="K1496" s="4" t="n">
        <f aca="false">G1496*H1496*(1-J1496)</f>
        <v>113.337</v>
      </c>
      <c r="L1496" s="4" t="n">
        <f aca="false">G1496*I1496</f>
        <v>45.5</v>
      </c>
      <c r="M1496" s="4" t="n">
        <f aca="false">K1496-L1496</f>
        <v>67.837</v>
      </c>
      <c r="N1496" s="6" t="n">
        <f aca="false">IF(K1496=0,0,M1496/K1496)</f>
        <v>0.59854240009882</v>
      </c>
      <c r="O1496" s="4" t="n">
        <f aca="false">(G1496*H1496)-K1496</f>
        <v>12.593</v>
      </c>
      <c r="P1496" s="3" t="s">
        <v>21</v>
      </c>
    </row>
    <row r="1497" customFormat="false" ht="15" hidden="false" customHeight="false" outlineLevel="0" collapsed="false">
      <c r="A1497" s="7" t="n">
        <v>46108</v>
      </c>
      <c r="B1497" s="8" t="s">
        <v>64</v>
      </c>
      <c r="C1497" s="8" t="s">
        <v>65</v>
      </c>
      <c r="D1497" s="8" t="s">
        <v>74</v>
      </c>
      <c r="E1497" s="8" t="s">
        <v>75</v>
      </c>
      <c r="F1497" s="8" t="s">
        <v>40</v>
      </c>
      <c r="G1497" s="8" t="n">
        <v>17</v>
      </c>
      <c r="H1497" s="9" t="n">
        <v>29.99</v>
      </c>
      <c r="I1497" s="9" t="n">
        <v>13</v>
      </c>
      <c r="J1497" s="10" t="n">
        <v>0.1</v>
      </c>
      <c r="K1497" s="9" t="n">
        <f aca="false">G1497*H1497*(1-J1497)</f>
        <v>458.847</v>
      </c>
      <c r="L1497" s="9" t="n">
        <f aca="false">G1497*I1497</f>
        <v>221</v>
      </c>
      <c r="M1497" s="9" t="n">
        <f aca="false">K1497-L1497</f>
        <v>237.847</v>
      </c>
      <c r="N1497" s="11" t="n">
        <f aca="false">IF(K1497=0,0,M1497/K1497)</f>
        <v>0.518357971175577</v>
      </c>
      <c r="O1497" s="9" t="n">
        <f aca="false">(G1497*H1497)-K1497</f>
        <v>50.983</v>
      </c>
      <c r="P1497" s="8" t="s">
        <v>21</v>
      </c>
    </row>
    <row r="1498" customFormat="false" ht="15" hidden="false" customHeight="false" outlineLevel="0" collapsed="false">
      <c r="A1498" s="2" t="n">
        <v>46128</v>
      </c>
      <c r="B1498" s="3" t="s">
        <v>16</v>
      </c>
      <c r="C1498" s="3" t="s">
        <v>17</v>
      </c>
      <c r="D1498" s="3" t="s">
        <v>80</v>
      </c>
      <c r="E1498" s="3" t="s">
        <v>81</v>
      </c>
      <c r="F1498" s="3" t="s">
        <v>57</v>
      </c>
      <c r="G1498" s="3" t="n">
        <v>22</v>
      </c>
      <c r="H1498" s="4" t="n">
        <v>17.99</v>
      </c>
      <c r="I1498" s="4" t="n">
        <v>6.5</v>
      </c>
      <c r="J1498" s="5" t="n">
        <v>0.2</v>
      </c>
      <c r="K1498" s="4" t="n">
        <f aca="false">G1498*H1498*(1-J1498)</f>
        <v>316.624</v>
      </c>
      <c r="L1498" s="4" t="n">
        <f aca="false">G1498*I1498</f>
        <v>143</v>
      </c>
      <c r="M1498" s="4" t="n">
        <f aca="false">K1498-L1498</f>
        <v>173.624</v>
      </c>
      <c r="N1498" s="6" t="n">
        <f aca="false">IF(K1498=0,0,M1498/K1498)</f>
        <v>0.548360200111173</v>
      </c>
      <c r="O1498" s="4" t="n">
        <f aca="false">(G1498*H1498)-K1498</f>
        <v>79.156</v>
      </c>
      <c r="P1498" s="3" t="s">
        <v>21</v>
      </c>
    </row>
    <row r="1499" customFormat="false" ht="15" hidden="false" customHeight="false" outlineLevel="0" collapsed="false">
      <c r="A1499" s="7" t="n">
        <v>46123</v>
      </c>
      <c r="B1499" s="8" t="s">
        <v>31</v>
      </c>
      <c r="C1499" s="8" t="s">
        <v>23</v>
      </c>
      <c r="D1499" s="8" t="s">
        <v>42</v>
      </c>
      <c r="E1499" s="8" t="s">
        <v>43</v>
      </c>
      <c r="F1499" s="8" t="s">
        <v>34</v>
      </c>
      <c r="G1499" s="8" t="n">
        <v>7</v>
      </c>
      <c r="H1499" s="9" t="n">
        <v>11.99</v>
      </c>
      <c r="I1499" s="9" t="n">
        <v>3.5</v>
      </c>
      <c r="J1499" s="10" t="n">
        <v>0</v>
      </c>
      <c r="K1499" s="9" t="n">
        <f aca="false">G1499*H1499*(1-J1499)</f>
        <v>83.93</v>
      </c>
      <c r="L1499" s="9" t="n">
        <f aca="false">G1499*I1499</f>
        <v>24.5</v>
      </c>
      <c r="M1499" s="9" t="n">
        <f aca="false">K1499-L1499</f>
        <v>59.43</v>
      </c>
      <c r="N1499" s="11" t="n">
        <f aca="false">IF(K1499=0,0,M1499/K1499)</f>
        <v>0.708090075062552</v>
      </c>
      <c r="O1499" s="9" t="n">
        <f aca="false">(G1499*H1499)-K1499</f>
        <v>0</v>
      </c>
      <c r="P1499" s="8" t="s">
        <v>21</v>
      </c>
    </row>
    <row r="1500" customFormat="false" ht="15" hidden="false" customHeight="false" outlineLevel="0" collapsed="false">
      <c r="A1500" s="2" t="n">
        <v>46035</v>
      </c>
      <c r="B1500" s="3" t="s">
        <v>41</v>
      </c>
      <c r="C1500" s="3" t="s">
        <v>28</v>
      </c>
      <c r="D1500" s="3" t="s">
        <v>35</v>
      </c>
      <c r="E1500" s="3" t="s">
        <v>36</v>
      </c>
      <c r="F1500" s="3" t="s">
        <v>26</v>
      </c>
      <c r="G1500" s="3" t="n">
        <v>3</v>
      </c>
      <c r="H1500" s="4" t="n">
        <v>69.99</v>
      </c>
      <c r="I1500" s="4" t="n">
        <v>30</v>
      </c>
      <c r="J1500" s="5" t="n">
        <v>0.25</v>
      </c>
      <c r="K1500" s="4" t="n">
        <f aca="false">G1500*H1500*(1-J1500)</f>
        <v>157.4775</v>
      </c>
      <c r="L1500" s="4" t="n">
        <f aca="false">G1500*I1500</f>
        <v>90</v>
      </c>
      <c r="M1500" s="4" t="n">
        <f aca="false">K1500-L1500</f>
        <v>67.4775</v>
      </c>
      <c r="N1500" s="6" t="n">
        <f aca="false">IF(K1500=0,0,M1500/K1500)</f>
        <v>0.428489784254893</v>
      </c>
      <c r="O1500" s="4" t="n">
        <f aca="false">(G1500*H1500)-K1500</f>
        <v>52.4925</v>
      </c>
      <c r="P1500" s="3" t="s">
        <v>21</v>
      </c>
    </row>
    <row r="1501" customFormat="false" ht="15" hidden="false" customHeight="false" outlineLevel="0" collapsed="false">
      <c r="A1501" s="7" t="n">
        <v>46100</v>
      </c>
      <c r="B1501" s="8" t="s">
        <v>37</v>
      </c>
      <c r="C1501" s="8" t="s">
        <v>17</v>
      </c>
      <c r="D1501" s="8" t="s">
        <v>61</v>
      </c>
      <c r="E1501" s="8" t="s">
        <v>62</v>
      </c>
      <c r="F1501" s="8" t="s">
        <v>34</v>
      </c>
      <c r="G1501" s="8" t="n">
        <v>6</v>
      </c>
      <c r="H1501" s="9" t="n">
        <v>12.99</v>
      </c>
      <c r="I1501" s="9" t="n">
        <v>4.5</v>
      </c>
      <c r="J1501" s="10" t="n">
        <v>0.05</v>
      </c>
      <c r="K1501" s="9" t="n">
        <f aca="false">G1501*H1501*(1-J1501)</f>
        <v>74.043</v>
      </c>
      <c r="L1501" s="9" t="n">
        <f aca="false">G1501*I1501</f>
        <v>27</v>
      </c>
      <c r="M1501" s="9" t="n">
        <f aca="false">K1501-L1501</f>
        <v>47.043</v>
      </c>
      <c r="N1501" s="11" t="n">
        <f aca="false">IF(K1501=0,0,M1501/K1501)</f>
        <v>0.635347028078279</v>
      </c>
      <c r="O1501" s="9" t="n">
        <f aca="false">(G1501*H1501)-K1501</f>
        <v>3.89700000000001</v>
      </c>
      <c r="P1501" s="8" t="s">
        <v>21</v>
      </c>
    </row>
    <row r="1502" customFormat="false" ht="15" hidden="false" customHeight="false" outlineLevel="0" collapsed="false">
      <c r="A1502" s="2" t="n">
        <v>46127</v>
      </c>
      <c r="B1502" s="3" t="s">
        <v>22</v>
      </c>
      <c r="C1502" s="3" t="s">
        <v>23</v>
      </c>
      <c r="D1502" s="3" t="s">
        <v>18</v>
      </c>
      <c r="E1502" s="3" t="s">
        <v>19</v>
      </c>
      <c r="F1502" s="3" t="s">
        <v>20</v>
      </c>
      <c r="G1502" s="3" t="n">
        <v>3</v>
      </c>
      <c r="H1502" s="4" t="n">
        <v>26.99</v>
      </c>
      <c r="I1502" s="4" t="n">
        <v>10.5</v>
      </c>
      <c r="J1502" s="5" t="n">
        <v>0</v>
      </c>
      <c r="K1502" s="4" t="n">
        <f aca="false">G1502*H1502*(1-J1502)</f>
        <v>80.97</v>
      </c>
      <c r="L1502" s="4" t="n">
        <f aca="false">G1502*I1502</f>
        <v>31.5</v>
      </c>
      <c r="M1502" s="4" t="n">
        <f aca="false">K1502-L1502</f>
        <v>49.47</v>
      </c>
      <c r="N1502" s="6" t="n">
        <f aca="false">IF(K1502=0,0,M1502/K1502)</f>
        <v>0.610967024824009</v>
      </c>
      <c r="O1502" s="4" t="n">
        <f aca="false">(G1502*H1502)-K1502</f>
        <v>0</v>
      </c>
      <c r="P1502" s="3" t="s">
        <v>21</v>
      </c>
    </row>
    <row r="1503" customFormat="false" ht="15" hidden="false" customHeight="false" outlineLevel="0" collapsed="false">
      <c r="A1503" s="7" t="n">
        <v>46028</v>
      </c>
      <c r="B1503" s="8" t="s">
        <v>58</v>
      </c>
      <c r="C1503" s="8" t="s">
        <v>58</v>
      </c>
      <c r="D1503" s="8" t="s">
        <v>51</v>
      </c>
      <c r="E1503" s="8" t="s">
        <v>52</v>
      </c>
      <c r="F1503" s="8" t="s">
        <v>50</v>
      </c>
      <c r="G1503" s="8" t="n">
        <v>20</v>
      </c>
      <c r="H1503" s="9" t="n">
        <v>19.99</v>
      </c>
      <c r="I1503" s="9" t="n">
        <v>7</v>
      </c>
      <c r="J1503" s="10" t="n">
        <v>0.1</v>
      </c>
      <c r="K1503" s="9" t="n">
        <f aca="false">G1503*H1503*(1-J1503)</f>
        <v>359.82</v>
      </c>
      <c r="L1503" s="9" t="n">
        <f aca="false">G1503*I1503</f>
        <v>140</v>
      </c>
      <c r="M1503" s="9" t="n">
        <f aca="false">K1503-L1503</f>
        <v>219.82</v>
      </c>
      <c r="N1503" s="11" t="n">
        <f aca="false">IF(K1503=0,0,M1503/K1503)</f>
        <v>0.610916569395809</v>
      </c>
      <c r="O1503" s="9" t="n">
        <f aca="false">(G1503*H1503)-K1503</f>
        <v>39.98</v>
      </c>
      <c r="P1503" s="8" t="s">
        <v>21</v>
      </c>
    </row>
    <row r="1504" customFormat="false" ht="15" hidden="false" customHeight="false" outlineLevel="0" collapsed="false">
      <c r="A1504" s="2" t="n">
        <v>46035</v>
      </c>
      <c r="B1504" s="3" t="s">
        <v>58</v>
      </c>
      <c r="C1504" s="3" t="s">
        <v>58</v>
      </c>
      <c r="D1504" s="3" t="s">
        <v>18</v>
      </c>
      <c r="E1504" s="3" t="s">
        <v>19</v>
      </c>
      <c r="F1504" s="3" t="s">
        <v>20</v>
      </c>
      <c r="G1504" s="3" t="n">
        <v>24</v>
      </c>
      <c r="H1504" s="4" t="n">
        <v>24.99</v>
      </c>
      <c r="I1504" s="4" t="n">
        <v>10.5</v>
      </c>
      <c r="J1504" s="5" t="n">
        <v>0</v>
      </c>
      <c r="K1504" s="4" t="n">
        <f aca="false">G1504*H1504*(1-J1504)</f>
        <v>599.76</v>
      </c>
      <c r="L1504" s="4" t="n">
        <f aca="false">G1504*I1504</f>
        <v>252</v>
      </c>
      <c r="M1504" s="4" t="n">
        <f aca="false">K1504-L1504</f>
        <v>347.76</v>
      </c>
      <c r="N1504" s="6" t="n">
        <f aca="false">IF(K1504=0,0,M1504/K1504)</f>
        <v>0.579831932773109</v>
      </c>
      <c r="O1504" s="4" t="n">
        <f aca="false">(G1504*H1504)-K1504</f>
        <v>0</v>
      </c>
      <c r="P1504" s="3" t="s">
        <v>21</v>
      </c>
    </row>
    <row r="1505" customFormat="false" ht="15" hidden="false" customHeight="false" outlineLevel="0" collapsed="false">
      <c r="A1505" s="7" t="n">
        <v>46092</v>
      </c>
      <c r="B1505" s="8" t="s">
        <v>37</v>
      </c>
      <c r="C1505" s="8" t="s">
        <v>17</v>
      </c>
      <c r="D1505" s="8" t="s">
        <v>29</v>
      </c>
      <c r="E1505" s="8" t="s">
        <v>30</v>
      </c>
      <c r="F1505" s="8" t="s">
        <v>20</v>
      </c>
      <c r="G1505" s="8" t="n">
        <v>22</v>
      </c>
      <c r="H1505" s="9" t="n">
        <v>79.99</v>
      </c>
      <c r="I1505" s="9" t="n">
        <v>42</v>
      </c>
      <c r="J1505" s="10" t="n">
        <v>0.3</v>
      </c>
      <c r="K1505" s="9" t="n">
        <f aca="false">G1505*H1505*(1-J1505)</f>
        <v>1231.846</v>
      </c>
      <c r="L1505" s="9" t="n">
        <f aca="false">G1505*I1505</f>
        <v>924</v>
      </c>
      <c r="M1505" s="9" t="n">
        <f aca="false">K1505-L1505</f>
        <v>307.846</v>
      </c>
      <c r="N1505" s="11" t="n">
        <f aca="false">IF(K1505=0,0,M1505/K1505)</f>
        <v>0.249906238279785</v>
      </c>
      <c r="O1505" s="9" t="n">
        <f aca="false">(G1505*H1505)-K1505</f>
        <v>527.934</v>
      </c>
      <c r="P1505" s="8" t="s">
        <v>21</v>
      </c>
    </row>
    <row r="1506" customFormat="false" ht="15" hidden="false" customHeight="false" outlineLevel="0" collapsed="false">
      <c r="A1506" s="2" t="n">
        <v>46064</v>
      </c>
      <c r="B1506" s="3" t="s">
        <v>22</v>
      </c>
      <c r="C1506" s="3" t="s">
        <v>23</v>
      </c>
      <c r="D1506" s="3" t="s">
        <v>74</v>
      </c>
      <c r="E1506" s="3" t="s">
        <v>75</v>
      </c>
      <c r="F1506" s="3" t="s">
        <v>40</v>
      </c>
      <c r="G1506" s="3" t="n">
        <v>10</v>
      </c>
      <c r="H1506" s="4" t="n">
        <v>29.99</v>
      </c>
      <c r="I1506" s="4" t="n">
        <v>13</v>
      </c>
      <c r="J1506" s="5" t="n">
        <v>0.2</v>
      </c>
      <c r="K1506" s="4" t="n">
        <f aca="false">G1506*H1506*(1-J1506)</f>
        <v>239.92</v>
      </c>
      <c r="L1506" s="4" t="n">
        <f aca="false">G1506*I1506</f>
        <v>130</v>
      </c>
      <c r="M1506" s="4" t="n">
        <f aca="false">K1506-L1506</f>
        <v>109.92</v>
      </c>
      <c r="N1506" s="6" t="n">
        <f aca="false">IF(K1506=0,0,M1506/K1506)</f>
        <v>0.458152717572524</v>
      </c>
      <c r="O1506" s="4" t="n">
        <f aca="false">(G1506*H1506)-K1506</f>
        <v>59.98</v>
      </c>
      <c r="P1506" s="3" t="s">
        <v>21</v>
      </c>
    </row>
    <row r="1507" customFormat="false" ht="15" hidden="false" customHeight="false" outlineLevel="0" collapsed="false">
      <c r="A1507" s="7" t="n">
        <v>46119</v>
      </c>
      <c r="B1507" s="8" t="s">
        <v>64</v>
      </c>
      <c r="C1507" s="8" t="s">
        <v>65</v>
      </c>
      <c r="D1507" s="8" t="s">
        <v>84</v>
      </c>
      <c r="E1507" s="8" t="s">
        <v>85</v>
      </c>
      <c r="F1507" s="8" t="s">
        <v>20</v>
      </c>
      <c r="G1507" s="8" t="n">
        <v>1</v>
      </c>
      <c r="H1507" s="9" t="n">
        <v>34.99</v>
      </c>
      <c r="I1507" s="9" t="n">
        <v>13</v>
      </c>
      <c r="J1507" s="10" t="n">
        <v>0.1</v>
      </c>
      <c r="K1507" s="9" t="n">
        <f aca="false">G1507*H1507*(1-J1507)</f>
        <v>31.491</v>
      </c>
      <c r="L1507" s="9" t="n">
        <f aca="false">G1507*I1507</f>
        <v>13</v>
      </c>
      <c r="M1507" s="9" t="n">
        <f aca="false">K1507-L1507</f>
        <v>18.491</v>
      </c>
      <c r="N1507" s="11" t="n">
        <f aca="false">IF(K1507=0,0,M1507/K1507)</f>
        <v>0.587183639770093</v>
      </c>
      <c r="O1507" s="9" t="n">
        <f aca="false">(G1507*H1507)-K1507</f>
        <v>3.499</v>
      </c>
      <c r="P1507" s="8" t="s">
        <v>21</v>
      </c>
    </row>
    <row r="1508" customFormat="false" ht="15" hidden="false" customHeight="false" outlineLevel="0" collapsed="false">
      <c r="A1508" s="2" t="n">
        <v>46030</v>
      </c>
      <c r="B1508" s="3" t="s">
        <v>41</v>
      </c>
      <c r="C1508" s="3" t="s">
        <v>28</v>
      </c>
      <c r="D1508" s="3" t="s">
        <v>78</v>
      </c>
      <c r="E1508" s="3" t="s">
        <v>79</v>
      </c>
      <c r="F1508" s="3" t="s">
        <v>20</v>
      </c>
      <c r="G1508" s="3" t="n">
        <v>2</v>
      </c>
      <c r="H1508" s="4" t="n">
        <v>39.99</v>
      </c>
      <c r="I1508" s="4" t="n">
        <v>16</v>
      </c>
      <c r="J1508" s="5" t="n">
        <v>0.25</v>
      </c>
      <c r="K1508" s="4" t="n">
        <f aca="false">G1508*H1508*(1-J1508)</f>
        <v>59.985</v>
      </c>
      <c r="L1508" s="4" t="n">
        <f aca="false">G1508*I1508</f>
        <v>32</v>
      </c>
      <c r="M1508" s="4" t="n">
        <f aca="false">K1508-L1508</f>
        <v>27.985</v>
      </c>
      <c r="N1508" s="6" t="n">
        <f aca="false">IF(K1508=0,0,M1508/K1508)</f>
        <v>0.466533299991665</v>
      </c>
      <c r="O1508" s="4" t="n">
        <f aca="false">(G1508*H1508)-K1508</f>
        <v>19.995</v>
      </c>
      <c r="P1508" s="3" t="s">
        <v>21</v>
      </c>
    </row>
    <row r="1509" customFormat="false" ht="15" hidden="false" customHeight="false" outlineLevel="0" collapsed="false">
      <c r="A1509" s="7" t="n">
        <v>46112</v>
      </c>
      <c r="B1509" s="8" t="s">
        <v>22</v>
      </c>
      <c r="C1509" s="8" t="s">
        <v>23</v>
      </c>
      <c r="D1509" s="8" t="s">
        <v>48</v>
      </c>
      <c r="E1509" s="8" t="s">
        <v>49</v>
      </c>
      <c r="F1509" s="8" t="s">
        <v>50</v>
      </c>
      <c r="G1509" s="8" t="n">
        <v>18</v>
      </c>
      <c r="H1509" s="9" t="n">
        <v>59.99</v>
      </c>
      <c r="I1509" s="9" t="n">
        <v>20</v>
      </c>
      <c r="J1509" s="10" t="n">
        <v>0.1</v>
      </c>
      <c r="K1509" s="9" t="n">
        <f aca="false">G1509*H1509*(1-J1509)</f>
        <v>971.838</v>
      </c>
      <c r="L1509" s="9" t="n">
        <f aca="false">G1509*I1509</f>
        <v>360</v>
      </c>
      <c r="M1509" s="9" t="n">
        <f aca="false">K1509-L1509</f>
        <v>611.838</v>
      </c>
      <c r="N1509" s="11" t="n">
        <f aca="false">IF(K1509=0,0,M1509/K1509)</f>
        <v>0.629567890944787</v>
      </c>
      <c r="O1509" s="9" t="n">
        <f aca="false">(G1509*H1509)-K1509</f>
        <v>107.982</v>
      </c>
      <c r="P1509" s="8" t="s">
        <v>21</v>
      </c>
    </row>
    <row r="1510" customFormat="false" ht="15" hidden="false" customHeight="false" outlineLevel="0" collapsed="false">
      <c r="A1510" s="2" t="n">
        <v>46029</v>
      </c>
      <c r="B1510" s="3" t="s">
        <v>41</v>
      </c>
      <c r="C1510" s="3" t="s">
        <v>28</v>
      </c>
      <c r="D1510" s="3" t="s">
        <v>61</v>
      </c>
      <c r="E1510" s="3" t="s">
        <v>62</v>
      </c>
      <c r="F1510" s="3" t="s">
        <v>34</v>
      </c>
      <c r="G1510" s="3" t="n">
        <v>7</v>
      </c>
      <c r="H1510" s="4" t="n">
        <v>14.99</v>
      </c>
      <c r="I1510" s="4" t="n">
        <v>4.5</v>
      </c>
      <c r="J1510" s="5" t="n">
        <v>0.05</v>
      </c>
      <c r="K1510" s="4" t="n">
        <f aca="false">G1510*H1510*(1-J1510)</f>
        <v>99.6835</v>
      </c>
      <c r="L1510" s="4" t="n">
        <f aca="false">G1510*I1510</f>
        <v>31.5</v>
      </c>
      <c r="M1510" s="4" t="n">
        <f aca="false">K1510-L1510</f>
        <v>68.1835</v>
      </c>
      <c r="N1510" s="6" t="n">
        <f aca="false">IF(K1510=0,0,M1510/K1510)</f>
        <v>0.683999859555493</v>
      </c>
      <c r="O1510" s="4" t="n">
        <f aca="false">(G1510*H1510)-K1510</f>
        <v>5.24650000000001</v>
      </c>
      <c r="P1510" s="3" t="s">
        <v>21</v>
      </c>
    </row>
    <row r="1511" customFormat="false" ht="15" hidden="false" customHeight="false" outlineLevel="0" collapsed="false">
      <c r="A1511" s="7" t="n">
        <v>46092</v>
      </c>
      <c r="B1511" s="8" t="s">
        <v>27</v>
      </c>
      <c r="C1511" s="8" t="s">
        <v>28</v>
      </c>
      <c r="D1511" s="8" t="s">
        <v>48</v>
      </c>
      <c r="E1511" s="8" t="s">
        <v>49</v>
      </c>
      <c r="F1511" s="8" t="s">
        <v>50</v>
      </c>
      <c r="G1511" s="8" t="n">
        <v>4</v>
      </c>
      <c r="H1511" s="9" t="n">
        <v>54.99</v>
      </c>
      <c r="I1511" s="9" t="n">
        <v>20</v>
      </c>
      <c r="J1511" s="10" t="n">
        <v>0</v>
      </c>
      <c r="K1511" s="9" t="n">
        <f aca="false">G1511*H1511*(1-J1511)</f>
        <v>219.96</v>
      </c>
      <c r="L1511" s="9" t="n">
        <f aca="false">G1511*I1511</f>
        <v>80</v>
      </c>
      <c r="M1511" s="9" t="n">
        <f aca="false">K1511-L1511</f>
        <v>139.96</v>
      </c>
      <c r="N1511" s="11" t="n">
        <f aca="false">IF(K1511=0,0,M1511/K1511)</f>
        <v>0.636297508637934</v>
      </c>
      <c r="O1511" s="9" t="n">
        <f aca="false">(G1511*H1511)-K1511</f>
        <v>0</v>
      </c>
      <c r="P1511" s="8" t="s">
        <v>21</v>
      </c>
    </row>
    <row r="1512" customFormat="false" ht="15" hidden="false" customHeight="false" outlineLevel="0" collapsed="false">
      <c r="A1512" s="2" t="n">
        <v>46116</v>
      </c>
      <c r="B1512" s="3" t="s">
        <v>31</v>
      </c>
      <c r="C1512" s="3" t="s">
        <v>23</v>
      </c>
      <c r="D1512" s="3" t="s">
        <v>42</v>
      </c>
      <c r="E1512" s="3" t="s">
        <v>43</v>
      </c>
      <c r="F1512" s="3" t="s">
        <v>34</v>
      </c>
      <c r="G1512" s="3" t="n">
        <v>11</v>
      </c>
      <c r="H1512" s="4" t="n">
        <v>11.99</v>
      </c>
      <c r="I1512" s="4" t="n">
        <v>3.5</v>
      </c>
      <c r="J1512" s="5" t="n">
        <v>0.1</v>
      </c>
      <c r="K1512" s="4" t="n">
        <f aca="false">G1512*H1512*(1-J1512)</f>
        <v>118.701</v>
      </c>
      <c r="L1512" s="4" t="n">
        <f aca="false">G1512*I1512</f>
        <v>38.5</v>
      </c>
      <c r="M1512" s="4" t="n">
        <f aca="false">K1512-L1512</f>
        <v>80.201</v>
      </c>
      <c r="N1512" s="6" t="n">
        <f aca="false">IF(K1512=0,0,M1512/K1512)</f>
        <v>0.675655638958391</v>
      </c>
      <c r="O1512" s="4" t="n">
        <f aca="false">(G1512*H1512)-K1512</f>
        <v>13.189</v>
      </c>
      <c r="P1512" s="3" t="s">
        <v>21</v>
      </c>
    </row>
    <row r="1513" customFormat="false" ht="15" hidden="false" customHeight="false" outlineLevel="0" collapsed="false">
      <c r="A1513" s="7" t="n">
        <v>46060</v>
      </c>
      <c r="B1513" s="8" t="s">
        <v>58</v>
      </c>
      <c r="C1513" s="8" t="s">
        <v>58</v>
      </c>
      <c r="D1513" s="8" t="s">
        <v>78</v>
      </c>
      <c r="E1513" s="8" t="s">
        <v>79</v>
      </c>
      <c r="F1513" s="8" t="s">
        <v>20</v>
      </c>
      <c r="G1513" s="8" t="n">
        <v>27</v>
      </c>
      <c r="H1513" s="9" t="n">
        <v>39.99</v>
      </c>
      <c r="I1513" s="9" t="n">
        <v>16</v>
      </c>
      <c r="J1513" s="10" t="n">
        <v>0.05</v>
      </c>
      <c r="K1513" s="9" t="n">
        <f aca="false">G1513*H1513*(1-J1513)</f>
        <v>1025.7435</v>
      </c>
      <c r="L1513" s="9" t="n">
        <f aca="false">G1513*I1513</f>
        <v>432</v>
      </c>
      <c r="M1513" s="9" t="n">
        <f aca="false">K1513-L1513</f>
        <v>593.7435</v>
      </c>
      <c r="N1513" s="11" t="n">
        <f aca="false">IF(K1513=0,0,M1513/K1513)</f>
        <v>0.578842078940788</v>
      </c>
      <c r="O1513" s="9" t="n">
        <f aca="false">(G1513*H1513)-K1513</f>
        <v>53.9865</v>
      </c>
      <c r="P1513" s="8" t="s">
        <v>21</v>
      </c>
    </row>
    <row r="1514" customFormat="false" ht="15" hidden="false" customHeight="false" outlineLevel="0" collapsed="false">
      <c r="A1514" s="2" t="n">
        <v>46093</v>
      </c>
      <c r="B1514" s="3" t="s">
        <v>41</v>
      </c>
      <c r="C1514" s="3" t="s">
        <v>28</v>
      </c>
      <c r="D1514" s="3" t="s">
        <v>84</v>
      </c>
      <c r="E1514" s="3" t="s">
        <v>85</v>
      </c>
      <c r="F1514" s="3" t="s">
        <v>20</v>
      </c>
      <c r="G1514" s="3" t="n">
        <v>26</v>
      </c>
      <c r="H1514" s="4" t="n">
        <v>34.99</v>
      </c>
      <c r="I1514" s="4" t="n">
        <v>13</v>
      </c>
      <c r="J1514" s="5" t="n">
        <v>0.1</v>
      </c>
      <c r="K1514" s="4" t="n">
        <f aca="false">G1514*H1514*(1-J1514)</f>
        <v>818.766</v>
      </c>
      <c r="L1514" s="4" t="n">
        <f aca="false">G1514*I1514</f>
        <v>338</v>
      </c>
      <c r="M1514" s="4" t="n">
        <f aca="false">K1514-L1514</f>
        <v>480.766</v>
      </c>
      <c r="N1514" s="6" t="n">
        <f aca="false">IF(K1514=0,0,M1514/K1514)</f>
        <v>0.587183639770093</v>
      </c>
      <c r="O1514" s="4" t="n">
        <f aca="false">(G1514*H1514)-K1514</f>
        <v>90.9739999999999</v>
      </c>
      <c r="P1514" s="3" t="s">
        <v>21</v>
      </c>
    </row>
    <row r="1515" customFormat="false" ht="15" hidden="false" customHeight="false" outlineLevel="0" collapsed="false">
      <c r="A1515" s="7" t="n">
        <v>46048</v>
      </c>
      <c r="B1515" s="8" t="s">
        <v>27</v>
      </c>
      <c r="C1515" s="8" t="s">
        <v>28</v>
      </c>
      <c r="D1515" s="8" t="s">
        <v>61</v>
      </c>
      <c r="E1515" s="8" t="s">
        <v>62</v>
      </c>
      <c r="F1515" s="8" t="s">
        <v>34</v>
      </c>
      <c r="G1515" s="8" t="n">
        <v>1</v>
      </c>
      <c r="H1515" s="9" t="n">
        <v>4.04</v>
      </c>
      <c r="I1515" s="9" t="n">
        <v>4.5</v>
      </c>
      <c r="J1515" s="10" t="n">
        <v>0</v>
      </c>
      <c r="K1515" s="9" t="n">
        <f aca="false">G1515*H1515*(1-J1515)</f>
        <v>4.04</v>
      </c>
      <c r="L1515" s="9" t="n">
        <f aca="false">G1515*I1515</f>
        <v>4.5</v>
      </c>
      <c r="M1515" s="9" t="n">
        <f aca="false">K1515-L1515</f>
        <v>-0.46</v>
      </c>
      <c r="N1515" s="11" t="n">
        <f aca="false">IF(K1515=0,0,M1515/K1515)</f>
        <v>-0.113861386138614</v>
      </c>
      <c r="O1515" s="9" t="n">
        <f aca="false">(G1515*H1515)-K1515</f>
        <v>0</v>
      </c>
      <c r="P1515" s="15" t="s">
        <v>98</v>
      </c>
    </row>
    <row r="1516" customFormat="false" ht="15" hidden="false" customHeight="false" outlineLevel="0" collapsed="false">
      <c r="A1516" s="2" t="n">
        <v>46073</v>
      </c>
      <c r="B1516" s="3" t="s">
        <v>27</v>
      </c>
      <c r="C1516" s="3" t="s">
        <v>28</v>
      </c>
      <c r="D1516" s="3" t="s">
        <v>42</v>
      </c>
      <c r="E1516" s="3" t="s">
        <v>43</v>
      </c>
      <c r="F1516" s="3" t="s">
        <v>34</v>
      </c>
      <c r="G1516" s="3" t="n">
        <v>27</v>
      </c>
      <c r="H1516" s="4" t="n">
        <v>11.99</v>
      </c>
      <c r="I1516" s="4" t="n">
        <v>3.5</v>
      </c>
      <c r="J1516" s="5" t="n">
        <v>0.05</v>
      </c>
      <c r="K1516" s="4" t="n">
        <f aca="false">G1516*H1516*(1-J1516)</f>
        <v>307.5435</v>
      </c>
      <c r="L1516" s="4" t="n">
        <f aca="false">G1516*I1516</f>
        <v>94.5</v>
      </c>
      <c r="M1516" s="4" t="n">
        <f aca="false">K1516-L1516</f>
        <v>213.0435</v>
      </c>
      <c r="N1516" s="6" t="n">
        <f aca="false">IF(K1516=0,0,M1516/K1516)</f>
        <v>0.692726394802687</v>
      </c>
      <c r="O1516" s="4" t="n">
        <f aca="false">(G1516*H1516)-K1516</f>
        <v>16.1865</v>
      </c>
      <c r="P1516" s="3" t="s">
        <v>21</v>
      </c>
    </row>
    <row r="1517" customFormat="false" ht="15" hidden="false" customHeight="false" outlineLevel="0" collapsed="false">
      <c r="A1517" s="7" t="n">
        <v>46085</v>
      </c>
      <c r="B1517" s="8" t="s">
        <v>64</v>
      </c>
      <c r="C1517" s="8" t="s">
        <v>65</v>
      </c>
      <c r="D1517" s="8" t="s">
        <v>70</v>
      </c>
      <c r="E1517" s="8" t="s">
        <v>71</v>
      </c>
      <c r="F1517" s="8" t="s">
        <v>20</v>
      </c>
      <c r="G1517" s="8" t="n">
        <v>10</v>
      </c>
      <c r="H1517" s="9" t="n">
        <v>49.99</v>
      </c>
      <c r="I1517" s="9" t="n">
        <v>19</v>
      </c>
      <c r="J1517" s="10" t="n">
        <v>0.1</v>
      </c>
      <c r="K1517" s="9" t="n">
        <f aca="false">G1517*H1517*(1-J1517)</f>
        <v>449.91</v>
      </c>
      <c r="L1517" s="9" t="n">
        <f aca="false">G1517*I1517</f>
        <v>190</v>
      </c>
      <c r="M1517" s="9" t="n">
        <f aca="false">K1517-L1517</f>
        <v>259.91</v>
      </c>
      <c r="N1517" s="11" t="n">
        <f aca="false">IF(K1517=0,0,M1517/K1517)</f>
        <v>0.577693316441066</v>
      </c>
      <c r="O1517" s="9" t="n">
        <f aca="false">(G1517*H1517)-K1517</f>
        <v>49.99</v>
      </c>
      <c r="P1517" s="8" t="s">
        <v>21</v>
      </c>
    </row>
    <row r="1518" customFormat="false" ht="15" hidden="false" customHeight="false" outlineLevel="0" collapsed="false">
      <c r="A1518" s="2" t="n">
        <v>46118</v>
      </c>
      <c r="B1518" s="3" t="s">
        <v>22</v>
      </c>
      <c r="C1518" s="3" t="s">
        <v>23</v>
      </c>
      <c r="D1518" s="3" t="s">
        <v>90</v>
      </c>
      <c r="E1518" s="3" t="s">
        <v>91</v>
      </c>
      <c r="F1518" s="3" t="s">
        <v>26</v>
      </c>
      <c r="G1518" s="3" t="n">
        <v>1</v>
      </c>
      <c r="H1518" s="4" t="n">
        <v>24.99</v>
      </c>
      <c r="I1518" s="4" t="n">
        <v>11</v>
      </c>
      <c r="J1518" s="5" t="n">
        <v>0.1</v>
      </c>
      <c r="K1518" s="4" t="n">
        <f aca="false">G1518*H1518*(1-J1518)</f>
        <v>22.491</v>
      </c>
      <c r="L1518" s="4" t="n">
        <f aca="false">G1518*I1518</f>
        <v>11</v>
      </c>
      <c r="M1518" s="4" t="n">
        <f aca="false">K1518-L1518</f>
        <v>11.491</v>
      </c>
      <c r="N1518" s="6" t="n">
        <f aca="false">IF(K1518=0,0,M1518/K1518)</f>
        <v>0.510915477302032</v>
      </c>
      <c r="O1518" s="4" t="n">
        <f aca="false">(G1518*H1518)-K1518</f>
        <v>2.499</v>
      </c>
      <c r="P1518" s="3" t="s">
        <v>21</v>
      </c>
    </row>
    <row r="1519" customFormat="false" ht="15" hidden="false" customHeight="false" outlineLevel="0" collapsed="false">
      <c r="A1519" s="7" t="n">
        <v>46050</v>
      </c>
      <c r="B1519" s="8" t="s">
        <v>27</v>
      </c>
      <c r="C1519" s="8" t="s">
        <v>28</v>
      </c>
      <c r="D1519" s="8" t="s">
        <v>35</v>
      </c>
      <c r="E1519" s="8" t="s">
        <v>36</v>
      </c>
      <c r="F1519" s="8" t="s">
        <v>26</v>
      </c>
      <c r="G1519" s="8" t="n">
        <v>2</v>
      </c>
      <c r="H1519" s="9" t="n">
        <v>69.99</v>
      </c>
      <c r="I1519" s="9" t="n">
        <v>30</v>
      </c>
      <c r="J1519" s="10" t="n">
        <v>0.05</v>
      </c>
      <c r="K1519" s="9" t="n">
        <f aca="false">G1519*H1519*(1-J1519)</f>
        <v>132.981</v>
      </c>
      <c r="L1519" s="9" t="n">
        <f aca="false">G1519*I1519</f>
        <v>60</v>
      </c>
      <c r="M1519" s="9" t="n">
        <f aca="false">K1519-L1519</f>
        <v>72.981</v>
      </c>
      <c r="N1519" s="11" t="n">
        <f aca="false">IF(K1519=0,0,M1519/K1519)</f>
        <v>0.548807724411758</v>
      </c>
      <c r="O1519" s="9" t="n">
        <f aca="false">(G1519*H1519)-K1519</f>
        <v>6.999</v>
      </c>
      <c r="P1519" s="8" t="s">
        <v>21</v>
      </c>
    </row>
    <row r="1520" customFormat="false" ht="15" hidden="false" customHeight="false" outlineLevel="0" collapsed="false">
      <c r="A1520" s="2" t="n">
        <v>46076</v>
      </c>
      <c r="B1520" s="3" t="s">
        <v>58</v>
      </c>
      <c r="C1520" s="3" t="s">
        <v>58</v>
      </c>
      <c r="D1520" s="3" t="s">
        <v>59</v>
      </c>
      <c r="E1520" s="3" t="s">
        <v>60</v>
      </c>
      <c r="F1520" s="3" t="s">
        <v>50</v>
      </c>
      <c r="G1520" s="3" t="n">
        <v>4</v>
      </c>
      <c r="H1520" s="4" t="n">
        <v>24.99</v>
      </c>
      <c r="I1520" s="4" t="n">
        <v>8.5</v>
      </c>
      <c r="J1520" s="5" t="n">
        <v>0.2</v>
      </c>
      <c r="K1520" s="4" t="n">
        <f aca="false">G1520*H1520*(1-J1520)</f>
        <v>79.968</v>
      </c>
      <c r="L1520" s="4" t="n">
        <f aca="false">G1520*I1520</f>
        <v>34</v>
      </c>
      <c r="M1520" s="4" t="n">
        <f aca="false">K1520-L1520</f>
        <v>45.968</v>
      </c>
      <c r="N1520" s="6" t="n">
        <f aca="false">IF(K1520=0,0,M1520/K1520)</f>
        <v>0.574829931972789</v>
      </c>
      <c r="O1520" s="4" t="n">
        <f aca="false">(G1520*H1520)-K1520</f>
        <v>19.992</v>
      </c>
      <c r="P1520" s="3" t="s">
        <v>21</v>
      </c>
    </row>
    <row r="1521" customFormat="false" ht="15" hidden="false" customHeight="false" outlineLevel="0" collapsed="false">
      <c r="A1521" s="7" t="n">
        <v>46081</v>
      </c>
      <c r="B1521" s="8" t="s">
        <v>27</v>
      </c>
      <c r="C1521" s="8" t="s">
        <v>28</v>
      </c>
      <c r="D1521" s="8" t="s">
        <v>24</v>
      </c>
      <c r="E1521" s="8" t="s">
        <v>25</v>
      </c>
      <c r="F1521" s="8" t="s">
        <v>26</v>
      </c>
      <c r="G1521" s="8" t="n">
        <v>13</v>
      </c>
      <c r="H1521" s="9" t="n">
        <v>54.99</v>
      </c>
      <c r="I1521" s="9" t="n">
        <v>24</v>
      </c>
      <c r="J1521" s="10" t="n">
        <v>0.15</v>
      </c>
      <c r="K1521" s="9" t="n">
        <f aca="false">G1521*H1521*(1-J1521)</f>
        <v>607.6395</v>
      </c>
      <c r="L1521" s="9" t="n">
        <f aca="false">G1521*I1521</f>
        <v>312</v>
      </c>
      <c r="M1521" s="9" t="n">
        <f aca="false">K1521-L1521</f>
        <v>295.6395</v>
      </c>
      <c r="N1521" s="11" t="n">
        <f aca="false">IF(K1521=0,0,M1521/K1521)</f>
        <v>0.486537659253554</v>
      </c>
      <c r="O1521" s="9" t="n">
        <f aca="false">(G1521*H1521)-K1521</f>
        <v>107.2305</v>
      </c>
      <c r="P1521" s="8" t="s">
        <v>21</v>
      </c>
    </row>
    <row r="1522" customFormat="false" ht="15" hidden="false" customHeight="false" outlineLevel="0" collapsed="false">
      <c r="A1522" s="2" t="n">
        <v>46094</v>
      </c>
      <c r="B1522" s="3" t="s">
        <v>31</v>
      </c>
      <c r="C1522" s="3" t="s">
        <v>23</v>
      </c>
      <c r="D1522" s="3" t="s">
        <v>44</v>
      </c>
      <c r="E1522" s="3" t="s">
        <v>45</v>
      </c>
      <c r="F1522" s="3" t="s">
        <v>40</v>
      </c>
      <c r="G1522" s="3" t="n">
        <v>3</v>
      </c>
      <c r="H1522" s="4" t="n">
        <v>29.99</v>
      </c>
      <c r="I1522" s="4" t="n">
        <v>11</v>
      </c>
      <c r="J1522" s="5" t="n">
        <v>0.25</v>
      </c>
      <c r="K1522" s="4" t="n">
        <f aca="false">G1522*H1522*(1-J1522)</f>
        <v>67.4775</v>
      </c>
      <c r="L1522" s="4" t="n">
        <f aca="false">G1522*I1522</f>
        <v>33</v>
      </c>
      <c r="M1522" s="4" t="n">
        <f aca="false">K1522-L1522</f>
        <v>34.4775</v>
      </c>
      <c r="N1522" s="6" t="n">
        <f aca="false">IF(K1522=0,0,M1522/K1522)</f>
        <v>0.510948093809047</v>
      </c>
      <c r="O1522" s="4" t="n">
        <f aca="false">(G1522*H1522)-K1522</f>
        <v>22.4925</v>
      </c>
      <c r="P1522" s="3" t="s">
        <v>21</v>
      </c>
    </row>
    <row r="1523" customFormat="false" ht="15" hidden="false" customHeight="false" outlineLevel="0" collapsed="false">
      <c r="A1523" s="7" t="n">
        <v>46054</v>
      </c>
      <c r="B1523" s="8" t="s">
        <v>16</v>
      </c>
      <c r="C1523" s="8" t="s">
        <v>17</v>
      </c>
      <c r="D1523" s="8" t="s">
        <v>74</v>
      </c>
      <c r="E1523" s="8" t="s">
        <v>75</v>
      </c>
      <c r="F1523" s="8" t="s">
        <v>40</v>
      </c>
      <c r="G1523" s="8" t="n">
        <v>19</v>
      </c>
      <c r="H1523" s="9" t="n">
        <v>29.99</v>
      </c>
      <c r="I1523" s="9" t="n">
        <v>13</v>
      </c>
      <c r="J1523" s="10" t="n">
        <v>0</v>
      </c>
      <c r="K1523" s="9" t="n">
        <f aca="false">G1523*H1523*(1-J1523)</f>
        <v>569.81</v>
      </c>
      <c r="L1523" s="9" t="n">
        <f aca="false">G1523*I1523</f>
        <v>247</v>
      </c>
      <c r="M1523" s="9" t="n">
        <f aca="false">K1523-L1523</f>
        <v>322.81</v>
      </c>
      <c r="N1523" s="11" t="n">
        <f aca="false">IF(K1523=0,0,M1523/K1523)</f>
        <v>0.566522174058019</v>
      </c>
      <c r="O1523" s="9" t="n">
        <f aca="false">(G1523*H1523)-K1523</f>
        <v>0</v>
      </c>
      <c r="P1523" s="8" t="s">
        <v>21</v>
      </c>
    </row>
    <row r="1524" customFormat="false" ht="15" hidden="false" customHeight="false" outlineLevel="0" collapsed="false">
      <c r="A1524" s="2" t="n">
        <v>46026</v>
      </c>
      <c r="B1524" s="3" t="s">
        <v>22</v>
      </c>
      <c r="C1524" s="3" t="s">
        <v>23</v>
      </c>
      <c r="D1524" s="3" t="s">
        <v>93</v>
      </c>
      <c r="E1524" s="3" t="s">
        <v>94</v>
      </c>
      <c r="F1524" s="3" t="s">
        <v>34</v>
      </c>
      <c r="G1524" s="3" t="n">
        <v>17</v>
      </c>
      <c r="H1524" s="4" t="n">
        <v>29.99</v>
      </c>
      <c r="I1524" s="4" t="n">
        <v>9</v>
      </c>
      <c r="J1524" s="5" t="n">
        <v>0</v>
      </c>
      <c r="K1524" s="4" t="n">
        <f aca="false">G1524*H1524*(1-J1524)</f>
        <v>509.83</v>
      </c>
      <c r="L1524" s="4" t="n">
        <f aca="false">G1524*I1524</f>
        <v>153</v>
      </c>
      <c r="M1524" s="4" t="n">
        <f aca="false">K1524-L1524</f>
        <v>356.83</v>
      </c>
      <c r="N1524" s="6" t="n">
        <f aca="false">IF(K1524=0,0,M1524/K1524)</f>
        <v>0.699899966655552</v>
      </c>
      <c r="O1524" s="4" t="n">
        <f aca="false">(G1524*H1524)-K1524</f>
        <v>0</v>
      </c>
      <c r="P1524" s="3" t="s">
        <v>21</v>
      </c>
    </row>
    <row r="1525" customFormat="false" ht="15" hidden="false" customHeight="false" outlineLevel="0" collapsed="false">
      <c r="A1525" s="7" t="n">
        <v>46053</v>
      </c>
      <c r="B1525" s="8" t="s">
        <v>16</v>
      </c>
      <c r="C1525" s="8" t="s">
        <v>17</v>
      </c>
      <c r="D1525" s="8" t="s">
        <v>93</v>
      </c>
      <c r="E1525" s="8" t="s">
        <v>94</v>
      </c>
      <c r="F1525" s="8" t="s">
        <v>34</v>
      </c>
      <c r="G1525" s="8" t="n">
        <v>22</v>
      </c>
      <c r="H1525" s="9" t="n">
        <v>29.99</v>
      </c>
      <c r="I1525" s="9" t="n">
        <v>9</v>
      </c>
      <c r="J1525" s="10" t="n">
        <v>0.05</v>
      </c>
      <c r="K1525" s="9" t="n">
        <f aca="false">G1525*H1525*(1-J1525)</f>
        <v>626.791</v>
      </c>
      <c r="L1525" s="9" t="n">
        <f aca="false">G1525*I1525</f>
        <v>198</v>
      </c>
      <c r="M1525" s="9" t="n">
        <f aca="false">K1525-L1525</f>
        <v>428.791</v>
      </c>
      <c r="N1525" s="11" t="n">
        <f aca="false">IF(K1525=0,0,M1525/K1525)</f>
        <v>0.684105228058476</v>
      </c>
      <c r="O1525" s="9" t="n">
        <f aca="false">(G1525*H1525)-K1525</f>
        <v>32.989</v>
      </c>
      <c r="P1525" s="8" t="s">
        <v>21</v>
      </c>
    </row>
    <row r="1526" customFormat="false" ht="15" hidden="false" customHeight="false" outlineLevel="0" collapsed="false">
      <c r="A1526" s="2" t="n">
        <v>46096</v>
      </c>
      <c r="B1526" s="3" t="s">
        <v>64</v>
      </c>
      <c r="C1526" s="3" t="s">
        <v>65</v>
      </c>
      <c r="D1526" s="3" t="s">
        <v>29</v>
      </c>
      <c r="E1526" s="3" t="s">
        <v>30</v>
      </c>
      <c r="F1526" s="3" t="s">
        <v>20</v>
      </c>
      <c r="G1526" s="3" t="n">
        <v>20</v>
      </c>
      <c r="H1526" s="4" t="n">
        <v>79.99</v>
      </c>
      <c r="I1526" s="4" t="n">
        <v>42</v>
      </c>
      <c r="J1526" s="5" t="n">
        <v>0</v>
      </c>
      <c r="K1526" s="4" t="n">
        <f aca="false">G1526*H1526*(1-J1526)</f>
        <v>1599.8</v>
      </c>
      <c r="L1526" s="4" t="n">
        <f aca="false">G1526*I1526</f>
        <v>840</v>
      </c>
      <c r="M1526" s="4" t="n">
        <f aca="false">K1526-L1526</f>
        <v>759.8</v>
      </c>
      <c r="N1526" s="6" t="n">
        <f aca="false">IF(K1526=0,0,M1526/K1526)</f>
        <v>0.474934366795849</v>
      </c>
      <c r="O1526" s="4" t="n">
        <f aca="false">(G1526*H1526)-K1526</f>
        <v>0</v>
      </c>
      <c r="P1526" s="3" t="s">
        <v>21</v>
      </c>
    </row>
    <row r="1527" customFormat="false" ht="15" hidden="false" customHeight="false" outlineLevel="0" collapsed="false">
      <c r="A1527" s="7" t="n">
        <v>46024</v>
      </c>
      <c r="B1527" s="8" t="s">
        <v>22</v>
      </c>
      <c r="C1527" s="8" t="s">
        <v>23</v>
      </c>
      <c r="D1527" s="8" t="s">
        <v>38</v>
      </c>
      <c r="E1527" s="8" t="s">
        <v>39</v>
      </c>
      <c r="F1527" s="8" t="s">
        <v>40</v>
      </c>
      <c r="G1527" s="8" t="n">
        <v>4</v>
      </c>
      <c r="H1527" s="9" t="n">
        <v>12.99</v>
      </c>
      <c r="I1527" s="9" t="n">
        <v>4</v>
      </c>
      <c r="J1527" s="10" t="n">
        <v>0.25</v>
      </c>
      <c r="K1527" s="9" t="n">
        <f aca="false">G1527*H1527*(1-J1527)</f>
        <v>38.97</v>
      </c>
      <c r="L1527" s="9" t="n">
        <f aca="false">G1527*I1527</f>
        <v>16</v>
      </c>
      <c r="M1527" s="9" t="n">
        <f aca="false">K1527-L1527</f>
        <v>22.97</v>
      </c>
      <c r="N1527" s="11" t="n">
        <f aca="false">IF(K1527=0,0,M1527/K1527)</f>
        <v>0.589427764947396</v>
      </c>
      <c r="O1527" s="9" t="n">
        <f aca="false">(G1527*H1527)-K1527</f>
        <v>12.99</v>
      </c>
      <c r="P1527" s="8" t="s">
        <v>21</v>
      </c>
    </row>
    <row r="1528" customFormat="false" ht="15" hidden="false" customHeight="false" outlineLevel="0" collapsed="false">
      <c r="A1528" s="2" t="n">
        <v>46127</v>
      </c>
      <c r="B1528" s="3" t="s">
        <v>31</v>
      </c>
      <c r="C1528" s="3" t="s">
        <v>23</v>
      </c>
      <c r="D1528" s="3" t="s">
        <v>72</v>
      </c>
      <c r="E1528" s="3" t="s">
        <v>73</v>
      </c>
      <c r="F1528" s="3" t="s">
        <v>57</v>
      </c>
      <c r="G1528" s="3" t="n">
        <v>9</v>
      </c>
      <c r="H1528" s="4" t="n">
        <v>19.99</v>
      </c>
      <c r="I1528" s="4" t="n">
        <v>7</v>
      </c>
      <c r="J1528" s="5" t="n">
        <v>0</v>
      </c>
      <c r="K1528" s="4" t="n">
        <f aca="false">G1528*H1528*(1-J1528)</f>
        <v>179.91</v>
      </c>
      <c r="L1528" s="4" t="n">
        <f aca="false">G1528*I1528</f>
        <v>63</v>
      </c>
      <c r="M1528" s="4" t="n">
        <f aca="false">K1528-L1528</f>
        <v>116.91</v>
      </c>
      <c r="N1528" s="6" t="n">
        <f aca="false">IF(K1528=0,0,M1528/K1528)</f>
        <v>0.649824912456228</v>
      </c>
      <c r="O1528" s="4" t="n">
        <f aca="false">(G1528*H1528)-K1528</f>
        <v>0</v>
      </c>
      <c r="P1528" s="3" t="s">
        <v>21</v>
      </c>
    </row>
    <row r="1529" customFormat="false" ht="15" hidden="false" customHeight="false" outlineLevel="0" collapsed="false">
      <c r="A1529" s="7" t="n">
        <v>46095</v>
      </c>
      <c r="B1529" s="8" t="s">
        <v>31</v>
      </c>
      <c r="C1529" s="8" t="s">
        <v>23</v>
      </c>
      <c r="D1529" s="8" t="s">
        <v>70</v>
      </c>
      <c r="E1529" s="8" t="s">
        <v>71</v>
      </c>
      <c r="F1529" s="8" t="s">
        <v>20</v>
      </c>
      <c r="G1529" s="8" t="n">
        <v>25</v>
      </c>
      <c r="H1529" s="9" t="n">
        <v>49.99</v>
      </c>
      <c r="I1529" s="9" t="n">
        <v>19</v>
      </c>
      <c r="J1529" s="10" t="n">
        <v>0.3</v>
      </c>
      <c r="K1529" s="9" t="n">
        <f aca="false">G1529*H1529*(1-J1529)</f>
        <v>874.825</v>
      </c>
      <c r="L1529" s="9" t="n">
        <f aca="false">G1529*I1529</f>
        <v>475</v>
      </c>
      <c r="M1529" s="9" t="n">
        <f aca="false">K1529-L1529</f>
        <v>399.825</v>
      </c>
      <c r="N1529" s="11" t="n">
        <f aca="false">IF(K1529=0,0,M1529/K1529)</f>
        <v>0.457034263995656</v>
      </c>
      <c r="O1529" s="9" t="n">
        <f aca="false">(G1529*H1529)-K1529</f>
        <v>374.925</v>
      </c>
      <c r="P1529" s="8" t="s">
        <v>21</v>
      </c>
    </row>
    <row r="1530" customFormat="false" ht="15" hidden="false" customHeight="false" outlineLevel="0" collapsed="false">
      <c r="A1530" s="2" t="n">
        <v>46040</v>
      </c>
      <c r="B1530" s="3" t="s">
        <v>16</v>
      </c>
      <c r="C1530" s="3" t="s">
        <v>17</v>
      </c>
      <c r="D1530" s="3" t="s">
        <v>93</v>
      </c>
      <c r="E1530" s="3" t="s">
        <v>94</v>
      </c>
      <c r="F1530" s="3" t="s">
        <v>34</v>
      </c>
      <c r="G1530" s="3" t="n">
        <v>14</v>
      </c>
      <c r="H1530" s="4" t="n">
        <v>29.99</v>
      </c>
      <c r="I1530" s="4" t="n">
        <v>9</v>
      </c>
      <c r="J1530" s="5" t="n">
        <v>0.3</v>
      </c>
      <c r="K1530" s="4" t="n">
        <f aca="false">G1530*H1530*(1-J1530)</f>
        <v>293.902</v>
      </c>
      <c r="L1530" s="4" t="n">
        <f aca="false">G1530*I1530</f>
        <v>126</v>
      </c>
      <c r="M1530" s="4" t="n">
        <f aca="false">K1530-L1530</f>
        <v>167.902</v>
      </c>
      <c r="N1530" s="6" t="n">
        <f aca="false">IF(K1530=0,0,M1530/K1530)</f>
        <v>0.571285666650788</v>
      </c>
      <c r="O1530" s="4" t="n">
        <f aca="false">(G1530*H1530)-K1530</f>
        <v>125.958</v>
      </c>
      <c r="P1530" s="3" t="s">
        <v>21</v>
      </c>
    </row>
    <row r="1531" customFormat="false" ht="15" hidden="false" customHeight="false" outlineLevel="0" collapsed="false">
      <c r="A1531" s="7" t="n">
        <v>46092</v>
      </c>
      <c r="B1531" s="8" t="s">
        <v>58</v>
      </c>
      <c r="C1531" s="8" t="s">
        <v>58</v>
      </c>
      <c r="D1531" s="8" t="s">
        <v>29</v>
      </c>
      <c r="E1531" s="8" t="s">
        <v>30</v>
      </c>
      <c r="F1531" s="8" t="s">
        <v>20</v>
      </c>
      <c r="G1531" s="8" t="n">
        <v>7</v>
      </c>
      <c r="H1531" s="9" t="n">
        <v>79.99</v>
      </c>
      <c r="I1531" s="9" t="n">
        <v>42</v>
      </c>
      <c r="J1531" s="10" t="n">
        <v>0.05</v>
      </c>
      <c r="K1531" s="9" t="n">
        <f aca="false">G1531*H1531*(1-J1531)</f>
        <v>531.9335</v>
      </c>
      <c r="L1531" s="9" t="n">
        <f aca="false">G1531*I1531</f>
        <v>294</v>
      </c>
      <c r="M1531" s="9" t="n">
        <f aca="false">K1531-L1531</f>
        <v>237.9335</v>
      </c>
      <c r="N1531" s="11" t="n">
        <f aca="false">IF(K1531=0,0,M1531/K1531)</f>
        <v>0.447299333469315</v>
      </c>
      <c r="O1531" s="9" t="n">
        <f aca="false">(G1531*H1531)-K1531</f>
        <v>27.9965</v>
      </c>
      <c r="P1531" s="8" t="s">
        <v>21</v>
      </c>
    </row>
    <row r="1532" customFormat="false" ht="15" hidden="false" customHeight="false" outlineLevel="0" collapsed="false">
      <c r="A1532" s="2" t="n">
        <v>46056</v>
      </c>
      <c r="B1532" s="3" t="s">
        <v>41</v>
      </c>
      <c r="C1532" s="3" t="s">
        <v>28</v>
      </c>
      <c r="D1532" s="3" t="s">
        <v>18</v>
      </c>
      <c r="E1532" s="3" t="s">
        <v>19</v>
      </c>
      <c r="F1532" s="3" t="s">
        <v>20</v>
      </c>
      <c r="G1532" s="3" t="n">
        <v>23</v>
      </c>
      <c r="H1532" s="4" t="n">
        <v>24.99</v>
      </c>
      <c r="I1532" s="4" t="n">
        <v>10.5</v>
      </c>
      <c r="J1532" s="5" t="n">
        <v>0.3</v>
      </c>
      <c r="K1532" s="4" t="n">
        <f aca="false">G1532*H1532*(1-J1532)</f>
        <v>402.339</v>
      </c>
      <c r="L1532" s="4" t="n">
        <f aca="false">G1532*I1532</f>
        <v>241.5</v>
      </c>
      <c r="M1532" s="4" t="n">
        <f aca="false">K1532-L1532</f>
        <v>160.839</v>
      </c>
      <c r="N1532" s="6" t="n">
        <f aca="false">IF(K1532=0,0,M1532/K1532)</f>
        <v>0.399759903961585</v>
      </c>
      <c r="O1532" s="4" t="n">
        <f aca="false">(G1532*H1532)-K1532</f>
        <v>172.431</v>
      </c>
      <c r="P1532" s="3" t="s">
        <v>21</v>
      </c>
    </row>
    <row r="1533" customFormat="false" ht="15" hidden="false" customHeight="false" outlineLevel="0" collapsed="false">
      <c r="A1533" s="7" t="n">
        <v>46125</v>
      </c>
      <c r="B1533" s="8" t="s">
        <v>31</v>
      </c>
      <c r="C1533" s="8" t="s">
        <v>23</v>
      </c>
      <c r="D1533" s="8" t="s">
        <v>29</v>
      </c>
      <c r="E1533" s="8" t="s">
        <v>30</v>
      </c>
      <c r="F1533" s="8" t="s">
        <v>20</v>
      </c>
      <c r="G1533" s="8" t="n">
        <v>13</v>
      </c>
      <c r="H1533" s="9" t="n">
        <v>79.99</v>
      </c>
      <c r="I1533" s="9" t="n">
        <v>42</v>
      </c>
      <c r="J1533" s="10" t="n">
        <v>0.3</v>
      </c>
      <c r="K1533" s="9" t="n">
        <f aca="false">G1533*H1533*(1-J1533)</f>
        <v>727.909</v>
      </c>
      <c r="L1533" s="9" t="n">
        <f aca="false">G1533*I1533</f>
        <v>546</v>
      </c>
      <c r="M1533" s="9" t="n">
        <f aca="false">K1533-L1533</f>
        <v>181.909</v>
      </c>
      <c r="N1533" s="11" t="n">
        <f aca="false">IF(K1533=0,0,M1533/K1533)</f>
        <v>0.249906238279785</v>
      </c>
      <c r="O1533" s="9" t="n">
        <f aca="false">(G1533*H1533)-K1533</f>
        <v>311.961</v>
      </c>
      <c r="P1533" s="8" t="s">
        <v>21</v>
      </c>
    </row>
    <row r="1534" customFormat="false" ht="15" hidden="false" customHeight="false" outlineLevel="0" collapsed="false">
      <c r="A1534" s="2" t="n">
        <v>46118</v>
      </c>
      <c r="B1534" s="3" t="s">
        <v>27</v>
      </c>
      <c r="C1534" s="3" t="s">
        <v>28</v>
      </c>
      <c r="D1534" s="3" t="s">
        <v>86</v>
      </c>
      <c r="E1534" s="3" t="s">
        <v>87</v>
      </c>
      <c r="F1534" s="3" t="s">
        <v>40</v>
      </c>
      <c r="G1534" s="3" t="n">
        <v>2</v>
      </c>
      <c r="H1534" s="4" t="n">
        <v>16.99</v>
      </c>
      <c r="I1534" s="4" t="n">
        <v>5.5</v>
      </c>
      <c r="J1534" s="5" t="n">
        <v>0</v>
      </c>
      <c r="K1534" s="4" t="n">
        <f aca="false">G1534*H1534*(1-J1534)</f>
        <v>33.98</v>
      </c>
      <c r="L1534" s="4" t="n">
        <f aca="false">G1534*I1534</f>
        <v>11</v>
      </c>
      <c r="M1534" s="4" t="n">
        <f aca="false">K1534-L1534</f>
        <v>22.98</v>
      </c>
      <c r="N1534" s="6" t="n">
        <f aca="false">IF(K1534=0,0,M1534/K1534)</f>
        <v>0.676280164802825</v>
      </c>
      <c r="O1534" s="4" t="n">
        <f aca="false">(G1534*H1534)-K1534</f>
        <v>0</v>
      </c>
      <c r="P1534" s="3" t="s">
        <v>21</v>
      </c>
    </row>
    <row r="1535" customFormat="false" ht="15" hidden="false" customHeight="false" outlineLevel="0" collapsed="false">
      <c r="A1535" s="7" t="n">
        <v>46081</v>
      </c>
      <c r="B1535" s="8" t="s">
        <v>31</v>
      </c>
      <c r="C1535" s="8" t="s">
        <v>23</v>
      </c>
      <c r="D1535" s="8" t="s">
        <v>51</v>
      </c>
      <c r="E1535" s="8" t="s">
        <v>52</v>
      </c>
      <c r="F1535" s="8" t="s">
        <v>50</v>
      </c>
      <c r="G1535" s="8" t="n">
        <v>7</v>
      </c>
      <c r="H1535" s="9" t="n">
        <v>19.99</v>
      </c>
      <c r="I1535" s="9" t="n">
        <v>7</v>
      </c>
      <c r="J1535" s="10" t="n">
        <v>0.05</v>
      </c>
      <c r="K1535" s="9" t="n">
        <f aca="false">G1535*H1535*(1-J1535)</f>
        <v>132.9335</v>
      </c>
      <c r="L1535" s="9" t="n">
        <f aca="false">G1535*I1535</f>
        <v>49</v>
      </c>
      <c r="M1535" s="9" t="n">
        <f aca="false">K1535-L1535</f>
        <v>83.9335</v>
      </c>
      <c r="N1535" s="11" t="n">
        <f aca="false">IF(K1535=0,0,M1535/K1535)</f>
        <v>0.631394644690766</v>
      </c>
      <c r="O1535" s="9" t="n">
        <f aca="false">(G1535*H1535)-K1535</f>
        <v>6.9965</v>
      </c>
      <c r="P1535" s="8" t="s">
        <v>21</v>
      </c>
    </row>
    <row r="1536" customFormat="false" ht="15" hidden="false" customHeight="false" outlineLevel="0" collapsed="false">
      <c r="A1536" s="2" t="n">
        <v>46084</v>
      </c>
      <c r="B1536" s="3" t="s">
        <v>64</v>
      </c>
      <c r="C1536" s="3" t="s">
        <v>65</v>
      </c>
      <c r="D1536" s="3" t="s">
        <v>76</v>
      </c>
      <c r="E1536" s="3" t="s">
        <v>77</v>
      </c>
      <c r="F1536" s="3" t="s">
        <v>34</v>
      </c>
      <c r="G1536" s="3" t="n">
        <v>24</v>
      </c>
      <c r="H1536" s="4" t="n">
        <v>49.99</v>
      </c>
      <c r="I1536" s="4" t="n">
        <v>14</v>
      </c>
      <c r="J1536" s="5" t="n">
        <v>0.2</v>
      </c>
      <c r="K1536" s="4" t="n">
        <f aca="false">G1536*H1536*(1-J1536)</f>
        <v>959.808</v>
      </c>
      <c r="L1536" s="4" t="n">
        <f aca="false">G1536*I1536</f>
        <v>336</v>
      </c>
      <c r="M1536" s="4" t="n">
        <f aca="false">K1536-L1536</f>
        <v>623.808</v>
      </c>
      <c r="N1536" s="6" t="n">
        <f aca="false">IF(K1536=0,0,M1536/K1536)</f>
        <v>0.649929985997199</v>
      </c>
      <c r="O1536" s="4" t="n">
        <f aca="false">(G1536*H1536)-K1536</f>
        <v>239.952</v>
      </c>
      <c r="P1536" s="3" t="s">
        <v>21</v>
      </c>
    </row>
    <row r="1537" customFormat="false" ht="15" hidden="false" customHeight="false" outlineLevel="0" collapsed="false">
      <c r="A1537" s="7" t="n">
        <v>46110</v>
      </c>
      <c r="B1537" s="8" t="s">
        <v>16</v>
      </c>
      <c r="C1537" s="8" t="s">
        <v>17</v>
      </c>
      <c r="D1537" s="8" t="s">
        <v>42</v>
      </c>
      <c r="E1537" s="8" t="s">
        <v>43</v>
      </c>
      <c r="F1537" s="8" t="s">
        <v>34</v>
      </c>
      <c r="G1537" s="8" t="n">
        <v>17</v>
      </c>
      <c r="H1537" s="9" t="n">
        <v>11.99</v>
      </c>
      <c r="I1537" s="9" t="n">
        <v>3.5</v>
      </c>
      <c r="J1537" s="10" t="n">
        <v>0</v>
      </c>
      <c r="K1537" s="9" t="n">
        <f aca="false">G1537*H1537*(1-J1537)</f>
        <v>203.83</v>
      </c>
      <c r="L1537" s="9" t="n">
        <f aca="false">G1537*I1537</f>
        <v>59.5</v>
      </c>
      <c r="M1537" s="9" t="n">
        <f aca="false">K1537-L1537</f>
        <v>144.33</v>
      </c>
      <c r="N1537" s="11" t="n">
        <f aca="false">IF(K1537=0,0,M1537/K1537)</f>
        <v>0.708090075062552</v>
      </c>
      <c r="O1537" s="9" t="n">
        <f aca="false">(G1537*H1537)-K1537</f>
        <v>0</v>
      </c>
      <c r="P1537" s="8" t="s">
        <v>21</v>
      </c>
    </row>
    <row r="1538" customFormat="false" ht="15" hidden="false" customHeight="false" outlineLevel="0" collapsed="false">
      <c r="A1538" s="2" t="n">
        <v>46059</v>
      </c>
      <c r="B1538" s="3" t="s">
        <v>37</v>
      </c>
      <c r="C1538" s="3" t="s">
        <v>17</v>
      </c>
      <c r="D1538" s="3" t="s">
        <v>78</v>
      </c>
      <c r="E1538" s="3" t="s">
        <v>79</v>
      </c>
      <c r="F1538" s="3" t="s">
        <v>20</v>
      </c>
      <c r="G1538" s="3" t="n">
        <v>26</v>
      </c>
      <c r="H1538" s="4" t="n">
        <v>39.99</v>
      </c>
      <c r="I1538" s="4" t="n">
        <v>16</v>
      </c>
      <c r="J1538" s="5" t="n">
        <v>0.25</v>
      </c>
      <c r="K1538" s="4" t="n">
        <f aca="false">G1538*H1538*(1-J1538)</f>
        <v>779.805</v>
      </c>
      <c r="L1538" s="4" t="n">
        <f aca="false">G1538*I1538</f>
        <v>416</v>
      </c>
      <c r="M1538" s="4" t="n">
        <f aca="false">K1538-L1538</f>
        <v>363.805</v>
      </c>
      <c r="N1538" s="6" t="n">
        <f aca="false">IF(K1538=0,0,M1538/K1538)</f>
        <v>0.466533299991665</v>
      </c>
      <c r="O1538" s="4" t="n">
        <f aca="false">(G1538*H1538)-K1538</f>
        <v>259.935</v>
      </c>
      <c r="P1538" s="3" t="s">
        <v>21</v>
      </c>
    </row>
    <row r="1539" customFormat="false" ht="15" hidden="false" customHeight="false" outlineLevel="0" collapsed="false">
      <c r="A1539" s="7" t="n">
        <v>46036</v>
      </c>
      <c r="B1539" s="8" t="s">
        <v>16</v>
      </c>
      <c r="C1539" s="8" t="s">
        <v>17</v>
      </c>
      <c r="D1539" s="8" t="s">
        <v>46</v>
      </c>
      <c r="E1539" s="8" t="s">
        <v>47</v>
      </c>
      <c r="F1539" s="8" t="s">
        <v>20</v>
      </c>
      <c r="G1539" s="8" t="n">
        <v>6</v>
      </c>
      <c r="H1539" s="9" t="n">
        <v>44.99</v>
      </c>
      <c r="I1539" s="9" t="n">
        <v>18</v>
      </c>
      <c r="J1539" s="10" t="n">
        <v>0.15</v>
      </c>
      <c r="K1539" s="9" t="n">
        <f aca="false">G1539*H1539*(1-J1539)</f>
        <v>229.449</v>
      </c>
      <c r="L1539" s="9" t="n">
        <f aca="false">G1539*I1539</f>
        <v>108</v>
      </c>
      <c r="M1539" s="9" t="n">
        <f aca="false">K1539-L1539</f>
        <v>121.449</v>
      </c>
      <c r="N1539" s="11" t="n">
        <f aca="false">IF(K1539=0,0,M1539/K1539)</f>
        <v>0.529307166298393</v>
      </c>
      <c r="O1539" s="9" t="n">
        <f aca="false">(G1539*H1539)-K1539</f>
        <v>40.491</v>
      </c>
      <c r="P1539" s="8" t="s">
        <v>21</v>
      </c>
    </row>
    <row r="1540" customFormat="false" ht="15" hidden="false" customHeight="false" outlineLevel="0" collapsed="false">
      <c r="A1540" s="2" t="n">
        <v>46046</v>
      </c>
      <c r="B1540" s="3" t="s">
        <v>16</v>
      </c>
      <c r="C1540" s="3" t="s">
        <v>17</v>
      </c>
      <c r="D1540" s="3" t="s">
        <v>93</v>
      </c>
      <c r="E1540" s="3" t="s">
        <v>94</v>
      </c>
      <c r="F1540" s="3" t="s">
        <v>34</v>
      </c>
      <c r="G1540" s="3" t="n">
        <v>17</v>
      </c>
      <c r="H1540" s="4" t="n">
        <v>29.99</v>
      </c>
      <c r="I1540" s="4" t="n">
        <v>9</v>
      </c>
      <c r="J1540" s="5" t="n">
        <v>0</v>
      </c>
      <c r="K1540" s="4" t="n">
        <f aca="false">G1540*H1540*(1-J1540)</f>
        <v>509.83</v>
      </c>
      <c r="L1540" s="4" t="n">
        <f aca="false">G1540*I1540</f>
        <v>153</v>
      </c>
      <c r="M1540" s="4" t="n">
        <f aca="false">K1540-L1540</f>
        <v>356.83</v>
      </c>
      <c r="N1540" s="6" t="n">
        <f aca="false">IF(K1540=0,0,M1540/K1540)</f>
        <v>0.699899966655552</v>
      </c>
      <c r="O1540" s="4" t="n">
        <f aca="false">(G1540*H1540)-K1540</f>
        <v>0</v>
      </c>
      <c r="P1540" s="3" t="s">
        <v>21</v>
      </c>
    </row>
    <row r="1541" customFormat="false" ht="15" hidden="false" customHeight="false" outlineLevel="0" collapsed="false">
      <c r="A1541" s="7" t="n">
        <v>46074</v>
      </c>
      <c r="B1541" s="8" t="s">
        <v>22</v>
      </c>
      <c r="C1541" s="8" t="s">
        <v>23</v>
      </c>
      <c r="D1541" s="8" t="s">
        <v>93</v>
      </c>
      <c r="E1541" s="8" t="s">
        <v>94</v>
      </c>
      <c r="F1541" s="8" t="s">
        <v>34</v>
      </c>
      <c r="G1541" s="8" t="n">
        <v>30</v>
      </c>
      <c r="H1541" s="9" t="n">
        <v>29.99</v>
      </c>
      <c r="I1541" s="9" t="n">
        <v>9</v>
      </c>
      <c r="J1541" s="10" t="n">
        <v>0</v>
      </c>
      <c r="K1541" s="9" t="n">
        <f aca="false">G1541*H1541*(1-J1541)</f>
        <v>899.7</v>
      </c>
      <c r="L1541" s="9" t="n">
        <f aca="false">G1541*I1541</f>
        <v>270</v>
      </c>
      <c r="M1541" s="9" t="n">
        <f aca="false">K1541-L1541</f>
        <v>629.7</v>
      </c>
      <c r="N1541" s="11" t="n">
        <f aca="false">IF(K1541=0,0,M1541/K1541)</f>
        <v>0.699899966655552</v>
      </c>
      <c r="O1541" s="9" t="n">
        <f aca="false">(G1541*H1541)-K1541</f>
        <v>0</v>
      </c>
      <c r="P1541" s="8" t="s">
        <v>21</v>
      </c>
    </row>
    <row r="1542" customFormat="false" ht="15" hidden="false" customHeight="false" outlineLevel="0" collapsed="false">
      <c r="A1542" s="2" t="n">
        <v>46032</v>
      </c>
      <c r="B1542" s="3" t="s">
        <v>16</v>
      </c>
      <c r="C1542" s="3" t="s">
        <v>17</v>
      </c>
      <c r="D1542" s="3" t="s">
        <v>88</v>
      </c>
      <c r="E1542" s="3" t="s">
        <v>89</v>
      </c>
      <c r="F1542" s="3" t="s">
        <v>57</v>
      </c>
      <c r="G1542" s="3" t="n">
        <v>8</v>
      </c>
      <c r="H1542" s="4" t="n">
        <v>12.99</v>
      </c>
      <c r="I1542" s="4" t="n">
        <v>4.5</v>
      </c>
      <c r="J1542" s="5" t="n">
        <v>0.2</v>
      </c>
      <c r="K1542" s="4" t="n">
        <f aca="false">G1542*H1542*(1-J1542)</f>
        <v>83.136</v>
      </c>
      <c r="L1542" s="4" t="n">
        <f aca="false">G1542*I1542</f>
        <v>36</v>
      </c>
      <c r="M1542" s="4" t="n">
        <f aca="false">K1542-L1542</f>
        <v>47.136</v>
      </c>
      <c r="N1542" s="6" t="n">
        <f aca="false">IF(K1542=0,0,M1542/K1542)</f>
        <v>0.566974595842956</v>
      </c>
      <c r="O1542" s="4" t="n">
        <f aca="false">(G1542*H1542)-K1542</f>
        <v>20.784</v>
      </c>
      <c r="P1542" s="3" t="s">
        <v>21</v>
      </c>
    </row>
    <row r="1543" customFormat="false" ht="15" hidden="false" customHeight="false" outlineLevel="0" collapsed="false">
      <c r="A1543" s="7" t="n">
        <v>46096</v>
      </c>
      <c r="B1543" s="8" t="s">
        <v>64</v>
      </c>
      <c r="C1543" s="8" t="s">
        <v>65</v>
      </c>
      <c r="D1543" s="8" t="s">
        <v>59</v>
      </c>
      <c r="E1543" s="8" t="s">
        <v>60</v>
      </c>
      <c r="F1543" s="8" t="s">
        <v>50</v>
      </c>
      <c r="G1543" s="8" t="n">
        <v>23</v>
      </c>
      <c r="H1543" s="9" t="n">
        <v>24.99</v>
      </c>
      <c r="I1543" s="9" t="n">
        <v>8.5</v>
      </c>
      <c r="J1543" s="10" t="n">
        <v>0</v>
      </c>
      <c r="K1543" s="9" t="n">
        <f aca="false">G1543*H1543*(1-J1543)</f>
        <v>574.77</v>
      </c>
      <c r="L1543" s="9" t="n">
        <f aca="false">G1543*I1543</f>
        <v>195.5</v>
      </c>
      <c r="M1543" s="9" t="n">
        <f aca="false">K1543-L1543</f>
        <v>379.27</v>
      </c>
      <c r="N1543" s="11" t="n">
        <f aca="false">IF(K1543=0,0,M1543/K1543)</f>
        <v>0.659863945578231</v>
      </c>
      <c r="O1543" s="9" t="n">
        <f aca="false">(G1543*H1543)-K1543</f>
        <v>0</v>
      </c>
      <c r="P1543" s="8" t="s">
        <v>21</v>
      </c>
    </row>
    <row r="1544" customFormat="false" ht="15" hidden="false" customHeight="false" outlineLevel="0" collapsed="false">
      <c r="A1544" s="2" t="n">
        <v>46044</v>
      </c>
      <c r="B1544" s="3" t="s">
        <v>41</v>
      </c>
      <c r="C1544" s="3" t="s">
        <v>28</v>
      </c>
      <c r="D1544" s="3" t="s">
        <v>72</v>
      </c>
      <c r="E1544" s="3" t="s">
        <v>73</v>
      </c>
      <c r="F1544" s="3" t="s">
        <v>57</v>
      </c>
      <c r="G1544" s="3" t="n">
        <v>6</v>
      </c>
      <c r="H1544" s="4" t="n">
        <v>19.99</v>
      </c>
      <c r="I1544" s="4" t="n">
        <v>7</v>
      </c>
      <c r="J1544" s="5" t="n">
        <v>0.15</v>
      </c>
      <c r="K1544" s="4" t="n">
        <f aca="false">G1544*H1544*(1-J1544)</f>
        <v>101.949</v>
      </c>
      <c r="L1544" s="4" t="n">
        <f aca="false">G1544*I1544</f>
        <v>42</v>
      </c>
      <c r="M1544" s="4" t="n">
        <f aca="false">K1544-L1544</f>
        <v>59.949</v>
      </c>
      <c r="N1544" s="6" t="n">
        <f aca="false">IF(K1544=0,0,M1544/K1544)</f>
        <v>0.588029308772033</v>
      </c>
      <c r="O1544" s="4" t="n">
        <f aca="false">(G1544*H1544)-K1544</f>
        <v>17.991</v>
      </c>
      <c r="P1544" s="3" t="s">
        <v>21</v>
      </c>
    </row>
    <row r="1545" customFormat="false" ht="15" hidden="false" customHeight="false" outlineLevel="0" collapsed="false">
      <c r="A1545" s="7" t="n">
        <v>46101</v>
      </c>
      <c r="B1545" s="8" t="s">
        <v>64</v>
      </c>
      <c r="C1545" s="8" t="s">
        <v>65</v>
      </c>
      <c r="D1545" s="8" t="s">
        <v>35</v>
      </c>
      <c r="E1545" s="8" t="s">
        <v>36</v>
      </c>
      <c r="F1545" s="8" t="s">
        <v>26</v>
      </c>
      <c r="G1545" s="8" t="n">
        <v>21</v>
      </c>
      <c r="H1545" s="9" t="n">
        <v>69.99</v>
      </c>
      <c r="I1545" s="9" t="n">
        <v>30</v>
      </c>
      <c r="J1545" s="10" t="n">
        <v>0</v>
      </c>
      <c r="K1545" s="9" t="n">
        <f aca="false">G1545*H1545*(1-J1545)</f>
        <v>1469.79</v>
      </c>
      <c r="L1545" s="9" t="n">
        <f aca="false">G1545*I1545</f>
        <v>630</v>
      </c>
      <c r="M1545" s="9" t="n">
        <f aca="false">K1545-L1545</f>
        <v>839.79</v>
      </c>
      <c r="N1545" s="11" t="n">
        <f aca="false">IF(K1545=0,0,M1545/K1545)</f>
        <v>0.57136733819117</v>
      </c>
      <c r="O1545" s="9" t="n">
        <f aca="false">(G1545*H1545)-K1545</f>
        <v>0</v>
      </c>
      <c r="P1545" s="8" t="s">
        <v>21</v>
      </c>
    </row>
    <row r="1546" customFormat="false" ht="15" hidden="false" customHeight="false" outlineLevel="0" collapsed="false">
      <c r="A1546" s="2" t="n">
        <v>46039</v>
      </c>
      <c r="B1546" s="3" t="s">
        <v>64</v>
      </c>
      <c r="C1546" s="3" t="s">
        <v>65</v>
      </c>
      <c r="D1546" s="3" t="s">
        <v>32</v>
      </c>
      <c r="E1546" s="3" t="s">
        <v>33</v>
      </c>
      <c r="F1546" s="3" t="s">
        <v>34</v>
      </c>
      <c r="G1546" s="3" t="n">
        <v>14</v>
      </c>
      <c r="H1546" s="4" t="n">
        <v>18.99</v>
      </c>
      <c r="I1546" s="4" t="n">
        <v>6</v>
      </c>
      <c r="J1546" s="5" t="n">
        <v>0.1</v>
      </c>
      <c r="K1546" s="4" t="n">
        <f aca="false">G1546*H1546*(1-J1546)</f>
        <v>239.274</v>
      </c>
      <c r="L1546" s="4" t="n">
        <f aca="false">G1546*I1546</f>
        <v>84</v>
      </c>
      <c r="M1546" s="4" t="n">
        <f aca="false">K1546-L1546</f>
        <v>155.274</v>
      </c>
      <c r="N1546" s="6" t="n">
        <f aca="false">IF(K1546=0,0,M1546/K1546)</f>
        <v>0.64893803756363</v>
      </c>
      <c r="O1546" s="4" t="n">
        <f aca="false">(G1546*H1546)-K1546</f>
        <v>26.586</v>
      </c>
      <c r="P1546" s="3" t="s">
        <v>21</v>
      </c>
    </row>
    <row r="1547" customFormat="false" ht="15" hidden="false" customHeight="false" outlineLevel="0" collapsed="false">
      <c r="A1547" s="7" t="n">
        <v>46100</v>
      </c>
      <c r="B1547" s="8" t="s">
        <v>41</v>
      </c>
      <c r="C1547" s="8" t="s">
        <v>28</v>
      </c>
      <c r="D1547" s="8" t="s">
        <v>82</v>
      </c>
      <c r="E1547" s="8" t="s">
        <v>83</v>
      </c>
      <c r="F1547" s="8" t="s">
        <v>26</v>
      </c>
      <c r="G1547" s="8" t="n">
        <v>21</v>
      </c>
      <c r="H1547" s="9" t="n">
        <v>44.99</v>
      </c>
      <c r="I1547" s="9" t="n">
        <v>18</v>
      </c>
      <c r="J1547" s="10" t="n">
        <v>0</v>
      </c>
      <c r="K1547" s="9" t="n">
        <f aca="false">G1547*H1547*(1-J1547)</f>
        <v>944.79</v>
      </c>
      <c r="L1547" s="9" t="n">
        <f aca="false">G1547*I1547</f>
        <v>378</v>
      </c>
      <c r="M1547" s="9" t="n">
        <f aca="false">K1547-L1547</f>
        <v>566.79</v>
      </c>
      <c r="N1547" s="11" t="n">
        <f aca="false">IF(K1547=0,0,M1547/K1547)</f>
        <v>0.599911091353634</v>
      </c>
      <c r="O1547" s="9" t="n">
        <f aca="false">(G1547*H1547)-K1547</f>
        <v>0</v>
      </c>
      <c r="P1547" s="8" t="s">
        <v>21</v>
      </c>
    </row>
    <row r="1548" customFormat="false" ht="15" hidden="false" customHeight="false" outlineLevel="0" collapsed="false">
      <c r="A1548" s="2" t="n">
        <v>46127</v>
      </c>
      <c r="B1548" s="3" t="s">
        <v>16</v>
      </c>
      <c r="C1548" s="3" t="s">
        <v>17</v>
      </c>
      <c r="D1548" s="3" t="s">
        <v>59</v>
      </c>
      <c r="E1548" s="3" t="s">
        <v>60</v>
      </c>
      <c r="F1548" s="3" t="s">
        <v>50</v>
      </c>
      <c r="G1548" s="3" t="n">
        <v>10</v>
      </c>
      <c r="H1548" s="4" t="n">
        <v>24.99</v>
      </c>
      <c r="I1548" s="4" t="n">
        <v>8.5</v>
      </c>
      <c r="J1548" s="5" t="n">
        <v>0.05</v>
      </c>
      <c r="K1548" s="4" t="n">
        <f aca="false">G1548*H1548*(1-J1548)</f>
        <v>237.405</v>
      </c>
      <c r="L1548" s="4" t="n">
        <f aca="false">G1548*I1548</f>
        <v>85</v>
      </c>
      <c r="M1548" s="4" t="n">
        <f aca="false">K1548-L1548</f>
        <v>152.405</v>
      </c>
      <c r="N1548" s="6" t="n">
        <f aca="false">IF(K1548=0,0,M1548/K1548)</f>
        <v>0.641962047977086</v>
      </c>
      <c r="O1548" s="4" t="n">
        <f aca="false">(G1548*H1548)-K1548</f>
        <v>12.495</v>
      </c>
      <c r="P1548" s="3" t="s">
        <v>21</v>
      </c>
    </row>
    <row r="1549" customFormat="false" ht="15" hidden="false" customHeight="false" outlineLevel="0" collapsed="false">
      <c r="A1549" s="7" t="n">
        <v>46082</v>
      </c>
      <c r="B1549" s="8" t="s">
        <v>31</v>
      </c>
      <c r="C1549" s="8" t="s">
        <v>23</v>
      </c>
      <c r="D1549" s="8" t="s">
        <v>72</v>
      </c>
      <c r="E1549" s="8" t="s">
        <v>73</v>
      </c>
      <c r="F1549" s="8" t="s">
        <v>57</v>
      </c>
      <c r="G1549" s="8" t="n">
        <v>8</v>
      </c>
      <c r="H1549" s="9" t="n">
        <v>19.99</v>
      </c>
      <c r="I1549" s="9" t="n">
        <v>7</v>
      </c>
      <c r="J1549" s="10" t="n">
        <v>0</v>
      </c>
      <c r="K1549" s="9" t="n">
        <f aca="false">G1549*H1549*(1-J1549)</f>
        <v>159.92</v>
      </c>
      <c r="L1549" s="9" t="n">
        <f aca="false">G1549*I1549</f>
        <v>56</v>
      </c>
      <c r="M1549" s="9" t="n">
        <f aca="false">K1549-L1549</f>
        <v>103.92</v>
      </c>
      <c r="N1549" s="11" t="n">
        <f aca="false">IF(K1549=0,0,M1549/K1549)</f>
        <v>0.649824912456228</v>
      </c>
      <c r="O1549" s="9" t="n">
        <f aca="false">(G1549*H1549)-K1549</f>
        <v>0</v>
      </c>
      <c r="P1549" s="8" t="s">
        <v>21</v>
      </c>
    </row>
    <row r="1550" customFormat="false" ht="15" hidden="false" customHeight="false" outlineLevel="0" collapsed="false">
      <c r="A1550" s="2" t="n">
        <v>46096</v>
      </c>
      <c r="B1550" s="3" t="s">
        <v>27</v>
      </c>
      <c r="C1550" s="3" t="s">
        <v>28</v>
      </c>
      <c r="D1550" s="3" t="s">
        <v>66</v>
      </c>
      <c r="E1550" s="3" t="s">
        <v>67</v>
      </c>
      <c r="F1550" s="3" t="s">
        <v>57</v>
      </c>
      <c r="G1550" s="3" t="n">
        <v>16</v>
      </c>
      <c r="H1550" s="4" t="n">
        <v>14.99</v>
      </c>
      <c r="I1550" s="4" t="n">
        <v>5.5</v>
      </c>
      <c r="J1550" s="5" t="n">
        <v>0.15</v>
      </c>
      <c r="K1550" s="4" t="n">
        <f aca="false">G1550*H1550*(1-J1550)</f>
        <v>203.864</v>
      </c>
      <c r="L1550" s="4" t="n">
        <f aca="false">G1550*I1550</f>
        <v>88</v>
      </c>
      <c r="M1550" s="4" t="n">
        <f aca="false">K1550-L1550</f>
        <v>115.864</v>
      </c>
      <c r="N1550" s="6" t="n">
        <f aca="false">IF(K1550=0,0,M1550/K1550)</f>
        <v>0.568339677432014</v>
      </c>
      <c r="O1550" s="4" t="n">
        <f aca="false">(G1550*H1550)-K1550</f>
        <v>35.976</v>
      </c>
      <c r="P1550" s="3" t="s">
        <v>21</v>
      </c>
    </row>
    <row r="1551" customFormat="false" ht="15" hidden="false" customHeight="false" outlineLevel="0" collapsed="false">
      <c r="A1551" s="7" t="n">
        <v>46122</v>
      </c>
      <c r="B1551" s="8" t="s">
        <v>58</v>
      </c>
      <c r="C1551" s="8" t="s">
        <v>58</v>
      </c>
      <c r="D1551" s="8" t="s">
        <v>53</v>
      </c>
      <c r="E1551" s="8" t="s">
        <v>54</v>
      </c>
      <c r="F1551" s="8" t="s">
        <v>50</v>
      </c>
      <c r="G1551" s="8" t="n">
        <v>14</v>
      </c>
      <c r="H1551" s="9" t="n">
        <v>22.99</v>
      </c>
      <c r="I1551" s="9" t="n">
        <v>8</v>
      </c>
      <c r="J1551" s="10" t="n">
        <v>0.25</v>
      </c>
      <c r="K1551" s="9" t="n">
        <f aca="false">G1551*H1551*(1-J1551)</f>
        <v>241.395</v>
      </c>
      <c r="L1551" s="9" t="n">
        <f aca="false">G1551*I1551</f>
        <v>112</v>
      </c>
      <c r="M1551" s="9" t="n">
        <f aca="false">K1551-L1551</f>
        <v>129.395</v>
      </c>
      <c r="N1551" s="11" t="n">
        <f aca="false">IF(K1551=0,0,M1551/K1551)</f>
        <v>0.536030158039727</v>
      </c>
      <c r="O1551" s="9" t="n">
        <f aca="false">(G1551*H1551)-K1551</f>
        <v>80.465</v>
      </c>
      <c r="P1551" s="8" t="s">
        <v>21</v>
      </c>
    </row>
    <row r="1552" customFormat="false" ht="15" hidden="false" customHeight="false" outlineLevel="0" collapsed="false">
      <c r="A1552" s="2" t="n">
        <v>46027</v>
      </c>
      <c r="B1552" s="3" t="s">
        <v>37</v>
      </c>
      <c r="C1552" s="3" t="s">
        <v>17</v>
      </c>
      <c r="D1552" s="3" t="s">
        <v>32</v>
      </c>
      <c r="E1552" s="3" t="s">
        <v>33</v>
      </c>
      <c r="F1552" s="3" t="s">
        <v>34</v>
      </c>
      <c r="G1552" s="3" t="n">
        <v>10</v>
      </c>
      <c r="H1552" s="4" t="n">
        <v>18.99</v>
      </c>
      <c r="I1552" s="4" t="n">
        <v>6</v>
      </c>
      <c r="J1552" s="5" t="n">
        <v>0.15</v>
      </c>
      <c r="K1552" s="4" t="n">
        <f aca="false">G1552*H1552*(1-J1552)</f>
        <v>161.415</v>
      </c>
      <c r="L1552" s="4" t="n">
        <f aca="false">G1552*I1552</f>
        <v>60</v>
      </c>
      <c r="M1552" s="4" t="n">
        <f aca="false">K1552-L1552</f>
        <v>101.415</v>
      </c>
      <c r="N1552" s="6" t="n">
        <f aca="false">IF(K1552=0,0,M1552/K1552)</f>
        <v>0.628287333890902</v>
      </c>
      <c r="O1552" s="4" t="n">
        <f aca="false">(G1552*H1552)-K1552</f>
        <v>28.485</v>
      </c>
      <c r="P1552" s="3" t="s">
        <v>21</v>
      </c>
    </row>
    <row r="1553" customFormat="false" ht="15" hidden="false" customHeight="false" outlineLevel="0" collapsed="false">
      <c r="A1553" s="7" t="n">
        <v>46039</v>
      </c>
      <c r="B1553" s="8" t="s">
        <v>16</v>
      </c>
      <c r="C1553" s="8" t="s">
        <v>17</v>
      </c>
      <c r="D1553" s="8" t="s">
        <v>93</v>
      </c>
      <c r="E1553" s="8" t="s">
        <v>94</v>
      </c>
      <c r="F1553" s="8" t="s">
        <v>34</v>
      </c>
      <c r="G1553" s="8" t="n">
        <v>1</v>
      </c>
      <c r="H1553" s="9" t="n">
        <v>29.99</v>
      </c>
      <c r="I1553" s="9" t="n">
        <v>9</v>
      </c>
      <c r="J1553" s="10" t="n">
        <v>0.25</v>
      </c>
      <c r="K1553" s="9" t="n">
        <f aca="false">G1553*H1553*(1-J1553)</f>
        <v>22.4925</v>
      </c>
      <c r="L1553" s="9" t="n">
        <f aca="false">G1553*I1553</f>
        <v>9</v>
      </c>
      <c r="M1553" s="9" t="n">
        <f aca="false">K1553-L1553</f>
        <v>13.4925</v>
      </c>
      <c r="N1553" s="11" t="n">
        <f aca="false">IF(K1553=0,0,M1553/K1553)</f>
        <v>0.599866622207403</v>
      </c>
      <c r="O1553" s="9" t="n">
        <f aca="false">(G1553*H1553)-K1553</f>
        <v>7.4975</v>
      </c>
      <c r="P1553" s="8" t="s">
        <v>21</v>
      </c>
    </row>
    <row r="1554" customFormat="false" ht="15" hidden="false" customHeight="false" outlineLevel="0" collapsed="false">
      <c r="A1554" s="2" t="n">
        <v>46038</v>
      </c>
      <c r="B1554" s="3" t="s">
        <v>16</v>
      </c>
      <c r="C1554" s="3" t="s">
        <v>17</v>
      </c>
      <c r="D1554" s="3" t="s">
        <v>24</v>
      </c>
      <c r="E1554" s="3" t="s">
        <v>25</v>
      </c>
      <c r="F1554" s="3" t="s">
        <v>26</v>
      </c>
      <c r="G1554" s="3" t="n">
        <v>1</v>
      </c>
      <c r="H1554" s="4" t="n">
        <v>59.99</v>
      </c>
      <c r="I1554" s="4" t="n">
        <v>24</v>
      </c>
      <c r="J1554" s="5" t="n">
        <v>0.25</v>
      </c>
      <c r="K1554" s="4" t="n">
        <f aca="false">G1554*H1554*(1-J1554)</f>
        <v>44.9925</v>
      </c>
      <c r="L1554" s="4" t="n">
        <f aca="false">G1554*I1554</f>
        <v>24</v>
      </c>
      <c r="M1554" s="4" t="n">
        <f aca="false">K1554-L1554</f>
        <v>20.9925</v>
      </c>
      <c r="N1554" s="6" t="n">
        <f aca="false">IF(K1554=0,0,M1554/K1554)</f>
        <v>0.466577762960493</v>
      </c>
      <c r="O1554" s="4" t="n">
        <f aca="false">(G1554*H1554)-K1554</f>
        <v>14.9975</v>
      </c>
      <c r="P1554" s="3" t="s">
        <v>21</v>
      </c>
    </row>
    <row r="1555" customFormat="false" ht="15" hidden="false" customHeight="false" outlineLevel="0" collapsed="false">
      <c r="A1555" s="7" t="n">
        <v>46100</v>
      </c>
      <c r="B1555" s="8" t="s">
        <v>31</v>
      </c>
      <c r="C1555" s="8" t="s">
        <v>23</v>
      </c>
      <c r="D1555" s="8" t="s">
        <v>18</v>
      </c>
      <c r="E1555" s="8" t="s">
        <v>19</v>
      </c>
      <c r="F1555" s="8" t="s">
        <v>20</v>
      </c>
      <c r="G1555" s="8" t="n">
        <v>5</v>
      </c>
      <c r="H1555" s="9" t="n">
        <v>26.99</v>
      </c>
      <c r="I1555" s="9" t="n">
        <v>10.5</v>
      </c>
      <c r="J1555" s="10" t="n">
        <v>0.7</v>
      </c>
      <c r="K1555" s="9" t="n">
        <f aca="false">G1555*H1555*(1-J1555)</f>
        <v>40.485</v>
      </c>
      <c r="L1555" s="9" t="n">
        <f aca="false">G1555*I1555</f>
        <v>52.5</v>
      </c>
      <c r="M1555" s="9" t="n">
        <f aca="false">K1555-L1555</f>
        <v>-12.015</v>
      </c>
      <c r="N1555" s="11" t="n">
        <f aca="false">IF(K1555=0,0,M1555/K1555)</f>
        <v>-0.29677658391997</v>
      </c>
      <c r="O1555" s="9" t="n">
        <f aca="false">(G1555*H1555)-K1555</f>
        <v>94.465</v>
      </c>
      <c r="P1555" s="14" t="s">
        <v>97</v>
      </c>
    </row>
    <row r="1556" customFormat="false" ht="15" hidden="false" customHeight="false" outlineLevel="0" collapsed="false">
      <c r="A1556" s="2" t="n">
        <v>46083</v>
      </c>
      <c r="B1556" s="3" t="s">
        <v>27</v>
      </c>
      <c r="C1556" s="3" t="s">
        <v>28</v>
      </c>
      <c r="D1556" s="3" t="s">
        <v>78</v>
      </c>
      <c r="E1556" s="3" t="s">
        <v>79</v>
      </c>
      <c r="F1556" s="3" t="s">
        <v>20</v>
      </c>
      <c r="G1556" s="3" t="n">
        <v>8</v>
      </c>
      <c r="H1556" s="4" t="n">
        <v>39.99</v>
      </c>
      <c r="I1556" s="4" t="n">
        <v>16</v>
      </c>
      <c r="J1556" s="5" t="n">
        <v>0.05</v>
      </c>
      <c r="K1556" s="4" t="n">
        <f aca="false">G1556*H1556*(1-J1556)</f>
        <v>303.924</v>
      </c>
      <c r="L1556" s="4" t="n">
        <f aca="false">G1556*I1556</f>
        <v>128</v>
      </c>
      <c r="M1556" s="4" t="n">
        <f aca="false">K1556-L1556</f>
        <v>175.924</v>
      </c>
      <c r="N1556" s="6" t="n">
        <f aca="false">IF(K1556=0,0,M1556/K1556)</f>
        <v>0.578842078940788</v>
      </c>
      <c r="O1556" s="4" t="n">
        <f aca="false">(G1556*H1556)-K1556</f>
        <v>15.996</v>
      </c>
      <c r="P1556" s="3" t="s">
        <v>21</v>
      </c>
    </row>
    <row r="1557" customFormat="false" ht="15" hidden="false" customHeight="false" outlineLevel="0" collapsed="false">
      <c r="A1557" s="7" t="n">
        <v>46040</v>
      </c>
      <c r="B1557" s="8" t="s">
        <v>31</v>
      </c>
      <c r="C1557" s="8" t="s">
        <v>23</v>
      </c>
      <c r="D1557" s="8" t="s">
        <v>29</v>
      </c>
      <c r="E1557" s="8" t="s">
        <v>30</v>
      </c>
      <c r="F1557" s="8" t="s">
        <v>20</v>
      </c>
      <c r="G1557" s="8" t="n">
        <v>7</v>
      </c>
      <c r="H1557" s="9" t="n">
        <v>89.99</v>
      </c>
      <c r="I1557" s="9" t="n">
        <v>42</v>
      </c>
      <c r="J1557" s="10" t="n">
        <v>0</v>
      </c>
      <c r="K1557" s="9" t="n">
        <f aca="false">G1557*H1557*(1-J1557)</f>
        <v>629.93</v>
      </c>
      <c r="L1557" s="9" t="n">
        <f aca="false">G1557*I1557</f>
        <v>294</v>
      </c>
      <c r="M1557" s="9" t="n">
        <f aca="false">K1557-L1557</f>
        <v>335.93</v>
      </c>
      <c r="N1557" s="11" t="n">
        <f aca="false">IF(K1557=0,0,M1557/K1557)</f>
        <v>0.533281475719524</v>
      </c>
      <c r="O1557" s="9" t="n">
        <f aca="false">(G1557*H1557)-K1557</f>
        <v>0</v>
      </c>
      <c r="P1557" s="8" t="s">
        <v>21</v>
      </c>
    </row>
    <row r="1558" customFormat="false" ht="15" hidden="false" customHeight="false" outlineLevel="0" collapsed="false">
      <c r="A1558" s="2" t="n">
        <v>46111</v>
      </c>
      <c r="B1558" s="3" t="s">
        <v>41</v>
      </c>
      <c r="C1558" s="3" t="s">
        <v>28</v>
      </c>
      <c r="D1558" s="3" t="s">
        <v>53</v>
      </c>
      <c r="E1558" s="3" t="s">
        <v>54</v>
      </c>
      <c r="F1558" s="3" t="s">
        <v>50</v>
      </c>
      <c r="G1558" s="3" t="n">
        <v>16</v>
      </c>
      <c r="H1558" s="4" t="n">
        <v>22.99</v>
      </c>
      <c r="I1558" s="4" t="n">
        <v>8</v>
      </c>
      <c r="J1558" s="5" t="n">
        <v>0.1</v>
      </c>
      <c r="K1558" s="4" t="n">
        <f aca="false">G1558*H1558*(1-J1558)</f>
        <v>331.056</v>
      </c>
      <c r="L1558" s="4" t="n">
        <f aca="false">G1558*I1558</f>
        <v>128</v>
      </c>
      <c r="M1558" s="4" t="n">
        <f aca="false">K1558-L1558</f>
        <v>203.056</v>
      </c>
      <c r="N1558" s="6" t="n">
        <f aca="false">IF(K1558=0,0,M1558/K1558)</f>
        <v>0.613358465033106</v>
      </c>
      <c r="O1558" s="4" t="n">
        <f aca="false">(G1558*H1558)-K1558</f>
        <v>36.784</v>
      </c>
      <c r="P1558" s="3" t="s">
        <v>21</v>
      </c>
    </row>
    <row r="1559" customFormat="false" ht="15" hidden="false" customHeight="false" outlineLevel="0" collapsed="false">
      <c r="A1559" s="7" t="n">
        <v>46052</v>
      </c>
      <c r="B1559" s="8" t="s">
        <v>37</v>
      </c>
      <c r="C1559" s="8" t="s">
        <v>17</v>
      </c>
      <c r="D1559" s="8" t="s">
        <v>90</v>
      </c>
      <c r="E1559" s="8" t="s">
        <v>91</v>
      </c>
      <c r="F1559" s="8" t="s">
        <v>26</v>
      </c>
      <c r="G1559" s="8" t="n">
        <v>26</v>
      </c>
      <c r="H1559" s="9" t="n">
        <v>29.99</v>
      </c>
      <c r="I1559" s="9" t="n">
        <v>11</v>
      </c>
      <c r="J1559" s="10" t="n">
        <v>0.15</v>
      </c>
      <c r="K1559" s="9" t="n">
        <f aca="false">G1559*H1559*(1-J1559)</f>
        <v>662.779</v>
      </c>
      <c r="L1559" s="9" t="n">
        <f aca="false">G1559*I1559</f>
        <v>286</v>
      </c>
      <c r="M1559" s="9" t="n">
        <f aca="false">K1559-L1559</f>
        <v>376.779</v>
      </c>
      <c r="N1559" s="11" t="n">
        <f aca="false">IF(K1559=0,0,M1559/K1559)</f>
        <v>0.568483612184454</v>
      </c>
      <c r="O1559" s="9" t="n">
        <f aca="false">(G1559*H1559)-K1559</f>
        <v>116.961</v>
      </c>
      <c r="P1559" s="8" t="s">
        <v>21</v>
      </c>
    </row>
    <row r="1560" customFormat="false" ht="15" hidden="false" customHeight="false" outlineLevel="0" collapsed="false">
      <c r="A1560" s="2" t="n">
        <v>46094</v>
      </c>
      <c r="B1560" s="3" t="s">
        <v>58</v>
      </c>
      <c r="C1560" s="3" t="s">
        <v>58</v>
      </c>
      <c r="D1560" s="3" t="s">
        <v>35</v>
      </c>
      <c r="E1560" s="3" t="s">
        <v>36</v>
      </c>
      <c r="F1560" s="3" t="s">
        <v>26</v>
      </c>
      <c r="G1560" s="3" t="n">
        <v>10</v>
      </c>
      <c r="H1560" s="4" t="n">
        <v>69.99</v>
      </c>
      <c r="I1560" s="4" t="n">
        <v>30</v>
      </c>
      <c r="J1560" s="5" t="n">
        <v>0.25</v>
      </c>
      <c r="K1560" s="4" t="n">
        <f aca="false">G1560*H1560*(1-J1560)</f>
        <v>524.925</v>
      </c>
      <c r="L1560" s="4" t="n">
        <f aca="false">G1560*I1560</f>
        <v>300</v>
      </c>
      <c r="M1560" s="4" t="n">
        <f aca="false">K1560-L1560</f>
        <v>224.925</v>
      </c>
      <c r="N1560" s="6" t="n">
        <f aca="false">IF(K1560=0,0,M1560/K1560)</f>
        <v>0.428489784254894</v>
      </c>
      <c r="O1560" s="4" t="n">
        <f aca="false">(G1560*H1560)-K1560</f>
        <v>174.975</v>
      </c>
      <c r="P1560" s="3" t="s">
        <v>21</v>
      </c>
    </row>
    <row r="1561" customFormat="false" ht="15" hidden="false" customHeight="false" outlineLevel="0" collapsed="false">
      <c r="A1561" s="7" t="n">
        <v>46126</v>
      </c>
      <c r="B1561" s="8" t="s">
        <v>41</v>
      </c>
      <c r="C1561" s="8" t="s">
        <v>28</v>
      </c>
      <c r="D1561" s="8" t="s">
        <v>29</v>
      </c>
      <c r="E1561" s="8" t="s">
        <v>30</v>
      </c>
      <c r="F1561" s="8" t="s">
        <v>20</v>
      </c>
      <c r="G1561" s="8" t="n">
        <v>20</v>
      </c>
      <c r="H1561" s="9" t="n">
        <v>79.99</v>
      </c>
      <c r="I1561" s="9" t="n">
        <v>42</v>
      </c>
      <c r="J1561" s="10" t="n">
        <v>0.05</v>
      </c>
      <c r="K1561" s="9" t="n">
        <f aca="false">G1561*H1561*(1-J1561)</f>
        <v>1519.81</v>
      </c>
      <c r="L1561" s="9" t="n">
        <f aca="false">G1561*I1561</f>
        <v>840</v>
      </c>
      <c r="M1561" s="9" t="n">
        <f aca="false">K1561-L1561</f>
        <v>679.81</v>
      </c>
      <c r="N1561" s="11" t="n">
        <f aca="false">IF(K1561=0,0,M1561/K1561)</f>
        <v>0.447299333469315</v>
      </c>
      <c r="O1561" s="9" t="n">
        <f aca="false">(G1561*H1561)-K1561</f>
        <v>79.99</v>
      </c>
      <c r="P1561" s="8" t="s">
        <v>21</v>
      </c>
    </row>
    <row r="1562" customFormat="false" ht="15" hidden="false" customHeight="false" outlineLevel="0" collapsed="false">
      <c r="A1562" s="2" t="n">
        <v>46127</v>
      </c>
      <c r="B1562" s="3" t="s">
        <v>64</v>
      </c>
      <c r="C1562" s="3" t="s">
        <v>65</v>
      </c>
      <c r="D1562" s="3" t="s">
        <v>51</v>
      </c>
      <c r="E1562" s="3" t="s">
        <v>52</v>
      </c>
      <c r="F1562" s="3" t="s">
        <v>50</v>
      </c>
      <c r="G1562" s="3" t="n">
        <v>4</v>
      </c>
      <c r="H1562" s="4" t="n">
        <v>19.99</v>
      </c>
      <c r="I1562" s="4" t="n">
        <v>7</v>
      </c>
      <c r="J1562" s="5" t="n">
        <v>0.25</v>
      </c>
      <c r="K1562" s="4" t="n">
        <f aca="false">G1562*H1562*(1-J1562)</f>
        <v>59.97</v>
      </c>
      <c r="L1562" s="4" t="n">
        <f aca="false">G1562*I1562</f>
        <v>28</v>
      </c>
      <c r="M1562" s="4" t="n">
        <f aca="false">K1562-L1562</f>
        <v>31.97</v>
      </c>
      <c r="N1562" s="6" t="n">
        <f aca="false">IF(K1562=0,0,M1562/K1562)</f>
        <v>0.533099883274971</v>
      </c>
      <c r="O1562" s="4" t="n">
        <f aca="false">(G1562*H1562)-K1562</f>
        <v>19.99</v>
      </c>
      <c r="P1562" s="3" t="s">
        <v>21</v>
      </c>
    </row>
    <row r="1563" customFormat="false" ht="15" hidden="false" customHeight="false" outlineLevel="0" collapsed="false">
      <c r="A1563" s="7" t="n">
        <v>46056</v>
      </c>
      <c r="B1563" s="8" t="s">
        <v>27</v>
      </c>
      <c r="C1563" s="8" t="s">
        <v>28</v>
      </c>
      <c r="D1563" s="8" t="s">
        <v>32</v>
      </c>
      <c r="E1563" s="8" t="s">
        <v>33</v>
      </c>
      <c r="F1563" s="8" t="s">
        <v>34</v>
      </c>
      <c r="G1563" s="8" t="n">
        <v>27</v>
      </c>
      <c r="H1563" s="9" t="n">
        <v>18.99</v>
      </c>
      <c r="I1563" s="9" t="n">
        <v>6</v>
      </c>
      <c r="J1563" s="10" t="n">
        <v>0.3</v>
      </c>
      <c r="K1563" s="9" t="n">
        <f aca="false">G1563*H1563*(1-J1563)</f>
        <v>358.911</v>
      </c>
      <c r="L1563" s="9" t="n">
        <f aca="false">G1563*I1563</f>
        <v>162</v>
      </c>
      <c r="M1563" s="9" t="n">
        <f aca="false">K1563-L1563</f>
        <v>196.911</v>
      </c>
      <c r="N1563" s="11" t="n">
        <f aca="false">IF(K1563=0,0,M1563/K1563)</f>
        <v>0.548634619724667</v>
      </c>
      <c r="O1563" s="9" t="n">
        <f aca="false">(G1563*H1563)-K1563</f>
        <v>153.819</v>
      </c>
      <c r="P1563" s="8" t="s">
        <v>21</v>
      </c>
    </row>
    <row r="1564" customFormat="false" ht="15" hidden="false" customHeight="false" outlineLevel="0" collapsed="false">
      <c r="A1564" s="2" t="n">
        <v>46037</v>
      </c>
      <c r="B1564" s="3" t="s">
        <v>64</v>
      </c>
      <c r="C1564" s="3" t="s">
        <v>65</v>
      </c>
      <c r="D1564" s="3" t="s">
        <v>88</v>
      </c>
      <c r="E1564" s="3" t="s">
        <v>89</v>
      </c>
      <c r="F1564" s="3" t="s">
        <v>57</v>
      </c>
      <c r="G1564" s="3" t="n">
        <v>10</v>
      </c>
      <c r="H1564" s="4" t="n">
        <v>12.99</v>
      </c>
      <c r="I1564" s="4" t="n">
        <v>4.5</v>
      </c>
      <c r="J1564" s="5" t="n">
        <v>0.3</v>
      </c>
      <c r="K1564" s="4" t="n">
        <f aca="false">G1564*H1564*(1-J1564)</f>
        <v>90.93</v>
      </c>
      <c r="L1564" s="4" t="n">
        <f aca="false">G1564*I1564</f>
        <v>45</v>
      </c>
      <c r="M1564" s="4" t="n">
        <f aca="false">K1564-L1564</f>
        <v>45.93</v>
      </c>
      <c r="N1564" s="6" t="n">
        <f aca="false">IF(K1564=0,0,M1564/K1564)</f>
        <v>0.505113823820521</v>
      </c>
      <c r="O1564" s="4" t="n">
        <f aca="false">(G1564*H1564)-K1564</f>
        <v>38.97</v>
      </c>
      <c r="P1564" s="3" t="s">
        <v>21</v>
      </c>
    </row>
    <row r="1565" customFormat="false" ht="15" hidden="false" customHeight="false" outlineLevel="0" collapsed="false">
      <c r="A1565" s="7" t="n">
        <v>46110</v>
      </c>
      <c r="B1565" s="8" t="s">
        <v>22</v>
      </c>
      <c r="C1565" s="8" t="s">
        <v>23</v>
      </c>
      <c r="D1565" s="8" t="s">
        <v>48</v>
      </c>
      <c r="E1565" s="8" t="s">
        <v>49</v>
      </c>
      <c r="F1565" s="8" t="s">
        <v>50</v>
      </c>
      <c r="G1565" s="8" t="n">
        <v>15</v>
      </c>
      <c r="H1565" s="9" t="n">
        <v>59.99</v>
      </c>
      <c r="I1565" s="9" t="n">
        <v>20</v>
      </c>
      <c r="J1565" s="10" t="n">
        <v>0</v>
      </c>
      <c r="K1565" s="9" t="n">
        <f aca="false">G1565*H1565*(1-J1565)</f>
        <v>899.85</v>
      </c>
      <c r="L1565" s="9" t="n">
        <f aca="false">G1565*I1565</f>
        <v>300</v>
      </c>
      <c r="M1565" s="9" t="n">
        <f aca="false">K1565-L1565</f>
        <v>599.85</v>
      </c>
      <c r="N1565" s="11" t="n">
        <f aca="false">IF(K1565=0,0,M1565/K1565)</f>
        <v>0.666611101850308</v>
      </c>
      <c r="O1565" s="9" t="n">
        <f aca="false">(G1565*H1565)-K1565</f>
        <v>0</v>
      </c>
      <c r="P1565" s="8" t="s">
        <v>21</v>
      </c>
    </row>
    <row r="1566" customFormat="false" ht="15" hidden="false" customHeight="false" outlineLevel="0" collapsed="false">
      <c r="A1566" s="2" t="n">
        <v>46088</v>
      </c>
      <c r="B1566" s="3" t="s">
        <v>22</v>
      </c>
      <c r="C1566" s="3" t="s">
        <v>23</v>
      </c>
      <c r="D1566" s="3" t="s">
        <v>84</v>
      </c>
      <c r="E1566" s="3" t="s">
        <v>85</v>
      </c>
      <c r="F1566" s="3" t="s">
        <v>20</v>
      </c>
      <c r="G1566" s="3" t="n">
        <v>29</v>
      </c>
      <c r="H1566" s="4" t="n">
        <v>34.99</v>
      </c>
      <c r="I1566" s="4" t="n">
        <v>13</v>
      </c>
      <c r="J1566" s="5" t="n">
        <v>0</v>
      </c>
      <c r="K1566" s="4" t="n">
        <f aca="false">G1566*H1566*(1-J1566)</f>
        <v>1014.71</v>
      </c>
      <c r="L1566" s="4" t="n">
        <f aca="false">G1566*I1566</f>
        <v>377</v>
      </c>
      <c r="M1566" s="4" t="n">
        <f aca="false">K1566-L1566</f>
        <v>637.71</v>
      </c>
      <c r="N1566" s="6" t="n">
        <f aca="false">IF(K1566=0,0,M1566/K1566)</f>
        <v>0.628465275793084</v>
      </c>
      <c r="O1566" s="4" t="n">
        <f aca="false">(G1566*H1566)-K1566</f>
        <v>0</v>
      </c>
      <c r="P1566" s="3" t="s">
        <v>21</v>
      </c>
    </row>
    <row r="1567" customFormat="false" ht="15" hidden="false" customHeight="false" outlineLevel="0" collapsed="false">
      <c r="A1567" s="7" t="n">
        <v>46105</v>
      </c>
      <c r="B1567" s="8" t="s">
        <v>31</v>
      </c>
      <c r="C1567" s="8" t="s">
        <v>23</v>
      </c>
      <c r="D1567" s="8" t="s">
        <v>74</v>
      </c>
      <c r="E1567" s="8" t="s">
        <v>75</v>
      </c>
      <c r="F1567" s="8" t="s">
        <v>40</v>
      </c>
      <c r="G1567" s="8" t="n">
        <v>29</v>
      </c>
      <c r="H1567" s="9" t="n">
        <v>29.99</v>
      </c>
      <c r="I1567" s="9" t="n">
        <v>13</v>
      </c>
      <c r="J1567" s="10" t="n">
        <v>0</v>
      </c>
      <c r="K1567" s="9" t="n">
        <f aca="false">G1567*H1567*(1-J1567)</f>
        <v>869.71</v>
      </c>
      <c r="L1567" s="9" t="n">
        <f aca="false">G1567*I1567</f>
        <v>377</v>
      </c>
      <c r="M1567" s="9" t="n">
        <f aca="false">K1567-L1567</f>
        <v>492.71</v>
      </c>
      <c r="N1567" s="11" t="n">
        <f aca="false">IF(K1567=0,0,M1567/K1567)</f>
        <v>0.566522174058019</v>
      </c>
      <c r="O1567" s="9" t="n">
        <f aca="false">(G1567*H1567)-K1567</f>
        <v>0</v>
      </c>
      <c r="P1567" s="8" t="s">
        <v>21</v>
      </c>
    </row>
    <row r="1568" customFormat="false" ht="15" hidden="false" customHeight="false" outlineLevel="0" collapsed="false">
      <c r="A1568" s="2" t="n">
        <v>46117</v>
      </c>
      <c r="B1568" s="3" t="s">
        <v>41</v>
      </c>
      <c r="C1568" s="3" t="s">
        <v>28</v>
      </c>
      <c r="D1568" s="3" t="s">
        <v>53</v>
      </c>
      <c r="E1568" s="3" t="s">
        <v>54</v>
      </c>
      <c r="F1568" s="3" t="s">
        <v>50</v>
      </c>
      <c r="G1568" s="3" t="n">
        <v>1</v>
      </c>
      <c r="H1568" s="4" t="n">
        <v>6.75</v>
      </c>
      <c r="I1568" s="4" t="n">
        <v>8</v>
      </c>
      <c r="J1568" s="5" t="n">
        <v>0</v>
      </c>
      <c r="K1568" s="4" t="n">
        <f aca="false">G1568*H1568*(1-J1568)</f>
        <v>6.75</v>
      </c>
      <c r="L1568" s="4" t="n">
        <f aca="false">G1568*I1568</f>
        <v>8</v>
      </c>
      <c r="M1568" s="4" t="n">
        <f aca="false">K1568-L1568</f>
        <v>-1.25</v>
      </c>
      <c r="N1568" s="6" t="n">
        <f aca="false">IF(K1568=0,0,M1568/K1568)</f>
        <v>-0.185185185185185</v>
      </c>
      <c r="O1568" s="4" t="n">
        <f aca="false">(G1568*H1568)-K1568</f>
        <v>0</v>
      </c>
      <c r="P1568" s="15" t="s">
        <v>98</v>
      </c>
    </row>
    <row r="1569" customFormat="false" ht="15" hidden="false" customHeight="false" outlineLevel="0" collapsed="false">
      <c r="A1569" s="7" t="n">
        <v>46040</v>
      </c>
      <c r="B1569" s="8" t="s">
        <v>64</v>
      </c>
      <c r="C1569" s="8" t="s">
        <v>65</v>
      </c>
      <c r="D1569" s="8" t="s">
        <v>53</v>
      </c>
      <c r="E1569" s="8" t="s">
        <v>54</v>
      </c>
      <c r="F1569" s="8" t="s">
        <v>50</v>
      </c>
      <c r="G1569" s="8" t="n">
        <v>12</v>
      </c>
      <c r="H1569" s="9" t="n">
        <v>22.99</v>
      </c>
      <c r="I1569" s="9" t="n">
        <v>8</v>
      </c>
      <c r="J1569" s="10" t="n">
        <v>0.3</v>
      </c>
      <c r="K1569" s="9" t="n">
        <f aca="false">G1569*H1569*(1-J1569)</f>
        <v>193.116</v>
      </c>
      <c r="L1569" s="9" t="n">
        <f aca="false">G1569*I1569</f>
        <v>96</v>
      </c>
      <c r="M1569" s="9" t="n">
        <f aca="false">K1569-L1569</f>
        <v>97.116</v>
      </c>
      <c r="N1569" s="11" t="n">
        <f aca="false">IF(K1569=0,0,M1569/K1569)</f>
        <v>0.502889455042565</v>
      </c>
      <c r="O1569" s="9" t="n">
        <f aca="false">(G1569*H1569)-K1569</f>
        <v>82.764</v>
      </c>
      <c r="P1569" s="8" t="s">
        <v>21</v>
      </c>
    </row>
    <row r="1570" customFormat="false" ht="15" hidden="false" customHeight="false" outlineLevel="0" collapsed="false">
      <c r="A1570" s="2" t="n">
        <v>46123</v>
      </c>
      <c r="B1570" s="3" t="s">
        <v>64</v>
      </c>
      <c r="C1570" s="3" t="s">
        <v>65</v>
      </c>
      <c r="D1570" s="3" t="s">
        <v>70</v>
      </c>
      <c r="E1570" s="3" t="s">
        <v>71</v>
      </c>
      <c r="F1570" s="3" t="s">
        <v>20</v>
      </c>
      <c r="G1570" s="3" t="n">
        <v>5</v>
      </c>
      <c r="H1570" s="4" t="n">
        <v>49.99</v>
      </c>
      <c r="I1570" s="4" t="n">
        <v>19</v>
      </c>
      <c r="J1570" s="5" t="n">
        <v>0.1</v>
      </c>
      <c r="K1570" s="4" t="n">
        <f aca="false">G1570*H1570*(1-J1570)</f>
        <v>224.955</v>
      </c>
      <c r="L1570" s="4" t="n">
        <f aca="false">G1570*I1570</f>
        <v>95</v>
      </c>
      <c r="M1570" s="4" t="n">
        <f aca="false">K1570-L1570</f>
        <v>129.955</v>
      </c>
      <c r="N1570" s="6" t="n">
        <f aca="false">IF(K1570=0,0,M1570/K1570)</f>
        <v>0.577693316441066</v>
      </c>
      <c r="O1570" s="4" t="n">
        <f aca="false">(G1570*H1570)-K1570</f>
        <v>24.995</v>
      </c>
      <c r="P1570" s="3" t="s">
        <v>21</v>
      </c>
    </row>
    <row r="1571" customFormat="false" ht="15" hidden="false" customHeight="false" outlineLevel="0" collapsed="false">
      <c r="A1571" s="7" t="n">
        <v>46039</v>
      </c>
      <c r="B1571" s="8" t="s">
        <v>22</v>
      </c>
      <c r="C1571" s="8" t="s">
        <v>23</v>
      </c>
      <c r="D1571" s="8" t="s">
        <v>18</v>
      </c>
      <c r="E1571" s="8" t="s">
        <v>19</v>
      </c>
      <c r="F1571" s="8" t="s">
        <v>20</v>
      </c>
      <c r="G1571" s="8" t="n">
        <v>7</v>
      </c>
      <c r="H1571" s="9" t="n">
        <v>24.99</v>
      </c>
      <c r="I1571" s="9" t="n">
        <v>10.5</v>
      </c>
      <c r="J1571" s="10" t="n">
        <v>0.2</v>
      </c>
      <c r="K1571" s="9" t="n">
        <f aca="false">G1571*H1571*(1-J1571)</f>
        <v>139.944</v>
      </c>
      <c r="L1571" s="9" t="n">
        <f aca="false">G1571*I1571</f>
        <v>73.5</v>
      </c>
      <c r="M1571" s="9" t="n">
        <f aca="false">K1571-L1571</f>
        <v>66.444</v>
      </c>
      <c r="N1571" s="11" t="n">
        <f aca="false">IF(K1571=0,0,M1571/K1571)</f>
        <v>0.474789915966387</v>
      </c>
      <c r="O1571" s="9" t="n">
        <f aca="false">(G1571*H1571)-K1571</f>
        <v>34.986</v>
      </c>
      <c r="P1571" s="8" t="s">
        <v>21</v>
      </c>
    </row>
    <row r="1572" customFormat="false" ht="15" hidden="false" customHeight="false" outlineLevel="0" collapsed="false">
      <c r="A1572" s="2" t="n">
        <v>46065</v>
      </c>
      <c r="B1572" s="3" t="s">
        <v>64</v>
      </c>
      <c r="C1572" s="3" t="s">
        <v>65</v>
      </c>
      <c r="D1572" s="3" t="s">
        <v>88</v>
      </c>
      <c r="E1572" s="3" t="s">
        <v>89</v>
      </c>
      <c r="F1572" s="3" t="s">
        <v>57</v>
      </c>
      <c r="G1572" s="3" t="n">
        <v>11</v>
      </c>
      <c r="H1572" s="4" t="n">
        <v>12.99</v>
      </c>
      <c r="I1572" s="4" t="n">
        <v>4.5</v>
      </c>
      <c r="J1572" s="5" t="n">
        <v>0.3</v>
      </c>
      <c r="K1572" s="4" t="n">
        <f aca="false">G1572*H1572*(1-J1572)</f>
        <v>100.023</v>
      </c>
      <c r="L1572" s="4" t="n">
        <f aca="false">G1572*I1572</f>
        <v>49.5</v>
      </c>
      <c r="M1572" s="4" t="n">
        <f aca="false">K1572-L1572</f>
        <v>50.523</v>
      </c>
      <c r="N1572" s="6" t="n">
        <f aca="false">IF(K1572=0,0,M1572/K1572)</f>
        <v>0.505113823820521</v>
      </c>
      <c r="O1572" s="4" t="n">
        <f aca="false">(G1572*H1572)-K1572</f>
        <v>42.867</v>
      </c>
      <c r="P1572" s="3" t="s">
        <v>21</v>
      </c>
    </row>
    <row r="1573" customFormat="false" ht="15" hidden="false" customHeight="false" outlineLevel="0" collapsed="false">
      <c r="A1573" s="7" t="n">
        <v>46034</v>
      </c>
      <c r="B1573" s="8" t="s">
        <v>64</v>
      </c>
      <c r="C1573" s="8" t="s">
        <v>65</v>
      </c>
      <c r="D1573" s="8" t="s">
        <v>88</v>
      </c>
      <c r="E1573" s="8" t="s">
        <v>89</v>
      </c>
      <c r="F1573" s="8" t="s">
        <v>57</v>
      </c>
      <c r="G1573" s="8" t="n">
        <v>30</v>
      </c>
      <c r="H1573" s="9" t="n">
        <v>12.99</v>
      </c>
      <c r="I1573" s="9" t="n">
        <v>4.5</v>
      </c>
      <c r="J1573" s="10" t="n">
        <v>0</v>
      </c>
      <c r="K1573" s="9" t="n">
        <f aca="false">G1573*H1573*(1-J1573)</f>
        <v>389.7</v>
      </c>
      <c r="L1573" s="9" t="n">
        <f aca="false">G1573*I1573</f>
        <v>135</v>
      </c>
      <c r="M1573" s="9" t="n">
        <f aca="false">K1573-L1573</f>
        <v>254.7</v>
      </c>
      <c r="N1573" s="11" t="n">
        <f aca="false">IF(K1573=0,0,M1573/K1573)</f>
        <v>0.653579676674365</v>
      </c>
      <c r="O1573" s="9" t="n">
        <f aca="false">(G1573*H1573)-K1573</f>
        <v>0</v>
      </c>
      <c r="P1573" s="8" t="s">
        <v>21</v>
      </c>
    </row>
    <row r="1574" customFormat="false" ht="15" hidden="false" customHeight="false" outlineLevel="0" collapsed="false">
      <c r="A1574" s="2" t="n">
        <v>46115</v>
      </c>
      <c r="B1574" s="3" t="s">
        <v>22</v>
      </c>
      <c r="C1574" s="3" t="s">
        <v>23</v>
      </c>
      <c r="D1574" s="3" t="s">
        <v>78</v>
      </c>
      <c r="E1574" s="3" t="s">
        <v>79</v>
      </c>
      <c r="F1574" s="3" t="s">
        <v>20</v>
      </c>
      <c r="G1574" s="3" t="n">
        <v>26</v>
      </c>
      <c r="H1574" s="4" t="n">
        <v>39.99</v>
      </c>
      <c r="I1574" s="4" t="n">
        <v>16</v>
      </c>
      <c r="J1574" s="5" t="n">
        <v>0.3</v>
      </c>
      <c r="K1574" s="4" t="n">
        <f aca="false">G1574*H1574*(1-J1574)</f>
        <v>727.818</v>
      </c>
      <c r="L1574" s="4" t="n">
        <f aca="false">G1574*I1574</f>
        <v>416</v>
      </c>
      <c r="M1574" s="4" t="n">
        <f aca="false">K1574-L1574</f>
        <v>311.818</v>
      </c>
      <c r="N1574" s="6" t="n">
        <f aca="false">IF(K1574=0,0,M1574/K1574)</f>
        <v>0.428428535705355</v>
      </c>
      <c r="O1574" s="4" t="n">
        <f aca="false">(G1574*H1574)-K1574</f>
        <v>311.922</v>
      </c>
      <c r="P1574" s="3" t="s">
        <v>21</v>
      </c>
    </row>
    <row r="1575" customFormat="false" ht="15" hidden="false" customHeight="false" outlineLevel="0" collapsed="false">
      <c r="A1575" s="7" t="n">
        <v>46117</v>
      </c>
      <c r="B1575" s="8" t="s">
        <v>16</v>
      </c>
      <c r="C1575" s="8" t="s">
        <v>17</v>
      </c>
      <c r="D1575" s="8" t="s">
        <v>18</v>
      </c>
      <c r="E1575" s="8" t="s">
        <v>19</v>
      </c>
      <c r="F1575" s="8" t="s">
        <v>20</v>
      </c>
      <c r="G1575" s="8" t="n">
        <v>9</v>
      </c>
      <c r="H1575" s="9" t="n">
        <v>26.99</v>
      </c>
      <c r="I1575" s="9" t="n">
        <v>10.5</v>
      </c>
      <c r="J1575" s="10" t="n">
        <v>0.2</v>
      </c>
      <c r="K1575" s="9" t="n">
        <f aca="false">G1575*H1575*(1-J1575)</f>
        <v>194.328</v>
      </c>
      <c r="L1575" s="9" t="n">
        <f aca="false">G1575*I1575</f>
        <v>94.5</v>
      </c>
      <c r="M1575" s="9" t="n">
        <f aca="false">K1575-L1575</f>
        <v>99.828</v>
      </c>
      <c r="N1575" s="11" t="n">
        <f aca="false">IF(K1575=0,0,M1575/K1575)</f>
        <v>0.513708781030011</v>
      </c>
      <c r="O1575" s="9" t="n">
        <f aca="false">(G1575*H1575)-K1575</f>
        <v>48.582</v>
      </c>
      <c r="P1575" s="8" t="s">
        <v>21</v>
      </c>
    </row>
    <row r="1576" customFormat="false" ht="15" hidden="false" customHeight="false" outlineLevel="0" collapsed="false">
      <c r="A1576" s="2" t="n">
        <v>46060</v>
      </c>
      <c r="B1576" s="3" t="s">
        <v>31</v>
      </c>
      <c r="C1576" s="3" t="s">
        <v>23</v>
      </c>
      <c r="D1576" s="3" t="s">
        <v>35</v>
      </c>
      <c r="E1576" s="3" t="s">
        <v>36</v>
      </c>
      <c r="F1576" s="3" t="s">
        <v>26</v>
      </c>
      <c r="G1576" s="3" t="n">
        <v>8</v>
      </c>
      <c r="H1576" s="4" t="n">
        <v>69.99</v>
      </c>
      <c r="I1576" s="4" t="n">
        <v>30</v>
      </c>
      <c r="J1576" s="5" t="n">
        <v>0.2</v>
      </c>
      <c r="K1576" s="4" t="n">
        <f aca="false">G1576*H1576*(1-J1576)</f>
        <v>447.936</v>
      </c>
      <c r="L1576" s="4" t="n">
        <f aca="false">G1576*I1576</f>
        <v>240</v>
      </c>
      <c r="M1576" s="4" t="n">
        <f aca="false">K1576-L1576</f>
        <v>207.936</v>
      </c>
      <c r="N1576" s="6" t="n">
        <f aca="false">IF(K1576=0,0,M1576/K1576)</f>
        <v>0.464209172738963</v>
      </c>
      <c r="O1576" s="4" t="n">
        <f aca="false">(G1576*H1576)-K1576</f>
        <v>111.984</v>
      </c>
      <c r="P1576" s="3" t="s">
        <v>21</v>
      </c>
    </row>
    <row r="1577" customFormat="false" ht="15" hidden="false" customHeight="false" outlineLevel="0" collapsed="false">
      <c r="A1577" s="7" t="n">
        <v>46111</v>
      </c>
      <c r="B1577" s="8" t="s">
        <v>31</v>
      </c>
      <c r="C1577" s="8" t="s">
        <v>23</v>
      </c>
      <c r="D1577" s="8" t="s">
        <v>29</v>
      </c>
      <c r="E1577" s="8" t="s">
        <v>30</v>
      </c>
      <c r="F1577" s="8" t="s">
        <v>20</v>
      </c>
      <c r="G1577" s="8" t="n">
        <v>15</v>
      </c>
      <c r="H1577" s="9" t="n">
        <v>79.99</v>
      </c>
      <c r="I1577" s="9" t="n">
        <v>42</v>
      </c>
      <c r="J1577" s="10" t="n">
        <v>0.1</v>
      </c>
      <c r="K1577" s="9" t="n">
        <f aca="false">G1577*H1577*(1-J1577)</f>
        <v>1079.865</v>
      </c>
      <c r="L1577" s="9" t="n">
        <f aca="false">G1577*I1577</f>
        <v>630</v>
      </c>
      <c r="M1577" s="9" t="n">
        <f aca="false">K1577-L1577</f>
        <v>449.865</v>
      </c>
      <c r="N1577" s="11" t="n">
        <f aca="false">IF(K1577=0,0,M1577/K1577)</f>
        <v>0.416593740884277</v>
      </c>
      <c r="O1577" s="9" t="n">
        <f aca="false">(G1577*H1577)-K1577</f>
        <v>119.985</v>
      </c>
      <c r="P1577" s="8" t="s">
        <v>21</v>
      </c>
    </row>
    <row r="1578" customFormat="false" ht="15" hidden="false" customHeight="false" outlineLevel="0" collapsed="false">
      <c r="A1578" s="2" t="n">
        <v>46026</v>
      </c>
      <c r="B1578" s="3" t="s">
        <v>58</v>
      </c>
      <c r="C1578" s="3" t="s">
        <v>58</v>
      </c>
      <c r="D1578" s="3" t="s">
        <v>46</v>
      </c>
      <c r="E1578" s="3" t="s">
        <v>47</v>
      </c>
      <c r="F1578" s="3" t="s">
        <v>20</v>
      </c>
      <c r="G1578" s="3" t="n">
        <v>9</v>
      </c>
      <c r="H1578" s="4" t="n">
        <v>44.99</v>
      </c>
      <c r="I1578" s="4" t="n">
        <v>18</v>
      </c>
      <c r="J1578" s="5" t="n">
        <v>0</v>
      </c>
      <c r="K1578" s="4" t="n">
        <f aca="false">G1578*H1578*(1-J1578)</f>
        <v>404.91</v>
      </c>
      <c r="L1578" s="4" t="n">
        <f aca="false">G1578*I1578</f>
        <v>162</v>
      </c>
      <c r="M1578" s="4" t="n">
        <f aca="false">K1578-L1578</f>
        <v>242.91</v>
      </c>
      <c r="N1578" s="6" t="n">
        <f aca="false">IF(K1578=0,0,M1578/K1578)</f>
        <v>0.599911091353634</v>
      </c>
      <c r="O1578" s="4" t="n">
        <f aca="false">(G1578*H1578)-K1578</f>
        <v>0</v>
      </c>
      <c r="P1578" s="3" t="s">
        <v>21</v>
      </c>
    </row>
    <row r="1579" customFormat="false" ht="15" hidden="false" customHeight="false" outlineLevel="0" collapsed="false">
      <c r="A1579" s="7" t="n">
        <v>46115</v>
      </c>
      <c r="B1579" s="8" t="s">
        <v>27</v>
      </c>
      <c r="C1579" s="8" t="s">
        <v>28</v>
      </c>
      <c r="D1579" s="8" t="s">
        <v>18</v>
      </c>
      <c r="E1579" s="8" t="s">
        <v>19</v>
      </c>
      <c r="F1579" s="8" t="s">
        <v>20</v>
      </c>
      <c r="G1579" s="8" t="n">
        <v>30</v>
      </c>
      <c r="H1579" s="9" t="n">
        <v>26.99</v>
      </c>
      <c r="I1579" s="9" t="n">
        <v>10.5</v>
      </c>
      <c r="J1579" s="10" t="n">
        <v>0.2</v>
      </c>
      <c r="K1579" s="9" t="n">
        <f aca="false">G1579*H1579*(1-J1579)</f>
        <v>647.76</v>
      </c>
      <c r="L1579" s="9" t="n">
        <f aca="false">G1579*I1579</f>
        <v>315</v>
      </c>
      <c r="M1579" s="9" t="n">
        <f aca="false">K1579-L1579</f>
        <v>332.76</v>
      </c>
      <c r="N1579" s="11" t="n">
        <f aca="false">IF(K1579=0,0,M1579/K1579)</f>
        <v>0.513708781030011</v>
      </c>
      <c r="O1579" s="9" t="n">
        <f aca="false">(G1579*H1579)-K1579</f>
        <v>161.94</v>
      </c>
      <c r="P1579" s="8" t="s">
        <v>21</v>
      </c>
    </row>
    <row r="1580" customFormat="false" ht="15" hidden="false" customHeight="false" outlineLevel="0" collapsed="false">
      <c r="A1580" s="2" t="n">
        <v>46094</v>
      </c>
      <c r="B1580" s="3" t="s">
        <v>16</v>
      </c>
      <c r="C1580" s="3" t="s">
        <v>17</v>
      </c>
      <c r="D1580" s="3" t="s">
        <v>46</v>
      </c>
      <c r="E1580" s="3" t="s">
        <v>47</v>
      </c>
      <c r="F1580" s="3" t="s">
        <v>20</v>
      </c>
      <c r="G1580" s="3" t="n">
        <v>2</v>
      </c>
      <c r="H1580" s="4" t="n">
        <v>44.99</v>
      </c>
      <c r="I1580" s="4" t="n">
        <v>18</v>
      </c>
      <c r="J1580" s="5" t="n">
        <v>0.15</v>
      </c>
      <c r="K1580" s="4" t="n">
        <f aca="false">G1580*H1580*(1-J1580)</f>
        <v>76.483</v>
      </c>
      <c r="L1580" s="4" t="n">
        <f aca="false">G1580*I1580</f>
        <v>36</v>
      </c>
      <c r="M1580" s="4" t="n">
        <f aca="false">K1580-L1580</f>
        <v>40.483</v>
      </c>
      <c r="N1580" s="6" t="n">
        <f aca="false">IF(K1580=0,0,M1580/K1580)</f>
        <v>0.529307166298393</v>
      </c>
      <c r="O1580" s="4" t="n">
        <f aca="false">(G1580*H1580)-K1580</f>
        <v>13.497</v>
      </c>
      <c r="P1580" s="3" t="s">
        <v>21</v>
      </c>
    </row>
    <row r="1581" customFormat="false" ht="15" hidden="false" customHeight="false" outlineLevel="0" collapsed="false">
      <c r="A1581" s="7" t="n">
        <v>46111</v>
      </c>
      <c r="B1581" s="8" t="s">
        <v>58</v>
      </c>
      <c r="C1581" s="8" t="s">
        <v>58</v>
      </c>
      <c r="D1581" s="8" t="s">
        <v>42</v>
      </c>
      <c r="E1581" s="8" t="s">
        <v>43</v>
      </c>
      <c r="F1581" s="8" t="s">
        <v>34</v>
      </c>
      <c r="G1581" s="8" t="n">
        <v>16</v>
      </c>
      <c r="H1581" s="9" t="n">
        <v>11.99</v>
      </c>
      <c r="I1581" s="9" t="n">
        <v>3.5</v>
      </c>
      <c r="J1581" s="10" t="n">
        <v>0.05</v>
      </c>
      <c r="K1581" s="9" t="n">
        <f aca="false">G1581*H1581*(1-J1581)</f>
        <v>182.248</v>
      </c>
      <c r="L1581" s="9" t="n">
        <f aca="false">G1581*I1581</f>
        <v>56</v>
      </c>
      <c r="M1581" s="9" t="n">
        <f aca="false">K1581-L1581</f>
        <v>126.248</v>
      </c>
      <c r="N1581" s="11" t="n">
        <f aca="false">IF(K1581=0,0,M1581/K1581)</f>
        <v>0.692726394802686</v>
      </c>
      <c r="O1581" s="9" t="n">
        <f aca="false">(G1581*H1581)-K1581</f>
        <v>9.59200000000001</v>
      </c>
      <c r="P1581" s="8" t="s">
        <v>21</v>
      </c>
    </row>
    <row r="1582" customFormat="false" ht="15" hidden="false" customHeight="false" outlineLevel="0" collapsed="false">
      <c r="A1582" s="2" t="n">
        <v>46058</v>
      </c>
      <c r="B1582" s="3" t="s">
        <v>37</v>
      </c>
      <c r="C1582" s="3" t="s">
        <v>17</v>
      </c>
      <c r="D1582" s="3" t="s">
        <v>78</v>
      </c>
      <c r="E1582" s="3" t="s">
        <v>79</v>
      </c>
      <c r="F1582" s="3" t="s">
        <v>20</v>
      </c>
      <c r="G1582" s="3" t="n">
        <v>6</v>
      </c>
      <c r="H1582" s="4" t="n">
        <v>39.99</v>
      </c>
      <c r="I1582" s="4" t="n">
        <v>16</v>
      </c>
      <c r="J1582" s="5" t="n">
        <v>0</v>
      </c>
      <c r="K1582" s="4" t="n">
        <f aca="false">G1582*H1582*(1-J1582)</f>
        <v>239.94</v>
      </c>
      <c r="L1582" s="4" t="n">
        <f aca="false">G1582*I1582</f>
        <v>96</v>
      </c>
      <c r="M1582" s="4" t="n">
        <f aca="false">K1582-L1582</f>
        <v>143.94</v>
      </c>
      <c r="N1582" s="6" t="n">
        <f aca="false">IF(K1582=0,0,M1582/K1582)</f>
        <v>0.599899974993749</v>
      </c>
      <c r="O1582" s="4" t="n">
        <f aca="false">(G1582*H1582)-K1582</f>
        <v>0</v>
      </c>
      <c r="P1582" s="3" t="s">
        <v>21</v>
      </c>
    </row>
    <row r="1583" customFormat="false" ht="15" hidden="false" customHeight="false" outlineLevel="0" collapsed="false">
      <c r="A1583" s="7" t="n">
        <v>46032</v>
      </c>
      <c r="B1583" s="8" t="s">
        <v>27</v>
      </c>
      <c r="C1583" s="8" t="s">
        <v>28</v>
      </c>
      <c r="D1583" s="8" t="s">
        <v>24</v>
      </c>
      <c r="E1583" s="8" t="s">
        <v>25</v>
      </c>
      <c r="F1583" s="8" t="s">
        <v>26</v>
      </c>
      <c r="G1583" s="8" t="n">
        <v>5</v>
      </c>
      <c r="H1583" s="9" t="n">
        <v>59.99</v>
      </c>
      <c r="I1583" s="9" t="n">
        <v>24</v>
      </c>
      <c r="J1583" s="10" t="n">
        <v>0</v>
      </c>
      <c r="K1583" s="9" t="n">
        <f aca="false">G1583*H1583*(1-J1583)</f>
        <v>299.95</v>
      </c>
      <c r="L1583" s="9" t="n">
        <f aca="false">G1583*I1583</f>
        <v>120</v>
      </c>
      <c r="M1583" s="9" t="n">
        <f aca="false">K1583-L1583</f>
        <v>179.95</v>
      </c>
      <c r="N1583" s="11" t="n">
        <f aca="false">IF(K1583=0,0,M1583/K1583)</f>
        <v>0.59993332222037</v>
      </c>
      <c r="O1583" s="9" t="n">
        <f aca="false">(G1583*H1583)-K1583</f>
        <v>0</v>
      </c>
      <c r="P1583" s="8" t="s">
        <v>21</v>
      </c>
    </row>
    <row r="1584" customFormat="false" ht="15" hidden="false" customHeight="false" outlineLevel="0" collapsed="false">
      <c r="A1584" s="2" t="n">
        <v>46093</v>
      </c>
      <c r="B1584" s="3" t="s">
        <v>58</v>
      </c>
      <c r="C1584" s="3" t="s">
        <v>58</v>
      </c>
      <c r="D1584" s="3" t="s">
        <v>29</v>
      </c>
      <c r="E1584" s="3" t="s">
        <v>30</v>
      </c>
      <c r="F1584" s="3" t="s">
        <v>20</v>
      </c>
      <c r="G1584" s="3" t="n">
        <v>12</v>
      </c>
      <c r="H1584" s="4" t="n">
        <v>79.99</v>
      </c>
      <c r="I1584" s="4" t="n">
        <v>42</v>
      </c>
      <c r="J1584" s="5" t="n">
        <v>0.2</v>
      </c>
      <c r="K1584" s="4" t="n">
        <f aca="false">G1584*H1584*(1-J1584)</f>
        <v>767.904</v>
      </c>
      <c r="L1584" s="4" t="n">
        <f aca="false">G1584*I1584</f>
        <v>504</v>
      </c>
      <c r="M1584" s="4" t="n">
        <f aca="false">K1584-L1584</f>
        <v>263.904</v>
      </c>
      <c r="N1584" s="6" t="n">
        <f aca="false">IF(K1584=0,0,M1584/K1584)</f>
        <v>0.343667958494812</v>
      </c>
      <c r="O1584" s="4" t="n">
        <f aca="false">(G1584*H1584)-K1584</f>
        <v>191.976</v>
      </c>
      <c r="P1584" s="3" t="s">
        <v>21</v>
      </c>
    </row>
    <row r="1585" customFormat="false" ht="15" hidden="false" customHeight="false" outlineLevel="0" collapsed="false">
      <c r="A1585" s="7" t="n">
        <v>46035</v>
      </c>
      <c r="B1585" s="8" t="s">
        <v>58</v>
      </c>
      <c r="C1585" s="8" t="s">
        <v>58</v>
      </c>
      <c r="D1585" s="8" t="s">
        <v>90</v>
      </c>
      <c r="E1585" s="8" t="s">
        <v>91</v>
      </c>
      <c r="F1585" s="8" t="s">
        <v>26</v>
      </c>
      <c r="G1585" s="8" t="n">
        <v>22</v>
      </c>
      <c r="H1585" s="9" t="n">
        <v>29.99</v>
      </c>
      <c r="I1585" s="9" t="n">
        <v>11</v>
      </c>
      <c r="J1585" s="10" t="n">
        <v>0.3</v>
      </c>
      <c r="K1585" s="9" t="n">
        <f aca="false">G1585*H1585*(1-J1585)</f>
        <v>461.846</v>
      </c>
      <c r="L1585" s="9" t="n">
        <f aca="false">G1585*I1585</f>
        <v>242</v>
      </c>
      <c r="M1585" s="9" t="n">
        <f aca="false">K1585-L1585</f>
        <v>219.846</v>
      </c>
      <c r="N1585" s="11" t="n">
        <f aca="false">IF(K1585=0,0,M1585/K1585)</f>
        <v>0.476015814795408</v>
      </c>
      <c r="O1585" s="9" t="n">
        <f aca="false">(G1585*H1585)-K1585</f>
        <v>197.934</v>
      </c>
      <c r="P1585" s="8" t="s">
        <v>21</v>
      </c>
    </row>
    <row r="1586" customFormat="false" ht="15" hidden="false" customHeight="false" outlineLevel="0" collapsed="false">
      <c r="A1586" s="2" t="n">
        <v>46038</v>
      </c>
      <c r="B1586" s="3" t="s">
        <v>27</v>
      </c>
      <c r="C1586" s="3" t="s">
        <v>28</v>
      </c>
      <c r="D1586" s="3" t="s">
        <v>53</v>
      </c>
      <c r="E1586" s="3" t="s">
        <v>54</v>
      </c>
      <c r="F1586" s="3" t="s">
        <v>50</v>
      </c>
      <c r="G1586" s="3" t="n">
        <v>8</v>
      </c>
      <c r="H1586" s="4" t="n">
        <v>22.99</v>
      </c>
      <c r="I1586" s="4" t="n">
        <v>8</v>
      </c>
      <c r="J1586" s="5" t="n">
        <v>0</v>
      </c>
      <c r="K1586" s="4" t="n">
        <f aca="false">G1586*H1586*(1-J1586)</f>
        <v>183.92</v>
      </c>
      <c r="L1586" s="4" t="n">
        <f aca="false">G1586*I1586</f>
        <v>64</v>
      </c>
      <c r="M1586" s="4" t="n">
        <f aca="false">K1586-L1586</f>
        <v>119.92</v>
      </c>
      <c r="N1586" s="6" t="n">
        <f aca="false">IF(K1586=0,0,M1586/K1586)</f>
        <v>0.652022618529796</v>
      </c>
      <c r="O1586" s="4" t="n">
        <f aca="false">(G1586*H1586)-K1586</f>
        <v>0</v>
      </c>
      <c r="P1586" s="3" t="s">
        <v>21</v>
      </c>
    </row>
    <row r="1587" customFormat="false" ht="15" hidden="false" customHeight="false" outlineLevel="0" collapsed="false">
      <c r="A1587" s="7" t="n">
        <v>46057</v>
      </c>
      <c r="B1587" s="8" t="s">
        <v>64</v>
      </c>
      <c r="C1587" s="8" t="s">
        <v>65</v>
      </c>
      <c r="D1587" s="8" t="s">
        <v>38</v>
      </c>
      <c r="E1587" s="8" t="s">
        <v>39</v>
      </c>
      <c r="F1587" s="8" t="s">
        <v>40</v>
      </c>
      <c r="G1587" s="8" t="n">
        <v>19</v>
      </c>
      <c r="H1587" s="9" t="n">
        <v>12.99</v>
      </c>
      <c r="I1587" s="9" t="n">
        <v>4</v>
      </c>
      <c r="J1587" s="10" t="n">
        <v>0.3</v>
      </c>
      <c r="K1587" s="9" t="n">
        <f aca="false">G1587*H1587*(1-J1587)</f>
        <v>172.767</v>
      </c>
      <c r="L1587" s="9" t="n">
        <f aca="false">G1587*I1587</f>
        <v>76</v>
      </c>
      <c r="M1587" s="9" t="n">
        <f aca="false">K1587-L1587</f>
        <v>96.767</v>
      </c>
      <c r="N1587" s="11" t="n">
        <f aca="false">IF(K1587=0,0,M1587/K1587)</f>
        <v>0.560101176729352</v>
      </c>
      <c r="O1587" s="9" t="n">
        <f aca="false">(G1587*H1587)-K1587</f>
        <v>74.043</v>
      </c>
      <c r="P1587" s="8" t="s">
        <v>21</v>
      </c>
    </row>
    <row r="1588" customFormat="false" ht="15" hidden="false" customHeight="false" outlineLevel="0" collapsed="false">
      <c r="A1588" s="2" t="n">
        <v>46070</v>
      </c>
      <c r="B1588" s="3" t="s">
        <v>31</v>
      </c>
      <c r="C1588" s="3" t="s">
        <v>23</v>
      </c>
      <c r="D1588" s="3" t="s">
        <v>55</v>
      </c>
      <c r="E1588" s="3" t="s">
        <v>56</v>
      </c>
      <c r="F1588" s="3" t="s">
        <v>57</v>
      </c>
      <c r="G1588" s="3" t="n">
        <v>26</v>
      </c>
      <c r="H1588" s="4" t="n">
        <v>29.99</v>
      </c>
      <c r="I1588" s="4" t="n">
        <v>11</v>
      </c>
      <c r="J1588" s="5" t="n">
        <v>0</v>
      </c>
      <c r="K1588" s="4" t="n">
        <f aca="false">G1588*H1588*(1-J1588)</f>
        <v>779.74</v>
      </c>
      <c r="L1588" s="4" t="n">
        <f aca="false">G1588*I1588</f>
        <v>286</v>
      </c>
      <c r="M1588" s="4" t="n">
        <f aca="false">K1588-L1588</f>
        <v>493.74</v>
      </c>
      <c r="N1588" s="6" t="n">
        <f aca="false">IF(K1588=0,0,M1588/K1588)</f>
        <v>0.633211070356786</v>
      </c>
      <c r="O1588" s="4" t="n">
        <f aca="false">(G1588*H1588)-K1588</f>
        <v>0</v>
      </c>
      <c r="P1588" s="3" t="s">
        <v>21</v>
      </c>
    </row>
    <row r="1589" customFormat="false" ht="15" hidden="false" customHeight="false" outlineLevel="0" collapsed="false">
      <c r="A1589" s="7" t="n">
        <v>46056</v>
      </c>
      <c r="B1589" s="8" t="s">
        <v>31</v>
      </c>
      <c r="C1589" s="8" t="s">
        <v>23</v>
      </c>
      <c r="D1589" s="8" t="s">
        <v>93</v>
      </c>
      <c r="E1589" s="8" t="s">
        <v>94</v>
      </c>
      <c r="F1589" s="8" t="s">
        <v>34</v>
      </c>
      <c r="G1589" s="8" t="n">
        <v>15</v>
      </c>
      <c r="H1589" s="9" t="n">
        <v>29.99</v>
      </c>
      <c r="I1589" s="9" t="n">
        <v>9</v>
      </c>
      <c r="J1589" s="10" t="n">
        <v>0.2</v>
      </c>
      <c r="K1589" s="9" t="n">
        <f aca="false">G1589*H1589*(1-J1589)</f>
        <v>359.88</v>
      </c>
      <c r="L1589" s="9" t="n">
        <f aca="false">G1589*I1589</f>
        <v>135</v>
      </c>
      <c r="M1589" s="9" t="n">
        <f aca="false">K1589-L1589</f>
        <v>224.88</v>
      </c>
      <c r="N1589" s="11" t="n">
        <f aca="false">IF(K1589=0,0,M1589/K1589)</f>
        <v>0.62487495831944</v>
      </c>
      <c r="O1589" s="9" t="n">
        <f aca="false">(G1589*H1589)-K1589</f>
        <v>89.97</v>
      </c>
      <c r="P1589" s="8" t="s">
        <v>21</v>
      </c>
    </row>
    <row r="1590" customFormat="false" ht="15" hidden="false" customHeight="false" outlineLevel="0" collapsed="false">
      <c r="A1590" s="2" t="n">
        <v>46080</v>
      </c>
      <c r="B1590" s="3" t="s">
        <v>37</v>
      </c>
      <c r="C1590" s="3" t="s">
        <v>17</v>
      </c>
      <c r="D1590" s="3" t="s">
        <v>51</v>
      </c>
      <c r="E1590" s="3" t="s">
        <v>52</v>
      </c>
      <c r="F1590" s="3" t="s">
        <v>50</v>
      </c>
      <c r="G1590" s="3" t="n">
        <v>10</v>
      </c>
      <c r="H1590" s="4" t="n">
        <v>19.99</v>
      </c>
      <c r="I1590" s="4" t="n">
        <v>7</v>
      </c>
      <c r="J1590" s="5" t="n">
        <v>0.6</v>
      </c>
      <c r="K1590" s="4" t="n">
        <f aca="false">G1590*H1590*(1-J1590)</f>
        <v>79.96</v>
      </c>
      <c r="L1590" s="4" t="n">
        <f aca="false">G1590*I1590</f>
        <v>70</v>
      </c>
      <c r="M1590" s="4" t="n">
        <f aca="false">K1590-L1590</f>
        <v>9.95999999999999</v>
      </c>
      <c r="N1590" s="6" t="n">
        <f aca="false">IF(K1590=0,0,M1590/K1590)</f>
        <v>0.12456228114057</v>
      </c>
      <c r="O1590" s="4" t="n">
        <f aca="false">(G1590*H1590)-K1590</f>
        <v>119.94</v>
      </c>
      <c r="P1590" s="14" t="s">
        <v>97</v>
      </c>
    </row>
    <row r="1591" customFormat="false" ht="15" hidden="false" customHeight="false" outlineLevel="0" collapsed="false">
      <c r="A1591" s="7" t="n">
        <v>46081</v>
      </c>
      <c r="B1591" s="8" t="s">
        <v>22</v>
      </c>
      <c r="C1591" s="8" t="s">
        <v>23</v>
      </c>
      <c r="D1591" s="8" t="s">
        <v>82</v>
      </c>
      <c r="E1591" s="8" t="s">
        <v>83</v>
      </c>
      <c r="F1591" s="8" t="s">
        <v>26</v>
      </c>
      <c r="G1591" s="8" t="n">
        <v>13</v>
      </c>
      <c r="H1591" s="9" t="n">
        <v>44.99</v>
      </c>
      <c r="I1591" s="9" t="n">
        <v>18</v>
      </c>
      <c r="J1591" s="10" t="n">
        <v>0.1</v>
      </c>
      <c r="K1591" s="9" t="n">
        <f aca="false">G1591*H1591*(1-J1591)</f>
        <v>526.383</v>
      </c>
      <c r="L1591" s="9" t="n">
        <f aca="false">G1591*I1591</f>
        <v>234</v>
      </c>
      <c r="M1591" s="9" t="n">
        <f aca="false">K1591-L1591</f>
        <v>292.383</v>
      </c>
      <c r="N1591" s="11" t="n">
        <f aca="false">IF(K1591=0,0,M1591/K1591)</f>
        <v>0.555456768170705</v>
      </c>
      <c r="O1591" s="9" t="n">
        <f aca="false">(G1591*H1591)-K1591</f>
        <v>58.487</v>
      </c>
      <c r="P1591" s="8" t="s">
        <v>21</v>
      </c>
    </row>
    <row r="1592" customFormat="false" ht="15" hidden="false" customHeight="false" outlineLevel="0" collapsed="false">
      <c r="A1592" s="2" t="n">
        <v>46120</v>
      </c>
      <c r="B1592" s="3" t="s">
        <v>41</v>
      </c>
      <c r="C1592" s="3" t="s">
        <v>28</v>
      </c>
      <c r="D1592" s="3" t="s">
        <v>38</v>
      </c>
      <c r="E1592" s="3" t="s">
        <v>39</v>
      </c>
      <c r="F1592" s="3" t="s">
        <v>40</v>
      </c>
      <c r="G1592" s="3" t="n">
        <v>7</v>
      </c>
      <c r="H1592" s="4" t="n">
        <v>12.99</v>
      </c>
      <c r="I1592" s="4" t="n">
        <v>4</v>
      </c>
      <c r="J1592" s="5" t="n">
        <v>0.1</v>
      </c>
      <c r="K1592" s="4" t="n">
        <f aca="false">G1592*H1592*(1-J1592)</f>
        <v>81.837</v>
      </c>
      <c r="L1592" s="4" t="n">
        <f aca="false">G1592*I1592</f>
        <v>28</v>
      </c>
      <c r="M1592" s="4" t="n">
        <f aca="false">K1592-L1592</f>
        <v>53.837</v>
      </c>
      <c r="N1592" s="6" t="n">
        <f aca="false">IF(K1592=0,0,M1592/K1592)</f>
        <v>0.657856470789496</v>
      </c>
      <c r="O1592" s="4" t="n">
        <f aca="false">(G1592*H1592)-K1592</f>
        <v>9.093</v>
      </c>
      <c r="P1592" s="3" t="s">
        <v>21</v>
      </c>
    </row>
    <row r="1593" customFormat="false" ht="15" hidden="false" customHeight="false" outlineLevel="0" collapsed="false">
      <c r="A1593" s="7" t="n">
        <v>46074</v>
      </c>
      <c r="B1593" s="8" t="s">
        <v>16</v>
      </c>
      <c r="C1593" s="8" t="s">
        <v>17</v>
      </c>
      <c r="D1593" s="8" t="s">
        <v>80</v>
      </c>
      <c r="E1593" s="8" t="s">
        <v>81</v>
      </c>
      <c r="F1593" s="8" t="s">
        <v>57</v>
      </c>
      <c r="G1593" s="8" t="n">
        <v>20</v>
      </c>
      <c r="H1593" s="9" t="n">
        <v>17.99</v>
      </c>
      <c r="I1593" s="9" t="n">
        <v>6.5</v>
      </c>
      <c r="J1593" s="10" t="n">
        <v>0.3</v>
      </c>
      <c r="K1593" s="9" t="n">
        <f aca="false">G1593*H1593*(1-J1593)</f>
        <v>251.86</v>
      </c>
      <c r="L1593" s="9" t="n">
        <f aca="false">G1593*I1593</f>
        <v>130</v>
      </c>
      <c r="M1593" s="9" t="n">
        <f aca="false">K1593-L1593</f>
        <v>121.86</v>
      </c>
      <c r="N1593" s="11" t="n">
        <f aca="false">IF(K1593=0,0,M1593/K1593)</f>
        <v>0.483840228698483</v>
      </c>
      <c r="O1593" s="9" t="n">
        <f aca="false">(G1593*H1593)-K1593</f>
        <v>107.94</v>
      </c>
      <c r="P1593" s="8" t="s">
        <v>21</v>
      </c>
    </row>
    <row r="1594" customFormat="false" ht="15" hidden="false" customHeight="false" outlineLevel="0" collapsed="false">
      <c r="A1594" s="2" t="n">
        <v>46102</v>
      </c>
      <c r="B1594" s="3" t="s">
        <v>37</v>
      </c>
      <c r="C1594" s="3" t="s">
        <v>17</v>
      </c>
      <c r="D1594" s="3" t="s">
        <v>66</v>
      </c>
      <c r="E1594" s="3" t="s">
        <v>67</v>
      </c>
      <c r="F1594" s="3" t="s">
        <v>57</v>
      </c>
      <c r="G1594" s="3" t="n">
        <v>30</v>
      </c>
      <c r="H1594" s="4" t="n">
        <v>14.99</v>
      </c>
      <c r="I1594" s="4" t="n">
        <v>5.5</v>
      </c>
      <c r="J1594" s="5" t="n">
        <v>0.25</v>
      </c>
      <c r="K1594" s="4" t="n">
        <f aca="false">G1594*H1594*(1-J1594)</f>
        <v>337.275</v>
      </c>
      <c r="L1594" s="4" t="n">
        <f aca="false">G1594*I1594</f>
        <v>165</v>
      </c>
      <c r="M1594" s="4" t="n">
        <f aca="false">K1594-L1594</f>
        <v>172.275</v>
      </c>
      <c r="N1594" s="6" t="n">
        <f aca="false">IF(K1594=0,0,M1594/K1594)</f>
        <v>0.510784967756282</v>
      </c>
      <c r="O1594" s="4" t="n">
        <f aca="false">(G1594*H1594)-K1594</f>
        <v>112.425</v>
      </c>
      <c r="P1594" s="3" t="s">
        <v>21</v>
      </c>
    </row>
    <row r="1595" customFormat="false" ht="15" hidden="false" customHeight="false" outlineLevel="0" collapsed="false">
      <c r="A1595" s="7" t="n">
        <v>46101</v>
      </c>
      <c r="B1595" s="8" t="s">
        <v>27</v>
      </c>
      <c r="C1595" s="8" t="s">
        <v>28</v>
      </c>
      <c r="D1595" s="8" t="s">
        <v>48</v>
      </c>
      <c r="E1595" s="8" t="s">
        <v>49</v>
      </c>
      <c r="F1595" s="8" t="s">
        <v>50</v>
      </c>
      <c r="G1595" s="8" t="n">
        <v>14</v>
      </c>
      <c r="H1595" s="9" t="n">
        <v>59.99</v>
      </c>
      <c r="I1595" s="9" t="n">
        <v>20</v>
      </c>
      <c r="J1595" s="10" t="n">
        <v>0.3</v>
      </c>
      <c r="K1595" s="9" t="n">
        <f aca="false">G1595*H1595*(1-J1595)</f>
        <v>587.902</v>
      </c>
      <c r="L1595" s="9" t="n">
        <f aca="false">G1595*I1595</f>
        <v>280</v>
      </c>
      <c r="M1595" s="9" t="n">
        <f aca="false">K1595-L1595</f>
        <v>307.902</v>
      </c>
      <c r="N1595" s="11" t="n">
        <f aca="false">IF(K1595=0,0,M1595/K1595)</f>
        <v>0.523730145500441</v>
      </c>
      <c r="O1595" s="9" t="n">
        <f aca="false">(G1595*H1595)-K1595</f>
        <v>251.958</v>
      </c>
      <c r="P1595" s="8" t="s">
        <v>21</v>
      </c>
    </row>
    <row r="1596" customFormat="false" ht="15" hidden="false" customHeight="false" outlineLevel="0" collapsed="false">
      <c r="A1596" s="2" t="n">
        <v>46063</v>
      </c>
      <c r="B1596" s="3" t="s">
        <v>27</v>
      </c>
      <c r="C1596" s="3" t="s">
        <v>28</v>
      </c>
      <c r="D1596" s="3" t="s">
        <v>88</v>
      </c>
      <c r="E1596" s="3" t="s">
        <v>89</v>
      </c>
      <c r="F1596" s="3" t="s">
        <v>57</v>
      </c>
      <c r="G1596" s="3" t="n">
        <v>26</v>
      </c>
      <c r="H1596" s="4" t="n">
        <v>12.99</v>
      </c>
      <c r="I1596" s="4" t="n">
        <v>4.5</v>
      </c>
      <c r="J1596" s="5" t="n">
        <v>0.3</v>
      </c>
      <c r="K1596" s="4" t="n">
        <f aca="false">G1596*H1596*(1-J1596)</f>
        <v>236.418</v>
      </c>
      <c r="L1596" s="4" t="n">
        <f aca="false">G1596*I1596</f>
        <v>117</v>
      </c>
      <c r="M1596" s="4" t="n">
        <f aca="false">K1596-L1596</f>
        <v>119.418</v>
      </c>
      <c r="N1596" s="6" t="n">
        <f aca="false">IF(K1596=0,0,M1596/K1596)</f>
        <v>0.505113823820521</v>
      </c>
      <c r="O1596" s="4" t="n">
        <f aca="false">(G1596*H1596)-K1596</f>
        <v>101.322</v>
      </c>
      <c r="P1596" s="3" t="s">
        <v>21</v>
      </c>
    </row>
    <row r="1597" customFormat="false" ht="15" hidden="false" customHeight="false" outlineLevel="0" collapsed="false">
      <c r="A1597" s="7" t="n">
        <v>46125</v>
      </c>
      <c r="B1597" s="8" t="s">
        <v>37</v>
      </c>
      <c r="C1597" s="8" t="s">
        <v>17</v>
      </c>
      <c r="D1597" s="8" t="s">
        <v>35</v>
      </c>
      <c r="E1597" s="8" t="s">
        <v>36</v>
      </c>
      <c r="F1597" s="8" t="s">
        <v>26</v>
      </c>
      <c r="G1597" s="8" t="n">
        <v>6</v>
      </c>
      <c r="H1597" s="9" t="n">
        <v>69.99</v>
      </c>
      <c r="I1597" s="9" t="n">
        <v>30</v>
      </c>
      <c r="J1597" s="10" t="n">
        <v>0</v>
      </c>
      <c r="K1597" s="9" t="n">
        <f aca="false">G1597*H1597*(1-J1597)</f>
        <v>419.94</v>
      </c>
      <c r="L1597" s="9" t="n">
        <f aca="false">G1597*I1597</f>
        <v>180</v>
      </c>
      <c r="M1597" s="9" t="n">
        <f aca="false">K1597-L1597</f>
        <v>239.94</v>
      </c>
      <c r="N1597" s="11" t="n">
        <f aca="false">IF(K1597=0,0,M1597/K1597)</f>
        <v>0.57136733819117</v>
      </c>
      <c r="O1597" s="9" t="n">
        <f aca="false">(G1597*H1597)-K1597</f>
        <v>0</v>
      </c>
      <c r="P1597" s="8" t="s">
        <v>21</v>
      </c>
    </row>
    <row r="1598" customFormat="false" ht="15" hidden="false" customHeight="false" outlineLevel="0" collapsed="false">
      <c r="A1598" s="2" t="n">
        <v>46090</v>
      </c>
      <c r="B1598" s="3" t="s">
        <v>64</v>
      </c>
      <c r="C1598" s="3" t="s">
        <v>65</v>
      </c>
      <c r="D1598" s="3" t="s">
        <v>88</v>
      </c>
      <c r="E1598" s="3" t="s">
        <v>89</v>
      </c>
      <c r="F1598" s="3" t="s">
        <v>57</v>
      </c>
      <c r="G1598" s="3" t="n">
        <v>22</v>
      </c>
      <c r="H1598" s="4" t="n">
        <v>12.99</v>
      </c>
      <c r="I1598" s="4" t="n">
        <v>4.5</v>
      </c>
      <c r="J1598" s="5" t="n">
        <v>0</v>
      </c>
      <c r="K1598" s="4" t="n">
        <f aca="false">G1598*H1598*(1-J1598)</f>
        <v>285.78</v>
      </c>
      <c r="L1598" s="4" t="n">
        <f aca="false">G1598*I1598</f>
        <v>99</v>
      </c>
      <c r="M1598" s="4" t="n">
        <f aca="false">K1598-L1598</f>
        <v>186.78</v>
      </c>
      <c r="N1598" s="6" t="n">
        <f aca="false">IF(K1598=0,0,M1598/K1598)</f>
        <v>0.653579676674365</v>
      </c>
      <c r="O1598" s="4" t="n">
        <f aca="false">(G1598*H1598)-K1598</f>
        <v>0</v>
      </c>
      <c r="P1598" s="3" t="s">
        <v>21</v>
      </c>
    </row>
    <row r="1599" customFormat="false" ht="15" hidden="false" customHeight="false" outlineLevel="0" collapsed="false">
      <c r="A1599" s="7" t="n">
        <v>46079</v>
      </c>
      <c r="B1599" s="8" t="s">
        <v>22</v>
      </c>
      <c r="C1599" s="8" t="s">
        <v>23</v>
      </c>
      <c r="D1599" s="8" t="s">
        <v>42</v>
      </c>
      <c r="E1599" s="8" t="s">
        <v>43</v>
      </c>
      <c r="F1599" s="8" t="s">
        <v>34</v>
      </c>
      <c r="G1599" s="8" t="n">
        <v>26</v>
      </c>
      <c r="H1599" s="9" t="n">
        <v>11.99</v>
      </c>
      <c r="I1599" s="9" t="n">
        <v>3.5</v>
      </c>
      <c r="J1599" s="10" t="n">
        <v>0</v>
      </c>
      <c r="K1599" s="9" t="n">
        <f aca="false">G1599*H1599*(1-J1599)</f>
        <v>311.74</v>
      </c>
      <c r="L1599" s="9" t="n">
        <f aca="false">G1599*I1599</f>
        <v>91</v>
      </c>
      <c r="M1599" s="9" t="n">
        <f aca="false">K1599-L1599</f>
        <v>220.74</v>
      </c>
      <c r="N1599" s="11" t="n">
        <f aca="false">IF(K1599=0,0,M1599/K1599)</f>
        <v>0.708090075062552</v>
      </c>
      <c r="O1599" s="9" t="n">
        <f aca="false">(G1599*H1599)-K1599</f>
        <v>0</v>
      </c>
      <c r="P1599" s="8" t="s">
        <v>21</v>
      </c>
    </row>
    <row r="1600" customFormat="false" ht="15" hidden="false" customHeight="false" outlineLevel="0" collapsed="false">
      <c r="A1600" s="2" t="n">
        <v>46128</v>
      </c>
      <c r="B1600" s="3" t="s">
        <v>27</v>
      </c>
      <c r="C1600" s="3" t="s">
        <v>28</v>
      </c>
      <c r="D1600" s="3" t="s">
        <v>32</v>
      </c>
      <c r="E1600" s="3" t="s">
        <v>33</v>
      </c>
      <c r="F1600" s="3" t="s">
        <v>34</v>
      </c>
      <c r="G1600" s="3" t="n">
        <v>6</v>
      </c>
      <c r="H1600" s="4" t="n">
        <v>18.99</v>
      </c>
      <c r="I1600" s="4" t="n">
        <v>6</v>
      </c>
      <c r="J1600" s="5" t="n">
        <v>0.05</v>
      </c>
      <c r="K1600" s="4" t="n">
        <f aca="false">G1600*H1600*(1-J1600)</f>
        <v>108.243</v>
      </c>
      <c r="L1600" s="4" t="n">
        <f aca="false">G1600*I1600</f>
        <v>36</v>
      </c>
      <c r="M1600" s="4" t="n">
        <f aca="false">K1600-L1600</f>
        <v>72.243</v>
      </c>
      <c r="N1600" s="6" t="n">
        <f aca="false">IF(K1600=0,0,M1600/K1600)</f>
        <v>0.667414982955018</v>
      </c>
      <c r="O1600" s="4" t="n">
        <f aca="false">(G1600*H1600)-K1600</f>
        <v>5.697</v>
      </c>
      <c r="P1600" s="3" t="s">
        <v>21</v>
      </c>
    </row>
    <row r="1601" customFormat="false" ht="15" hidden="false" customHeight="false" outlineLevel="0" collapsed="false">
      <c r="A1601" s="7" t="n">
        <v>46067</v>
      </c>
      <c r="B1601" s="8" t="s">
        <v>27</v>
      </c>
      <c r="C1601" s="8" t="s">
        <v>28</v>
      </c>
      <c r="D1601" s="8" t="s">
        <v>66</v>
      </c>
      <c r="E1601" s="8" t="s">
        <v>67</v>
      </c>
      <c r="F1601" s="8" t="s">
        <v>57</v>
      </c>
      <c r="G1601" s="8" t="n">
        <v>18</v>
      </c>
      <c r="H1601" s="9" t="n">
        <v>14.99</v>
      </c>
      <c r="I1601" s="9" t="n">
        <v>5.5</v>
      </c>
      <c r="J1601" s="10" t="n">
        <v>0</v>
      </c>
      <c r="K1601" s="9" t="n">
        <f aca="false">G1601*H1601*(1-J1601)</f>
        <v>269.82</v>
      </c>
      <c r="L1601" s="9" t="n">
        <f aca="false">G1601*I1601</f>
        <v>99</v>
      </c>
      <c r="M1601" s="9" t="n">
        <f aca="false">K1601-L1601</f>
        <v>170.82</v>
      </c>
      <c r="N1601" s="11" t="n">
        <f aca="false">IF(K1601=0,0,M1601/K1601)</f>
        <v>0.633088725817211</v>
      </c>
      <c r="O1601" s="9" t="n">
        <f aca="false">(G1601*H1601)-K1601</f>
        <v>0</v>
      </c>
      <c r="P1601" s="8" t="s">
        <v>21</v>
      </c>
    </row>
    <row r="1602" customFormat="false" ht="15" hidden="false" customHeight="false" outlineLevel="0" collapsed="false">
      <c r="A1602" s="2" t="n">
        <v>46090</v>
      </c>
      <c r="B1602" s="3" t="s">
        <v>37</v>
      </c>
      <c r="C1602" s="3" t="s">
        <v>17</v>
      </c>
      <c r="D1602" s="3" t="s">
        <v>32</v>
      </c>
      <c r="E1602" s="3" t="s">
        <v>33</v>
      </c>
      <c r="F1602" s="3" t="s">
        <v>34</v>
      </c>
      <c r="G1602" s="3" t="n">
        <v>8</v>
      </c>
      <c r="H1602" s="4" t="n">
        <v>18.99</v>
      </c>
      <c r="I1602" s="4" t="n">
        <v>6</v>
      </c>
      <c r="J1602" s="5" t="n">
        <v>0</v>
      </c>
      <c r="K1602" s="4" t="n">
        <f aca="false">G1602*H1602*(1-J1602)</f>
        <v>151.92</v>
      </c>
      <c r="L1602" s="4" t="n">
        <f aca="false">G1602*I1602</f>
        <v>48</v>
      </c>
      <c r="M1602" s="4" t="n">
        <f aca="false">K1602-L1602</f>
        <v>103.92</v>
      </c>
      <c r="N1602" s="6" t="n">
        <f aca="false">IF(K1602=0,0,M1602/K1602)</f>
        <v>0.684044233807267</v>
      </c>
      <c r="O1602" s="4" t="n">
        <f aca="false">(G1602*H1602)-K1602</f>
        <v>0</v>
      </c>
      <c r="P1602" s="3" t="s">
        <v>21</v>
      </c>
    </row>
    <row r="1603" customFormat="false" ht="15" hidden="false" customHeight="false" outlineLevel="0" collapsed="false">
      <c r="A1603" s="7" t="n">
        <v>46024</v>
      </c>
      <c r="B1603" s="8" t="s">
        <v>16</v>
      </c>
      <c r="C1603" s="8" t="s">
        <v>17</v>
      </c>
      <c r="D1603" s="8" t="s">
        <v>53</v>
      </c>
      <c r="E1603" s="8" t="s">
        <v>54</v>
      </c>
      <c r="F1603" s="8" t="s">
        <v>50</v>
      </c>
      <c r="G1603" s="8" t="n">
        <v>12</v>
      </c>
      <c r="H1603" s="9" t="n">
        <v>22.99</v>
      </c>
      <c r="I1603" s="9" t="n">
        <v>8</v>
      </c>
      <c r="J1603" s="10" t="n">
        <v>0</v>
      </c>
      <c r="K1603" s="9" t="n">
        <f aca="false">G1603*H1603*(1-J1603)</f>
        <v>275.88</v>
      </c>
      <c r="L1603" s="9" t="n">
        <f aca="false">G1603*I1603</f>
        <v>96</v>
      </c>
      <c r="M1603" s="9" t="n">
        <f aca="false">K1603-L1603</f>
        <v>179.88</v>
      </c>
      <c r="N1603" s="11" t="n">
        <f aca="false">IF(K1603=0,0,M1603/K1603)</f>
        <v>0.652022618529796</v>
      </c>
      <c r="O1603" s="9" t="n">
        <f aca="false">(G1603*H1603)-K1603</f>
        <v>0</v>
      </c>
      <c r="P1603" s="8" t="s">
        <v>21</v>
      </c>
    </row>
    <row r="1604" customFormat="false" ht="15" hidden="false" customHeight="false" outlineLevel="0" collapsed="false">
      <c r="A1604" s="2" t="n">
        <v>46101</v>
      </c>
      <c r="B1604" s="3" t="s">
        <v>22</v>
      </c>
      <c r="C1604" s="3" t="s">
        <v>23</v>
      </c>
      <c r="D1604" s="3" t="s">
        <v>53</v>
      </c>
      <c r="E1604" s="3" t="s">
        <v>54</v>
      </c>
      <c r="F1604" s="3" t="s">
        <v>50</v>
      </c>
      <c r="G1604" s="3" t="n">
        <v>14</v>
      </c>
      <c r="H1604" s="4" t="n">
        <v>22.99</v>
      </c>
      <c r="I1604" s="4" t="n">
        <v>8</v>
      </c>
      <c r="J1604" s="5" t="n">
        <v>0.3</v>
      </c>
      <c r="K1604" s="4" t="n">
        <f aca="false">G1604*H1604*(1-J1604)</f>
        <v>225.302</v>
      </c>
      <c r="L1604" s="4" t="n">
        <f aca="false">G1604*I1604</f>
        <v>112</v>
      </c>
      <c r="M1604" s="4" t="n">
        <f aca="false">K1604-L1604</f>
        <v>113.302</v>
      </c>
      <c r="N1604" s="6" t="n">
        <f aca="false">IF(K1604=0,0,M1604/K1604)</f>
        <v>0.502889455042565</v>
      </c>
      <c r="O1604" s="4" t="n">
        <f aca="false">(G1604*H1604)-K1604</f>
        <v>96.558</v>
      </c>
      <c r="P1604" s="3" t="s">
        <v>21</v>
      </c>
    </row>
    <row r="1605" customFormat="false" ht="15" hidden="false" customHeight="false" outlineLevel="0" collapsed="false">
      <c r="A1605" s="7" t="n">
        <v>46123</v>
      </c>
      <c r="B1605" s="8" t="s">
        <v>27</v>
      </c>
      <c r="C1605" s="8" t="s">
        <v>28</v>
      </c>
      <c r="D1605" s="8" t="s">
        <v>61</v>
      </c>
      <c r="E1605" s="8" t="s">
        <v>62</v>
      </c>
      <c r="F1605" s="8" t="s">
        <v>34</v>
      </c>
      <c r="G1605" s="8" t="n">
        <v>28</v>
      </c>
      <c r="H1605" s="9" t="n">
        <v>12.99</v>
      </c>
      <c r="I1605" s="9" t="n">
        <v>4.5</v>
      </c>
      <c r="J1605" s="10" t="n">
        <v>0.1</v>
      </c>
      <c r="K1605" s="9" t="n">
        <f aca="false">G1605*H1605*(1-J1605)</f>
        <v>327.348</v>
      </c>
      <c r="L1605" s="9" t="n">
        <f aca="false">G1605*I1605</f>
        <v>126</v>
      </c>
      <c r="M1605" s="9" t="n">
        <f aca="false">K1605-L1605</f>
        <v>201.348</v>
      </c>
      <c r="N1605" s="11" t="n">
        <f aca="false">IF(K1605=0,0,M1605/K1605)</f>
        <v>0.615088529638183</v>
      </c>
      <c r="O1605" s="9" t="n">
        <f aca="false">(G1605*H1605)-K1605</f>
        <v>36.372</v>
      </c>
      <c r="P1605" s="8" t="s">
        <v>21</v>
      </c>
    </row>
    <row r="1606" customFormat="false" ht="15" hidden="false" customHeight="false" outlineLevel="0" collapsed="false">
      <c r="A1606" s="2" t="n">
        <v>46093</v>
      </c>
      <c r="B1606" s="3" t="s">
        <v>31</v>
      </c>
      <c r="C1606" s="3" t="s">
        <v>23</v>
      </c>
      <c r="D1606" s="3" t="s">
        <v>72</v>
      </c>
      <c r="E1606" s="3" t="s">
        <v>73</v>
      </c>
      <c r="F1606" s="3" t="s">
        <v>57</v>
      </c>
      <c r="G1606" s="3" t="n">
        <v>14</v>
      </c>
      <c r="H1606" s="4" t="n">
        <v>19.99</v>
      </c>
      <c r="I1606" s="4" t="n">
        <v>7</v>
      </c>
      <c r="J1606" s="5" t="n">
        <v>0</v>
      </c>
      <c r="K1606" s="4" t="n">
        <f aca="false">G1606*H1606*(1-J1606)</f>
        <v>279.86</v>
      </c>
      <c r="L1606" s="4" t="n">
        <f aca="false">G1606*I1606</f>
        <v>98</v>
      </c>
      <c r="M1606" s="4" t="n">
        <f aca="false">K1606-L1606</f>
        <v>181.86</v>
      </c>
      <c r="N1606" s="6" t="n">
        <f aca="false">IF(K1606=0,0,M1606/K1606)</f>
        <v>0.649824912456228</v>
      </c>
      <c r="O1606" s="4" t="n">
        <f aca="false">(G1606*H1606)-K1606</f>
        <v>0</v>
      </c>
      <c r="P1606" s="3" t="s">
        <v>21</v>
      </c>
    </row>
    <row r="1607" customFormat="false" ht="15" hidden="false" customHeight="false" outlineLevel="0" collapsed="false">
      <c r="A1607" s="7" t="n">
        <v>46041</v>
      </c>
      <c r="B1607" s="8" t="s">
        <v>41</v>
      </c>
      <c r="C1607" s="8" t="s">
        <v>28</v>
      </c>
      <c r="D1607" s="8" t="s">
        <v>90</v>
      </c>
      <c r="E1607" s="8" t="s">
        <v>91</v>
      </c>
      <c r="F1607" s="8" t="s">
        <v>26</v>
      </c>
      <c r="G1607" s="8" t="n">
        <v>15</v>
      </c>
      <c r="H1607" s="9" t="n">
        <v>29.99</v>
      </c>
      <c r="I1607" s="9" t="n">
        <v>11</v>
      </c>
      <c r="J1607" s="10" t="n">
        <v>0</v>
      </c>
      <c r="K1607" s="9" t="n">
        <f aca="false">G1607*H1607*(1-J1607)</f>
        <v>449.85</v>
      </c>
      <c r="L1607" s="9" t="n">
        <f aca="false">G1607*I1607</f>
        <v>165</v>
      </c>
      <c r="M1607" s="9" t="n">
        <f aca="false">K1607-L1607</f>
        <v>284.85</v>
      </c>
      <c r="N1607" s="11" t="n">
        <f aca="false">IF(K1607=0,0,M1607/K1607)</f>
        <v>0.633211070356786</v>
      </c>
      <c r="O1607" s="9" t="n">
        <f aca="false">(G1607*H1607)-K1607</f>
        <v>0</v>
      </c>
      <c r="P1607" s="8" t="s">
        <v>21</v>
      </c>
    </row>
    <row r="1608" customFormat="false" ht="15" hidden="false" customHeight="false" outlineLevel="0" collapsed="false">
      <c r="A1608" s="2" t="n">
        <v>46069</v>
      </c>
      <c r="B1608" s="3" t="s">
        <v>22</v>
      </c>
      <c r="C1608" s="3" t="s">
        <v>23</v>
      </c>
      <c r="D1608" s="3" t="s">
        <v>51</v>
      </c>
      <c r="E1608" s="3" t="s">
        <v>52</v>
      </c>
      <c r="F1608" s="3" t="s">
        <v>50</v>
      </c>
      <c r="G1608" s="3" t="n">
        <v>23</v>
      </c>
      <c r="H1608" s="4" t="n">
        <v>19.99</v>
      </c>
      <c r="I1608" s="4" t="n">
        <v>7</v>
      </c>
      <c r="J1608" s="5" t="n">
        <v>0.3</v>
      </c>
      <c r="K1608" s="4" t="n">
        <f aca="false">G1608*H1608*(1-J1608)</f>
        <v>321.839</v>
      </c>
      <c r="L1608" s="4" t="n">
        <f aca="false">G1608*I1608</f>
        <v>161</v>
      </c>
      <c r="M1608" s="4" t="n">
        <f aca="false">K1608-L1608</f>
        <v>160.839</v>
      </c>
      <c r="N1608" s="6" t="n">
        <f aca="false">IF(K1608=0,0,M1608/K1608)</f>
        <v>0.499749874937469</v>
      </c>
      <c r="O1608" s="4" t="n">
        <f aca="false">(G1608*H1608)-K1608</f>
        <v>137.931</v>
      </c>
      <c r="P1608" s="3" t="s">
        <v>21</v>
      </c>
    </row>
    <row r="1609" customFormat="false" ht="15" hidden="false" customHeight="false" outlineLevel="0" collapsed="false">
      <c r="A1609" s="7" t="n">
        <v>46107</v>
      </c>
      <c r="B1609" s="8" t="s">
        <v>16</v>
      </c>
      <c r="C1609" s="8" t="s">
        <v>17</v>
      </c>
      <c r="D1609" s="8" t="s">
        <v>32</v>
      </c>
      <c r="E1609" s="8" t="s">
        <v>33</v>
      </c>
      <c r="F1609" s="8" t="s">
        <v>34</v>
      </c>
      <c r="G1609" s="8" t="n">
        <v>28</v>
      </c>
      <c r="H1609" s="9" t="n">
        <v>18.99</v>
      </c>
      <c r="I1609" s="9" t="n">
        <v>6</v>
      </c>
      <c r="J1609" s="10" t="n">
        <v>0</v>
      </c>
      <c r="K1609" s="9" t="n">
        <f aca="false">G1609*H1609*(1-J1609)</f>
        <v>531.72</v>
      </c>
      <c r="L1609" s="9" t="n">
        <f aca="false">G1609*I1609</f>
        <v>168</v>
      </c>
      <c r="M1609" s="9" t="n">
        <f aca="false">K1609-L1609</f>
        <v>363.72</v>
      </c>
      <c r="N1609" s="11" t="n">
        <f aca="false">IF(K1609=0,0,M1609/K1609)</f>
        <v>0.684044233807267</v>
      </c>
      <c r="O1609" s="9" t="n">
        <f aca="false">(G1609*H1609)-K1609</f>
        <v>0</v>
      </c>
      <c r="P1609" s="8" t="s">
        <v>21</v>
      </c>
    </row>
    <row r="1610" customFormat="false" ht="15" hidden="false" customHeight="false" outlineLevel="0" collapsed="false">
      <c r="A1610" s="2" t="n">
        <v>46030</v>
      </c>
      <c r="B1610" s="3" t="s">
        <v>58</v>
      </c>
      <c r="C1610" s="3" t="s">
        <v>58</v>
      </c>
      <c r="D1610" s="3" t="s">
        <v>76</v>
      </c>
      <c r="E1610" s="3" t="s">
        <v>77</v>
      </c>
      <c r="F1610" s="3" t="s">
        <v>34</v>
      </c>
      <c r="G1610" s="3" t="n">
        <v>16</v>
      </c>
      <c r="H1610" s="4" t="n">
        <v>44.99</v>
      </c>
      <c r="I1610" s="4" t="n">
        <v>14</v>
      </c>
      <c r="J1610" s="5" t="n">
        <v>0</v>
      </c>
      <c r="K1610" s="4" t="n">
        <f aca="false">G1610*H1610*(1-J1610)</f>
        <v>719.84</v>
      </c>
      <c r="L1610" s="4" t="n">
        <f aca="false">G1610*I1610</f>
        <v>224</v>
      </c>
      <c r="M1610" s="4" t="n">
        <f aca="false">K1610-L1610</f>
        <v>495.84</v>
      </c>
      <c r="N1610" s="6" t="n">
        <f aca="false">IF(K1610=0,0,M1610/K1610)</f>
        <v>0.688819737719493</v>
      </c>
      <c r="O1610" s="4" t="n">
        <f aca="false">(G1610*H1610)-K1610</f>
        <v>0</v>
      </c>
      <c r="P1610" s="3" t="s">
        <v>21</v>
      </c>
    </row>
    <row r="1611" customFormat="false" ht="15" hidden="false" customHeight="false" outlineLevel="0" collapsed="false">
      <c r="A1611" s="7" t="n">
        <v>46100</v>
      </c>
      <c r="B1611" s="8" t="s">
        <v>16</v>
      </c>
      <c r="C1611" s="8" t="s">
        <v>17</v>
      </c>
      <c r="D1611" s="8" t="s">
        <v>38</v>
      </c>
      <c r="E1611" s="8" t="s">
        <v>39</v>
      </c>
      <c r="F1611" s="8" t="s">
        <v>40</v>
      </c>
      <c r="G1611" s="8" t="n">
        <v>19</v>
      </c>
      <c r="H1611" s="9" t="n">
        <v>12.99</v>
      </c>
      <c r="I1611" s="9" t="n">
        <v>4</v>
      </c>
      <c r="J1611" s="10" t="n">
        <v>0</v>
      </c>
      <c r="K1611" s="9" t="n">
        <f aca="false">G1611*H1611*(1-J1611)</f>
        <v>246.81</v>
      </c>
      <c r="L1611" s="9" t="n">
        <f aca="false">G1611*I1611</f>
        <v>76</v>
      </c>
      <c r="M1611" s="9" t="n">
        <f aca="false">K1611-L1611</f>
        <v>170.81</v>
      </c>
      <c r="N1611" s="11" t="n">
        <f aca="false">IF(K1611=0,0,M1611/K1611)</f>
        <v>0.692070823710547</v>
      </c>
      <c r="O1611" s="9" t="n">
        <f aca="false">(G1611*H1611)-K1611</f>
        <v>0</v>
      </c>
      <c r="P1611" s="8" t="s">
        <v>21</v>
      </c>
    </row>
    <row r="1612" customFormat="false" ht="15" hidden="false" customHeight="false" outlineLevel="0" collapsed="false">
      <c r="A1612" s="2" t="n">
        <v>46028</v>
      </c>
      <c r="B1612" s="3" t="s">
        <v>64</v>
      </c>
      <c r="C1612" s="3" t="s">
        <v>65</v>
      </c>
      <c r="D1612" s="3" t="s">
        <v>78</v>
      </c>
      <c r="E1612" s="3" t="s">
        <v>79</v>
      </c>
      <c r="F1612" s="3" t="s">
        <v>20</v>
      </c>
      <c r="G1612" s="3" t="n">
        <v>19</v>
      </c>
      <c r="H1612" s="4" t="n">
        <v>39.99</v>
      </c>
      <c r="I1612" s="4" t="n">
        <v>16</v>
      </c>
      <c r="J1612" s="5" t="n">
        <v>0.2</v>
      </c>
      <c r="K1612" s="4" t="n">
        <f aca="false">G1612*H1612*(1-J1612)</f>
        <v>607.848</v>
      </c>
      <c r="L1612" s="4" t="n">
        <f aca="false">G1612*I1612</f>
        <v>304</v>
      </c>
      <c r="M1612" s="4" t="n">
        <f aca="false">K1612-L1612</f>
        <v>303.848</v>
      </c>
      <c r="N1612" s="6" t="n">
        <f aca="false">IF(K1612=0,0,M1612/K1612)</f>
        <v>0.499874968742186</v>
      </c>
      <c r="O1612" s="4" t="n">
        <f aca="false">(G1612*H1612)-K1612</f>
        <v>151.962</v>
      </c>
      <c r="P1612" s="3" t="s">
        <v>21</v>
      </c>
    </row>
    <row r="1613" customFormat="false" ht="15" hidden="false" customHeight="false" outlineLevel="0" collapsed="false">
      <c r="A1613" s="7" t="n">
        <v>46094</v>
      </c>
      <c r="B1613" s="8" t="s">
        <v>27</v>
      </c>
      <c r="C1613" s="8" t="s">
        <v>28</v>
      </c>
      <c r="D1613" s="8" t="s">
        <v>70</v>
      </c>
      <c r="E1613" s="8" t="s">
        <v>71</v>
      </c>
      <c r="F1613" s="8" t="s">
        <v>20</v>
      </c>
      <c r="G1613" s="8" t="n">
        <v>4</v>
      </c>
      <c r="H1613" s="9" t="n">
        <v>49.99</v>
      </c>
      <c r="I1613" s="9" t="n">
        <v>19</v>
      </c>
      <c r="J1613" s="10" t="n">
        <v>0.25</v>
      </c>
      <c r="K1613" s="9" t="n">
        <f aca="false">G1613*H1613*(1-J1613)</f>
        <v>149.97</v>
      </c>
      <c r="L1613" s="9" t="n">
        <f aca="false">G1613*I1613</f>
        <v>76</v>
      </c>
      <c r="M1613" s="9" t="n">
        <f aca="false">K1613-L1613</f>
        <v>73.97</v>
      </c>
      <c r="N1613" s="11" t="n">
        <f aca="false">IF(K1613=0,0,M1613/K1613)</f>
        <v>0.493231979729279</v>
      </c>
      <c r="O1613" s="9" t="n">
        <f aca="false">(G1613*H1613)-K1613</f>
        <v>49.99</v>
      </c>
      <c r="P1613" s="8" t="s">
        <v>21</v>
      </c>
    </row>
    <row r="1614" customFormat="false" ht="15" hidden="false" customHeight="false" outlineLevel="0" collapsed="false">
      <c r="A1614" s="2" t="n">
        <v>46096</v>
      </c>
      <c r="B1614" s="3" t="s">
        <v>31</v>
      </c>
      <c r="C1614" s="3" t="s">
        <v>23</v>
      </c>
      <c r="D1614" s="3" t="s">
        <v>35</v>
      </c>
      <c r="E1614" s="3" t="s">
        <v>36</v>
      </c>
      <c r="F1614" s="3" t="s">
        <v>26</v>
      </c>
      <c r="G1614" s="3" t="n">
        <v>6</v>
      </c>
      <c r="H1614" s="4" t="n">
        <v>69.99</v>
      </c>
      <c r="I1614" s="4" t="n">
        <v>30</v>
      </c>
      <c r="J1614" s="5" t="n">
        <v>0.1</v>
      </c>
      <c r="K1614" s="4" t="n">
        <f aca="false">G1614*H1614*(1-J1614)</f>
        <v>377.946</v>
      </c>
      <c r="L1614" s="4" t="n">
        <f aca="false">G1614*I1614</f>
        <v>180</v>
      </c>
      <c r="M1614" s="4" t="n">
        <f aca="false">K1614-L1614</f>
        <v>197.946</v>
      </c>
      <c r="N1614" s="6" t="n">
        <f aca="false">IF(K1614=0,0,M1614/K1614)</f>
        <v>0.523741486879078</v>
      </c>
      <c r="O1614" s="4" t="n">
        <f aca="false">(G1614*H1614)-K1614</f>
        <v>41.994</v>
      </c>
      <c r="P1614" s="3" t="s">
        <v>21</v>
      </c>
    </row>
    <row r="1615" customFormat="false" ht="15" hidden="false" customHeight="false" outlineLevel="0" collapsed="false">
      <c r="A1615" s="7" t="n">
        <v>46109</v>
      </c>
      <c r="B1615" s="8" t="s">
        <v>22</v>
      </c>
      <c r="C1615" s="8" t="s">
        <v>23</v>
      </c>
      <c r="D1615" s="8" t="s">
        <v>72</v>
      </c>
      <c r="E1615" s="8" t="s">
        <v>73</v>
      </c>
      <c r="F1615" s="8" t="s">
        <v>57</v>
      </c>
      <c r="G1615" s="8" t="n">
        <v>1</v>
      </c>
      <c r="H1615" s="9" t="n">
        <v>19.99</v>
      </c>
      <c r="I1615" s="9" t="n">
        <v>7</v>
      </c>
      <c r="J1615" s="10" t="n">
        <v>0.3</v>
      </c>
      <c r="K1615" s="9" t="n">
        <f aca="false">G1615*H1615*(1-J1615)</f>
        <v>13.993</v>
      </c>
      <c r="L1615" s="9" t="n">
        <f aca="false">G1615*I1615</f>
        <v>7</v>
      </c>
      <c r="M1615" s="9" t="n">
        <f aca="false">K1615-L1615</f>
        <v>6.993</v>
      </c>
      <c r="N1615" s="11" t="n">
        <f aca="false">IF(K1615=0,0,M1615/K1615)</f>
        <v>0.499749874937469</v>
      </c>
      <c r="O1615" s="9" t="n">
        <f aca="false">(G1615*H1615)-K1615</f>
        <v>5.997</v>
      </c>
      <c r="P1615" s="8" t="s">
        <v>21</v>
      </c>
    </row>
    <row r="1616" customFormat="false" ht="15" hidden="false" customHeight="false" outlineLevel="0" collapsed="false">
      <c r="A1616" s="2" t="n">
        <v>46058</v>
      </c>
      <c r="B1616" s="3" t="s">
        <v>58</v>
      </c>
      <c r="C1616" s="3" t="s">
        <v>58</v>
      </c>
      <c r="D1616" s="3" t="s">
        <v>82</v>
      </c>
      <c r="E1616" s="3" t="s">
        <v>83</v>
      </c>
      <c r="F1616" s="3" t="s">
        <v>26</v>
      </c>
      <c r="G1616" s="3" t="n">
        <v>28</v>
      </c>
      <c r="H1616" s="4" t="n">
        <v>44.99</v>
      </c>
      <c r="I1616" s="4" t="n">
        <v>18</v>
      </c>
      <c r="J1616" s="5" t="n">
        <v>0</v>
      </c>
      <c r="K1616" s="4" t="n">
        <f aca="false">G1616*H1616*(1-J1616)</f>
        <v>1259.72</v>
      </c>
      <c r="L1616" s="4" t="n">
        <f aca="false">G1616*I1616</f>
        <v>504</v>
      </c>
      <c r="M1616" s="4" t="n">
        <f aca="false">K1616-L1616</f>
        <v>755.72</v>
      </c>
      <c r="N1616" s="6" t="n">
        <f aca="false">IF(K1616=0,0,M1616/K1616)</f>
        <v>0.599911091353634</v>
      </c>
      <c r="O1616" s="4" t="n">
        <f aca="false">(G1616*H1616)-K1616</f>
        <v>0</v>
      </c>
      <c r="P1616" s="3" t="s">
        <v>21</v>
      </c>
    </row>
    <row r="1617" customFormat="false" ht="15" hidden="false" customHeight="false" outlineLevel="0" collapsed="false">
      <c r="A1617" s="7" t="n">
        <v>46032</v>
      </c>
      <c r="B1617" s="8" t="s">
        <v>31</v>
      </c>
      <c r="C1617" s="8" t="s">
        <v>23</v>
      </c>
      <c r="D1617" s="8" t="s">
        <v>82</v>
      </c>
      <c r="E1617" s="8" t="s">
        <v>83</v>
      </c>
      <c r="F1617" s="8" t="s">
        <v>26</v>
      </c>
      <c r="G1617" s="8" t="n">
        <v>3</v>
      </c>
      <c r="H1617" s="9" t="n">
        <v>44.99</v>
      </c>
      <c r="I1617" s="9" t="n">
        <v>18</v>
      </c>
      <c r="J1617" s="10" t="n">
        <v>0</v>
      </c>
      <c r="K1617" s="9" t="n">
        <f aca="false">G1617*H1617*(1-J1617)</f>
        <v>134.97</v>
      </c>
      <c r="L1617" s="9" t="n">
        <f aca="false">G1617*I1617</f>
        <v>54</v>
      </c>
      <c r="M1617" s="9" t="n">
        <f aca="false">K1617-L1617</f>
        <v>80.97</v>
      </c>
      <c r="N1617" s="11" t="n">
        <f aca="false">IF(K1617=0,0,M1617/K1617)</f>
        <v>0.599911091353634</v>
      </c>
      <c r="O1617" s="9" t="n">
        <f aca="false">(G1617*H1617)-K1617</f>
        <v>0</v>
      </c>
      <c r="P1617" s="8" t="s">
        <v>21</v>
      </c>
    </row>
    <row r="1618" customFormat="false" ht="15" hidden="false" customHeight="false" outlineLevel="0" collapsed="false">
      <c r="A1618" s="2" t="n">
        <v>46051</v>
      </c>
      <c r="B1618" s="3" t="s">
        <v>64</v>
      </c>
      <c r="C1618" s="3" t="s">
        <v>65</v>
      </c>
      <c r="D1618" s="3" t="s">
        <v>68</v>
      </c>
      <c r="E1618" s="3" t="s">
        <v>69</v>
      </c>
      <c r="F1618" s="3" t="s">
        <v>40</v>
      </c>
      <c r="G1618" s="3" t="n">
        <v>18</v>
      </c>
      <c r="H1618" s="4" t="n">
        <v>24.99</v>
      </c>
      <c r="I1618" s="4" t="n">
        <v>9</v>
      </c>
      <c r="J1618" s="5" t="n">
        <v>0.25</v>
      </c>
      <c r="K1618" s="4" t="n">
        <f aca="false">G1618*H1618*(1-J1618)</f>
        <v>337.365</v>
      </c>
      <c r="L1618" s="4" t="n">
        <f aca="false">G1618*I1618</f>
        <v>162</v>
      </c>
      <c r="M1618" s="4" t="n">
        <f aca="false">K1618-L1618</f>
        <v>175.365</v>
      </c>
      <c r="N1618" s="6" t="n">
        <f aca="false">IF(K1618=0,0,M1618/K1618)</f>
        <v>0.519807923169268</v>
      </c>
      <c r="O1618" s="4" t="n">
        <f aca="false">(G1618*H1618)-K1618</f>
        <v>112.455</v>
      </c>
      <c r="P1618" s="3" t="s">
        <v>21</v>
      </c>
    </row>
    <row r="1619" customFormat="false" ht="15" hidden="false" customHeight="false" outlineLevel="0" collapsed="false">
      <c r="A1619" s="7" t="n">
        <v>46065</v>
      </c>
      <c r="B1619" s="8" t="s">
        <v>22</v>
      </c>
      <c r="C1619" s="8" t="s">
        <v>23</v>
      </c>
      <c r="D1619" s="8" t="s">
        <v>44</v>
      </c>
      <c r="E1619" s="8" t="s">
        <v>45</v>
      </c>
      <c r="F1619" s="8" t="s">
        <v>40</v>
      </c>
      <c r="G1619" s="8" t="n">
        <v>25</v>
      </c>
      <c r="H1619" s="9" t="n">
        <v>29.99</v>
      </c>
      <c r="I1619" s="9" t="n">
        <v>11</v>
      </c>
      <c r="J1619" s="10" t="n">
        <v>0</v>
      </c>
      <c r="K1619" s="9" t="n">
        <f aca="false">G1619*H1619*(1-J1619)</f>
        <v>749.75</v>
      </c>
      <c r="L1619" s="9" t="n">
        <f aca="false">G1619*I1619</f>
        <v>275</v>
      </c>
      <c r="M1619" s="9" t="n">
        <f aca="false">K1619-L1619</f>
        <v>474.75</v>
      </c>
      <c r="N1619" s="11" t="n">
        <f aca="false">IF(K1619=0,0,M1619/K1619)</f>
        <v>0.633211070356786</v>
      </c>
      <c r="O1619" s="9" t="n">
        <f aca="false">(G1619*H1619)-K1619</f>
        <v>0</v>
      </c>
      <c r="P1619" s="8" t="s">
        <v>21</v>
      </c>
    </row>
    <row r="1620" customFormat="false" ht="15" hidden="false" customHeight="false" outlineLevel="0" collapsed="false">
      <c r="A1620" s="2" t="n">
        <v>46061</v>
      </c>
      <c r="B1620" s="3" t="s">
        <v>64</v>
      </c>
      <c r="C1620" s="3" t="s">
        <v>65</v>
      </c>
      <c r="D1620" s="3" t="s">
        <v>61</v>
      </c>
      <c r="E1620" s="3" t="s">
        <v>62</v>
      </c>
      <c r="F1620" s="3" t="s">
        <v>34</v>
      </c>
      <c r="G1620" s="3" t="n">
        <v>30</v>
      </c>
      <c r="H1620" s="4" t="n">
        <v>14.99</v>
      </c>
      <c r="I1620" s="4" t="n">
        <v>4.5</v>
      </c>
      <c r="J1620" s="5" t="n">
        <v>0.1</v>
      </c>
      <c r="K1620" s="4" t="n">
        <f aca="false">G1620*H1620*(1-J1620)</f>
        <v>404.73</v>
      </c>
      <c r="L1620" s="4" t="n">
        <f aca="false">G1620*I1620</f>
        <v>135</v>
      </c>
      <c r="M1620" s="4" t="n">
        <f aca="false">K1620-L1620</f>
        <v>269.73</v>
      </c>
      <c r="N1620" s="6" t="n">
        <f aca="false">IF(K1620=0,0,M1620/K1620)</f>
        <v>0.666444296197465</v>
      </c>
      <c r="O1620" s="4" t="n">
        <f aca="false">(G1620*H1620)-K1620</f>
        <v>44.97</v>
      </c>
      <c r="P1620" s="3" t="s">
        <v>21</v>
      </c>
    </row>
    <row r="1621" customFormat="false" ht="15" hidden="false" customHeight="false" outlineLevel="0" collapsed="false">
      <c r="A1621" s="7" t="n">
        <v>46048</v>
      </c>
      <c r="B1621" s="8" t="s">
        <v>58</v>
      </c>
      <c r="C1621" s="8" t="s">
        <v>58</v>
      </c>
      <c r="D1621" s="8" t="s">
        <v>88</v>
      </c>
      <c r="E1621" s="8" t="s">
        <v>89</v>
      </c>
      <c r="F1621" s="8" t="s">
        <v>57</v>
      </c>
      <c r="G1621" s="8" t="n">
        <v>14</v>
      </c>
      <c r="H1621" s="9" t="n">
        <v>12.99</v>
      </c>
      <c r="I1621" s="9" t="n">
        <v>4.5</v>
      </c>
      <c r="J1621" s="10" t="n">
        <v>0.1</v>
      </c>
      <c r="K1621" s="9" t="n">
        <f aca="false">G1621*H1621*(1-J1621)</f>
        <v>163.674</v>
      </c>
      <c r="L1621" s="9" t="n">
        <f aca="false">G1621*I1621</f>
        <v>63</v>
      </c>
      <c r="M1621" s="9" t="n">
        <f aca="false">K1621-L1621</f>
        <v>100.674</v>
      </c>
      <c r="N1621" s="11" t="n">
        <f aca="false">IF(K1621=0,0,M1621/K1621)</f>
        <v>0.615088529638183</v>
      </c>
      <c r="O1621" s="9" t="n">
        <f aca="false">(G1621*H1621)-K1621</f>
        <v>18.186</v>
      </c>
      <c r="P1621" s="8" t="s">
        <v>21</v>
      </c>
    </row>
    <row r="1622" customFormat="false" ht="15" hidden="false" customHeight="false" outlineLevel="0" collapsed="false">
      <c r="A1622" s="2" t="n">
        <v>46111</v>
      </c>
      <c r="B1622" s="3" t="s">
        <v>27</v>
      </c>
      <c r="C1622" s="3" t="s">
        <v>28</v>
      </c>
      <c r="D1622" s="3" t="s">
        <v>24</v>
      </c>
      <c r="E1622" s="3" t="s">
        <v>25</v>
      </c>
      <c r="F1622" s="3" t="s">
        <v>26</v>
      </c>
      <c r="G1622" s="3" t="n">
        <v>25</v>
      </c>
      <c r="H1622" s="4" t="n">
        <v>54.99</v>
      </c>
      <c r="I1622" s="4" t="n">
        <v>24</v>
      </c>
      <c r="J1622" s="5" t="n">
        <v>0.2</v>
      </c>
      <c r="K1622" s="4" t="n">
        <f aca="false">G1622*H1622*(1-J1622)</f>
        <v>1099.8</v>
      </c>
      <c r="L1622" s="4" t="n">
        <f aca="false">G1622*I1622</f>
        <v>600</v>
      </c>
      <c r="M1622" s="4" t="n">
        <f aca="false">K1622-L1622</f>
        <v>499.8</v>
      </c>
      <c r="N1622" s="6" t="n">
        <f aca="false">IF(K1622=0,0,M1622/K1622)</f>
        <v>0.454446262956901</v>
      </c>
      <c r="O1622" s="4" t="n">
        <f aca="false">(G1622*H1622)-K1622</f>
        <v>274.95</v>
      </c>
      <c r="P1622" s="3" t="s">
        <v>21</v>
      </c>
    </row>
    <row r="1623" customFormat="false" ht="15" hidden="false" customHeight="false" outlineLevel="0" collapsed="false">
      <c r="A1623" s="7" t="n">
        <v>46025</v>
      </c>
      <c r="B1623" s="8" t="s">
        <v>37</v>
      </c>
      <c r="C1623" s="8" t="s">
        <v>17</v>
      </c>
      <c r="D1623" s="8" t="s">
        <v>88</v>
      </c>
      <c r="E1623" s="8" t="s">
        <v>89</v>
      </c>
      <c r="F1623" s="8" t="s">
        <v>57</v>
      </c>
      <c r="G1623" s="8" t="n">
        <v>5</v>
      </c>
      <c r="H1623" s="9" t="n">
        <v>12.99</v>
      </c>
      <c r="I1623" s="9" t="n">
        <v>4.5</v>
      </c>
      <c r="J1623" s="10" t="n">
        <v>0.1</v>
      </c>
      <c r="K1623" s="9" t="n">
        <f aca="false">G1623*H1623*(1-J1623)</f>
        <v>58.455</v>
      </c>
      <c r="L1623" s="9" t="n">
        <f aca="false">G1623*I1623</f>
        <v>22.5</v>
      </c>
      <c r="M1623" s="9" t="n">
        <f aca="false">K1623-L1623</f>
        <v>35.955</v>
      </c>
      <c r="N1623" s="11" t="n">
        <f aca="false">IF(K1623=0,0,M1623/K1623)</f>
        <v>0.615088529638183</v>
      </c>
      <c r="O1623" s="9" t="n">
        <f aca="false">(G1623*H1623)-K1623</f>
        <v>6.495</v>
      </c>
      <c r="P1623" s="8" t="s">
        <v>21</v>
      </c>
    </row>
    <row r="1624" customFormat="false" ht="15" hidden="false" customHeight="false" outlineLevel="0" collapsed="false">
      <c r="A1624" s="2" t="n">
        <v>46114</v>
      </c>
      <c r="B1624" s="3" t="s">
        <v>64</v>
      </c>
      <c r="C1624" s="3" t="s">
        <v>65</v>
      </c>
      <c r="D1624" s="3" t="s">
        <v>35</v>
      </c>
      <c r="E1624" s="3" t="s">
        <v>36</v>
      </c>
      <c r="F1624" s="3" t="s">
        <v>26</v>
      </c>
      <c r="G1624" s="3" t="n">
        <v>27</v>
      </c>
      <c r="H1624" s="4" t="n">
        <v>69.99</v>
      </c>
      <c r="I1624" s="4" t="n">
        <v>30</v>
      </c>
      <c r="J1624" s="5" t="n">
        <v>0.1</v>
      </c>
      <c r="K1624" s="4" t="n">
        <f aca="false">G1624*H1624*(1-J1624)</f>
        <v>1700.757</v>
      </c>
      <c r="L1624" s="4" t="n">
        <f aca="false">G1624*I1624</f>
        <v>810</v>
      </c>
      <c r="M1624" s="4" t="n">
        <f aca="false">K1624-L1624</f>
        <v>890.757</v>
      </c>
      <c r="N1624" s="6" t="n">
        <f aca="false">IF(K1624=0,0,M1624/K1624)</f>
        <v>0.523741486879078</v>
      </c>
      <c r="O1624" s="4" t="n">
        <f aca="false">(G1624*H1624)-K1624</f>
        <v>188.973</v>
      </c>
      <c r="P1624" s="3" t="s">
        <v>21</v>
      </c>
    </row>
    <row r="1625" customFormat="false" ht="15" hidden="false" customHeight="false" outlineLevel="0" collapsed="false">
      <c r="A1625" s="7" t="n">
        <v>46114</v>
      </c>
      <c r="B1625" s="8" t="s">
        <v>41</v>
      </c>
      <c r="C1625" s="8" t="s">
        <v>28</v>
      </c>
      <c r="D1625" s="8" t="s">
        <v>46</v>
      </c>
      <c r="E1625" s="8" t="s">
        <v>47</v>
      </c>
      <c r="F1625" s="8" t="s">
        <v>20</v>
      </c>
      <c r="G1625" s="8" t="n">
        <v>25</v>
      </c>
      <c r="H1625" s="9" t="n">
        <v>44.99</v>
      </c>
      <c r="I1625" s="9" t="n">
        <v>18</v>
      </c>
      <c r="J1625" s="10" t="n">
        <v>0.1</v>
      </c>
      <c r="K1625" s="9" t="n">
        <f aca="false">G1625*H1625*(1-J1625)</f>
        <v>1012.275</v>
      </c>
      <c r="L1625" s="9" t="n">
        <f aca="false">G1625*I1625</f>
        <v>450</v>
      </c>
      <c r="M1625" s="9" t="n">
        <f aca="false">K1625-L1625</f>
        <v>562.275</v>
      </c>
      <c r="N1625" s="11" t="n">
        <f aca="false">IF(K1625=0,0,M1625/K1625)</f>
        <v>0.555456768170705</v>
      </c>
      <c r="O1625" s="9" t="n">
        <f aca="false">(G1625*H1625)-K1625</f>
        <v>112.475</v>
      </c>
      <c r="P1625" s="8" t="s">
        <v>21</v>
      </c>
    </row>
    <row r="1626" customFormat="false" ht="15" hidden="false" customHeight="false" outlineLevel="0" collapsed="false">
      <c r="A1626" s="2" t="n">
        <v>46037</v>
      </c>
      <c r="B1626" s="3" t="s">
        <v>22</v>
      </c>
      <c r="C1626" s="3" t="s">
        <v>23</v>
      </c>
      <c r="D1626" s="3" t="s">
        <v>59</v>
      </c>
      <c r="E1626" s="3" t="s">
        <v>60</v>
      </c>
      <c r="F1626" s="3" t="s">
        <v>50</v>
      </c>
      <c r="G1626" s="3" t="n">
        <v>16</v>
      </c>
      <c r="H1626" s="4" t="n">
        <v>24.99</v>
      </c>
      <c r="I1626" s="4" t="n">
        <v>8.5</v>
      </c>
      <c r="J1626" s="5" t="n">
        <v>0</v>
      </c>
      <c r="K1626" s="4" t="n">
        <f aca="false">G1626*H1626*(1-J1626)</f>
        <v>399.84</v>
      </c>
      <c r="L1626" s="4" t="n">
        <f aca="false">G1626*I1626</f>
        <v>136</v>
      </c>
      <c r="M1626" s="4" t="n">
        <f aca="false">K1626-L1626</f>
        <v>263.84</v>
      </c>
      <c r="N1626" s="6" t="n">
        <f aca="false">IF(K1626=0,0,M1626/K1626)</f>
        <v>0.659863945578231</v>
      </c>
      <c r="O1626" s="4" t="n">
        <f aca="false">(G1626*H1626)-K1626</f>
        <v>0</v>
      </c>
      <c r="P1626" s="3" t="s">
        <v>21</v>
      </c>
    </row>
    <row r="1627" customFormat="false" ht="15" hidden="false" customHeight="false" outlineLevel="0" collapsed="false">
      <c r="A1627" s="7" t="n">
        <v>46114</v>
      </c>
      <c r="B1627" s="8" t="s">
        <v>64</v>
      </c>
      <c r="C1627" s="8" t="s">
        <v>65</v>
      </c>
      <c r="D1627" s="8" t="s">
        <v>29</v>
      </c>
      <c r="E1627" s="8" t="s">
        <v>30</v>
      </c>
      <c r="F1627" s="8" t="s">
        <v>20</v>
      </c>
      <c r="G1627" s="8" t="n">
        <v>23</v>
      </c>
      <c r="H1627" s="9" t="n">
        <v>79.99</v>
      </c>
      <c r="I1627" s="9" t="n">
        <v>42</v>
      </c>
      <c r="J1627" s="10" t="n">
        <v>0.15</v>
      </c>
      <c r="K1627" s="9" t="n">
        <f aca="false">G1627*H1627*(1-J1627)</f>
        <v>1563.8045</v>
      </c>
      <c r="L1627" s="9" t="n">
        <f aca="false">G1627*I1627</f>
        <v>966</v>
      </c>
      <c r="M1627" s="9" t="n">
        <f aca="false">K1627-L1627</f>
        <v>597.8045</v>
      </c>
      <c r="N1627" s="11" t="n">
        <f aca="false">IF(K1627=0,0,M1627/K1627)</f>
        <v>0.382275725642176</v>
      </c>
      <c r="O1627" s="9" t="n">
        <f aca="false">(G1627*H1627)-K1627</f>
        <v>275.9655</v>
      </c>
      <c r="P1627" s="8" t="s">
        <v>21</v>
      </c>
    </row>
    <row r="1628" customFormat="false" ht="15" hidden="false" customHeight="false" outlineLevel="0" collapsed="false">
      <c r="A1628" s="2" t="n">
        <v>46081</v>
      </c>
      <c r="B1628" s="3" t="s">
        <v>41</v>
      </c>
      <c r="C1628" s="3" t="s">
        <v>28</v>
      </c>
      <c r="D1628" s="3" t="s">
        <v>70</v>
      </c>
      <c r="E1628" s="3" t="s">
        <v>71</v>
      </c>
      <c r="F1628" s="3" t="s">
        <v>20</v>
      </c>
      <c r="G1628" s="3" t="n">
        <v>9</v>
      </c>
      <c r="H1628" s="4" t="n">
        <v>49.99</v>
      </c>
      <c r="I1628" s="4" t="n">
        <v>19</v>
      </c>
      <c r="J1628" s="5" t="n">
        <v>0</v>
      </c>
      <c r="K1628" s="4" t="n">
        <f aca="false">G1628*H1628*(1-J1628)</f>
        <v>449.91</v>
      </c>
      <c r="L1628" s="4" t="n">
        <f aca="false">G1628*I1628</f>
        <v>171</v>
      </c>
      <c r="M1628" s="4" t="n">
        <f aca="false">K1628-L1628</f>
        <v>278.91</v>
      </c>
      <c r="N1628" s="6" t="n">
        <f aca="false">IF(K1628=0,0,M1628/K1628)</f>
        <v>0.619923984796959</v>
      </c>
      <c r="O1628" s="4" t="n">
        <f aca="false">(G1628*H1628)-K1628</f>
        <v>0</v>
      </c>
      <c r="P1628" s="3" t="s">
        <v>21</v>
      </c>
    </row>
    <row r="1629" customFormat="false" ht="15" hidden="false" customHeight="false" outlineLevel="0" collapsed="false">
      <c r="A1629" s="7" t="n">
        <v>46028</v>
      </c>
      <c r="B1629" s="8" t="s">
        <v>22</v>
      </c>
      <c r="C1629" s="8" t="s">
        <v>23</v>
      </c>
      <c r="D1629" s="8" t="s">
        <v>51</v>
      </c>
      <c r="E1629" s="8" t="s">
        <v>52</v>
      </c>
      <c r="F1629" s="8" t="s">
        <v>50</v>
      </c>
      <c r="G1629" s="8" t="n">
        <v>30</v>
      </c>
      <c r="H1629" s="9" t="n">
        <v>19.99</v>
      </c>
      <c r="I1629" s="9" t="n">
        <v>7</v>
      </c>
      <c r="J1629" s="10" t="n">
        <v>0.2</v>
      </c>
      <c r="K1629" s="9" t="n">
        <f aca="false">G1629*H1629*(1-J1629)</f>
        <v>479.76</v>
      </c>
      <c r="L1629" s="9" t="n">
        <f aca="false">G1629*I1629</f>
        <v>210</v>
      </c>
      <c r="M1629" s="9" t="n">
        <f aca="false">K1629-L1629</f>
        <v>269.76</v>
      </c>
      <c r="N1629" s="11" t="n">
        <f aca="false">IF(K1629=0,0,M1629/K1629)</f>
        <v>0.562281140570285</v>
      </c>
      <c r="O1629" s="9" t="n">
        <f aca="false">(G1629*H1629)-K1629</f>
        <v>119.94</v>
      </c>
      <c r="P1629" s="8" t="s">
        <v>21</v>
      </c>
    </row>
    <row r="1630" customFormat="false" ht="15" hidden="false" customHeight="false" outlineLevel="0" collapsed="false">
      <c r="A1630" s="2" t="n">
        <v>46108</v>
      </c>
      <c r="B1630" s="3" t="s">
        <v>31</v>
      </c>
      <c r="C1630" s="3" t="s">
        <v>23</v>
      </c>
      <c r="D1630" s="3" t="s">
        <v>24</v>
      </c>
      <c r="E1630" s="3" t="s">
        <v>25</v>
      </c>
      <c r="F1630" s="3" t="s">
        <v>26</v>
      </c>
      <c r="G1630" s="3" t="n">
        <v>9</v>
      </c>
      <c r="H1630" s="4" t="n">
        <v>54.99</v>
      </c>
      <c r="I1630" s="4" t="n">
        <v>24</v>
      </c>
      <c r="J1630" s="5" t="n">
        <v>0</v>
      </c>
      <c r="K1630" s="4" t="n">
        <f aca="false">G1630*H1630*(1-J1630)</f>
        <v>494.91</v>
      </c>
      <c r="L1630" s="4" t="n">
        <f aca="false">G1630*I1630</f>
        <v>216</v>
      </c>
      <c r="M1630" s="4" t="n">
        <f aca="false">K1630-L1630</f>
        <v>278.91</v>
      </c>
      <c r="N1630" s="6" t="n">
        <f aca="false">IF(K1630=0,0,M1630/K1630)</f>
        <v>0.563557010365521</v>
      </c>
      <c r="O1630" s="4" t="n">
        <f aca="false">(G1630*H1630)-K1630</f>
        <v>0</v>
      </c>
      <c r="P1630" s="3" t="s">
        <v>21</v>
      </c>
    </row>
    <row r="1631" customFormat="false" ht="15" hidden="false" customHeight="false" outlineLevel="0" collapsed="false">
      <c r="A1631" s="7" t="n">
        <v>46059</v>
      </c>
      <c r="B1631" s="8" t="s">
        <v>16</v>
      </c>
      <c r="C1631" s="8" t="s">
        <v>17</v>
      </c>
      <c r="D1631" s="8" t="s">
        <v>84</v>
      </c>
      <c r="E1631" s="8" t="s">
        <v>85</v>
      </c>
      <c r="F1631" s="8" t="s">
        <v>20</v>
      </c>
      <c r="G1631" s="8" t="n">
        <v>15</v>
      </c>
      <c r="H1631" s="9" t="n">
        <v>34.99</v>
      </c>
      <c r="I1631" s="9" t="n">
        <v>13</v>
      </c>
      <c r="J1631" s="10" t="n">
        <v>0.1</v>
      </c>
      <c r="K1631" s="9" t="n">
        <f aca="false">G1631*H1631*(1-J1631)</f>
        <v>472.365</v>
      </c>
      <c r="L1631" s="9" t="n">
        <f aca="false">G1631*I1631</f>
        <v>195</v>
      </c>
      <c r="M1631" s="9" t="n">
        <f aca="false">K1631-L1631</f>
        <v>277.365</v>
      </c>
      <c r="N1631" s="11" t="n">
        <f aca="false">IF(K1631=0,0,M1631/K1631)</f>
        <v>0.587183639770093</v>
      </c>
      <c r="O1631" s="9" t="n">
        <f aca="false">(G1631*H1631)-K1631</f>
        <v>52.485</v>
      </c>
      <c r="P1631" s="8" t="s">
        <v>21</v>
      </c>
    </row>
    <row r="1632" customFormat="false" ht="15" hidden="false" customHeight="false" outlineLevel="0" collapsed="false">
      <c r="A1632" s="2" t="n">
        <v>46058</v>
      </c>
      <c r="B1632" s="3" t="s">
        <v>22</v>
      </c>
      <c r="C1632" s="3" t="s">
        <v>23</v>
      </c>
      <c r="D1632" s="3" t="s">
        <v>18</v>
      </c>
      <c r="E1632" s="3" t="s">
        <v>19</v>
      </c>
      <c r="F1632" s="3" t="s">
        <v>20</v>
      </c>
      <c r="G1632" s="3" t="n">
        <v>20</v>
      </c>
      <c r="H1632" s="4" t="n">
        <v>24.99</v>
      </c>
      <c r="I1632" s="4" t="n">
        <v>10.5</v>
      </c>
      <c r="J1632" s="5" t="n">
        <v>0.2</v>
      </c>
      <c r="K1632" s="4" t="n">
        <f aca="false">G1632*H1632*(1-J1632)</f>
        <v>399.84</v>
      </c>
      <c r="L1632" s="4" t="n">
        <f aca="false">G1632*I1632</f>
        <v>210</v>
      </c>
      <c r="M1632" s="4" t="n">
        <f aca="false">K1632-L1632</f>
        <v>189.84</v>
      </c>
      <c r="N1632" s="6" t="n">
        <f aca="false">IF(K1632=0,0,M1632/K1632)</f>
        <v>0.474789915966387</v>
      </c>
      <c r="O1632" s="4" t="n">
        <f aca="false">(G1632*H1632)-K1632</f>
        <v>99.96</v>
      </c>
      <c r="P1632" s="3" t="s">
        <v>21</v>
      </c>
    </row>
    <row r="1633" customFormat="false" ht="15" hidden="false" customHeight="false" outlineLevel="0" collapsed="false">
      <c r="A1633" s="7" t="n">
        <v>46060</v>
      </c>
      <c r="B1633" s="8" t="s">
        <v>58</v>
      </c>
      <c r="C1633" s="8" t="s">
        <v>58</v>
      </c>
      <c r="D1633" s="8" t="s">
        <v>70</v>
      </c>
      <c r="E1633" s="8" t="s">
        <v>71</v>
      </c>
      <c r="F1633" s="8" t="s">
        <v>20</v>
      </c>
      <c r="G1633" s="8" t="n">
        <v>4</v>
      </c>
      <c r="H1633" s="9" t="n">
        <v>49.99</v>
      </c>
      <c r="I1633" s="9" t="n">
        <v>19</v>
      </c>
      <c r="J1633" s="10" t="n">
        <v>0.05</v>
      </c>
      <c r="K1633" s="9" t="n">
        <f aca="false">G1633*H1633*(1-J1633)</f>
        <v>189.962</v>
      </c>
      <c r="L1633" s="9" t="n">
        <f aca="false">G1633*I1633</f>
        <v>76</v>
      </c>
      <c r="M1633" s="9" t="n">
        <f aca="false">K1633-L1633</f>
        <v>113.962</v>
      </c>
      <c r="N1633" s="11" t="n">
        <f aca="false">IF(K1633=0,0,M1633/K1633)</f>
        <v>0.599919983996799</v>
      </c>
      <c r="O1633" s="9" t="n">
        <f aca="false">(G1633*H1633)-K1633</f>
        <v>9.99800000000002</v>
      </c>
      <c r="P1633" s="8" t="s">
        <v>21</v>
      </c>
    </row>
    <row r="1634" customFormat="false" ht="15" hidden="false" customHeight="false" outlineLevel="0" collapsed="false">
      <c r="A1634" s="2" t="n">
        <v>46111</v>
      </c>
      <c r="B1634" s="3" t="s">
        <v>27</v>
      </c>
      <c r="C1634" s="3" t="s">
        <v>28</v>
      </c>
      <c r="D1634" s="3" t="s">
        <v>35</v>
      </c>
      <c r="E1634" s="3" t="s">
        <v>36</v>
      </c>
      <c r="F1634" s="3" t="s">
        <v>26</v>
      </c>
      <c r="G1634" s="3" t="n">
        <v>26</v>
      </c>
      <c r="H1634" s="4" t="n">
        <v>69.99</v>
      </c>
      <c r="I1634" s="4" t="n">
        <v>30</v>
      </c>
      <c r="J1634" s="5" t="n">
        <v>0</v>
      </c>
      <c r="K1634" s="4" t="n">
        <f aca="false">G1634*H1634*(1-J1634)</f>
        <v>1819.74</v>
      </c>
      <c r="L1634" s="4" t="n">
        <f aca="false">G1634*I1634</f>
        <v>780</v>
      </c>
      <c r="M1634" s="4" t="n">
        <f aca="false">K1634-L1634</f>
        <v>1039.74</v>
      </c>
      <c r="N1634" s="6" t="n">
        <f aca="false">IF(K1634=0,0,M1634/K1634)</f>
        <v>0.57136733819117</v>
      </c>
      <c r="O1634" s="4" t="n">
        <f aca="false">(G1634*H1634)-K1634</f>
        <v>0</v>
      </c>
      <c r="P1634" s="3" t="s">
        <v>21</v>
      </c>
    </row>
    <row r="1635" customFormat="false" ht="15" hidden="false" customHeight="false" outlineLevel="0" collapsed="false">
      <c r="A1635" s="7" t="n">
        <v>46096</v>
      </c>
      <c r="B1635" s="8" t="s">
        <v>22</v>
      </c>
      <c r="C1635" s="8" t="s">
        <v>23</v>
      </c>
      <c r="D1635" s="8" t="s">
        <v>82</v>
      </c>
      <c r="E1635" s="8" t="s">
        <v>83</v>
      </c>
      <c r="F1635" s="8" t="s">
        <v>26</v>
      </c>
      <c r="G1635" s="8" t="n">
        <v>24</v>
      </c>
      <c r="H1635" s="9" t="n">
        <v>44.99</v>
      </c>
      <c r="I1635" s="9" t="n">
        <v>18</v>
      </c>
      <c r="J1635" s="10" t="n">
        <v>0.2</v>
      </c>
      <c r="K1635" s="9" t="n">
        <f aca="false">G1635*H1635*(1-J1635)</f>
        <v>863.808</v>
      </c>
      <c r="L1635" s="9" t="n">
        <f aca="false">G1635*I1635</f>
        <v>432</v>
      </c>
      <c r="M1635" s="9" t="n">
        <f aca="false">K1635-L1635</f>
        <v>431.808</v>
      </c>
      <c r="N1635" s="11" t="n">
        <f aca="false">IF(K1635=0,0,M1635/K1635)</f>
        <v>0.499888864192043</v>
      </c>
      <c r="O1635" s="9" t="n">
        <f aca="false">(G1635*H1635)-K1635</f>
        <v>215.952</v>
      </c>
      <c r="P1635" s="8" t="s">
        <v>21</v>
      </c>
    </row>
    <row r="1636" customFormat="false" ht="15" hidden="false" customHeight="false" outlineLevel="0" collapsed="false">
      <c r="A1636" s="2" t="n">
        <v>46064</v>
      </c>
      <c r="B1636" s="3" t="s">
        <v>31</v>
      </c>
      <c r="C1636" s="3" t="s">
        <v>23</v>
      </c>
      <c r="D1636" s="3" t="s">
        <v>80</v>
      </c>
      <c r="E1636" s="3" t="s">
        <v>81</v>
      </c>
      <c r="F1636" s="3" t="s">
        <v>57</v>
      </c>
      <c r="G1636" s="3" t="n">
        <v>21</v>
      </c>
      <c r="H1636" s="4" t="n">
        <v>17.99</v>
      </c>
      <c r="I1636" s="4" t="n">
        <v>6.5</v>
      </c>
      <c r="J1636" s="5" t="n">
        <v>0</v>
      </c>
      <c r="K1636" s="4" t="n">
        <f aca="false">G1636*H1636*(1-J1636)</f>
        <v>377.79</v>
      </c>
      <c r="L1636" s="4" t="n">
        <f aca="false">G1636*I1636</f>
        <v>136.5</v>
      </c>
      <c r="M1636" s="4" t="n">
        <f aca="false">K1636-L1636</f>
        <v>241.29</v>
      </c>
      <c r="N1636" s="6" t="n">
        <f aca="false">IF(K1636=0,0,M1636/K1636)</f>
        <v>0.638688160088938</v>
      </c>
      <c r="O1636" s="4" t="n">
        <f aca="false">(G1636*H1636)-K1636</f>
        <v>0</v>
      </c>
      <c r="P1636" s="3" t="s">
        <v>21</v>
      </c>
    </row>
    <row r="1637" customFormat="false" ht="15" hidden="false" customHeight="false" outlineLevel="0" collapsed="false">
      <c r="A1637" s="7" t="n">
        <v>46026</v>
      </c>
      <c r="B1637" s="8" t="s">
        <v>58</v>
      </c>
      <c r="C1637" s="8" t="s">
        <v>58</v>
      </c>
      <c r="D1637" s="8" t="s">
        <v>61</v>
      </c>
      <c r="E1637" s="8" t="s">
        <v>62</v>
      </c>
      <c r="F1637" s="8" t="s">
        <v>34</v>
      </c>
      <c r="G1637" s="8" t="n">
        <v>11</v>
      </c>
      <c r="H1637" s="9" t="n">
        <v>14.99</v>
      </c>
      <c r="I1637" s="9" t="n">
        <v>4.5</v>
      </c>
      <c r="J1637" s="10" t="n">
        <v>0</v>
      </c>
      <c r="K1637" s="9" t="n">
        <f aca="false">G1637*H1637*(1-J1637)</f>
        <v>164.89</v>
      </c>
      <c r="L1637" s="9" t="n">
        <f aca="false">G1637*I1637</f>
        <v>49.5</v>
      </c>
      <c r="M1637" s="9" t="n">
        <f aca="false">K1637-L1637</f>
        <v>115.39</v>
      </c>
      <c r="N1637" s="11" t="n">
        <f aca="false">IF(K1637=0,0,M1637/K1637)</f>
        <v>0.699799866577719</v>
      </c>
      <c r="O1637" s="9" t="n">
        <f aca="false">(G1637*H1637)-K1637</f>
        <v>0</v>
      </c>
      <c r="P1637" s="8" t="s">
        <v>21</v>
      </c>
    </row>
    <row r="1638" customFormat="false" ht="15" hidden="false" customHeight="false" outlineLevel="0" collapsed="false">
      <c r="A1638" s="2" t="n">
        <v>46030</v>
      </c>
      <c r="B1638" s="3" t="s">
        <v>27</v>
      </c>
      <c r="C1638" s="3" t="s">
        <v>28</v>
      </c>
      <c r="D1638" s="3" t="s">
        <v>70</v>
      </c>
      <c r="E1638" s="3" t="s">
        <v>71</v>
      </c>
      <c r="F1638" s="3" t="s">
        <v>20</v>
      </c>
      <c r="G1638" s="3" t="n">
        <v>4</v>
      </c>
      <c r="H1638" s="4" t="n">
        <v>49.99</v>
      </c>
      <c r="I1638" s="4" t="n">
        <v>19</v>
      </c>
      <c r="J1638" s="5" t="n">
        <v>0.15</v>
      </c>
      <c r="K1638" s="4" t="n">
        <f aca="false">G1638*H1638*(1-J1638)</f>
        <v>169.966</v>
      </c>
      <c r="L1638" s="4" t="n">
        <f aca="false">G1638*I1638</f>
        <v>76</v>
      </c>
      <c r="M1638" s="4" t="n">
        <f aca="false">K1638-L1638</f>
        <v>93.966</v>
      </c>
      <c r="N1638" s="6" t="n">
        <f aca="false">IF(K1638=0,0,M1638/K1638)</f>
        <v>0.552851746819952</v>
      </c>
      <c r="O1638" s="4" t="n">
        <f aca="false">(G1638*H1638)-K1638</f>
        <v>29.994</v>
      </c>
      <c r="P1638" s="3" t="s">
        <v>21</v>
      </c>
    </row>
    <row r="1639" customFormat="false" ht="15" hidden="false" customHeight="false" outlineLevel="0" collapsed="false">
      <c r="A1639" s="7" t="n">
        <v>46068</v>
      </c>
      <c r="B1639" s="8" t="s">
        <v>27</v>
      </c>
      <c r="C1639" s="8" t="s">
        <v>28</v>
      </c>
      <c r="D1639" s="8" t="s">
        <v>48</v>
      </c>
      <c r="E1639" s="8" t="s">
        <v>49</v>
      </c>
      <c r="F1639" s="8" t="s">
        <v>50</v>
      </c>
      <c r="G1639" s="8" t="n">
        <v>9</v>
      </c>
      <c r="H1639" s="9" t="n">
        <v>54.99</v>
      </c>
      <c r="I1639" s="9" t="n">
        <v>20</v>
      </c>
      <c r="J1639" s="10" t="n">
        <v>0.25</v>
      </c>
      <c r="K1639" s="9" t="n">
        <f aca="false">G1639*H1639*(1-J1639)</f>
        <v>371.1825</v>
      </c>
      <c r="L1639" s="9" t="n">
        <f aca="false">G1639*I1639</f>
        <v>180</v>
      </c>
      <c r="M1639" s="9" t="n">
        <f aca="false">K1639-L1639</f>
        <v>191.1825</v>
      </c>
      <c r="N1639" s="11" t="n">
        <f aca="false">IF(K1639=0,0,M1639/K1639)</f>
        <v>0.515063344850579</v>
      </c>
      <c r="O1639" s="9" t="n">
        <f aca="false">(G1639*H1639)-K1639</f>
        <v>123.7275</v>
      </c>
      <c r="P1639" s="8" t="s">
        <v>21</v>
      </c>
    </row>
    <row r="1640" customFormat="false" ht="15" hidden="false" customHeight="false" outlineLevel="0" collapsed="false">
      <c r="A1640" s="2" t="n">
        <v>46044</v>
      </c>
      <c r="B1640" s="3" t="s">
        <v>16</v>
      </c>
      <c r="C1640" s="3" t="s">
        <v>17</v>
      </c>
      <c r="D1640" s="3" t="s">
        <v>93</v>
      </c>
      <c r="E1640" s="3" t="s">
        <v>94</v>
      </c>
      <c r="F1640" s="3" t="s">
        <v>34</v>
      </c>
      <c r="G1640" s="3" t="n">
        <v>18</v>
      </c>
      <c r="H1640" s="4" t="n">
        <v>29.99</v>
      </c>
      <c r="I1640" s="4" t="n">
        <v>9</v>
      </c>
      <c r="J1640" s="5" t="n">
        <v>0.15</v>
      </c>
      <c r="K1640" s="4" t="n">
        <f aca="false">G1640*H1640*(1-J1640)</f>
        <v>458.847</v>
      </c>
      <c r="L1640" s="4" t="n">
        <f aca="false">G1640*I1640</f>
        <v>162</v>
      </c>
      <c r="M1640" s="4" t="n">
        <f aca="false">K1640-L1640</f>
        <v>296.847</v>
      </c>
      <c r="N1640" s="6" t="n">
        <f aca="false">IF(K1640=0,0,M1640/K1640)</f>
        <v>0.646941137241826</v>
      </c>
      <c r="O1640" s="4" t="n">
        <f aca="false">(G1640*H1640)-K1640</f>
        <v>80.973</v>
      </c>
      <c r="P1640" s="3" t="s">
        <v>21</v>
      </c>
    </row>
    <row r="1641" customFormat="false" ht="15" hidden="false" customHeight="false" outlineLevel="0" collapsed="false">
      <c r="A1641" s="7" t="n">
        <v>46076</v>
      </c>
      <c r="B1641" s="8" t="s">
        <v>31</v>
      </c>
      <c r="C1641" s="8" t="s">
        <v>23</v>
      </c>
      <c r="D1641" s="8" t="s">
        <v>59</v>
      </c>
      <c r="E1641" s="8" t="s">
        <v>60</v>
      </c>
      <c r="F1641" s="8" t="s">
        <v>50</v>
      </c>
      <c r="G1641" s="8" t="n">
        <v>17</v>
      </c>
      <c r="H1641" s="9" t="n">
        <v>24.99</v>
      </c>
      <c r="I1641" s="9" t="n">
        <v>8.5</v>
      </c>
      <c r="J1641" s="10" t="n">
        <v>0.1</v>
      </c>
      <c r="K1641" s="9" t="n">
        <f aca="false">G1641*H1641*(1-J1641)</f>
        <v>382.347</v>
      </c>
      <c r="L1641" s="9" t="n">
        <f aca="false">G1641*I1641</f>
        <v>144.5</v>
      </c>
      <c r="M1641" s="9" t="n">
        <f aca="false">K1641-L1641</f>
        <v>237.847</v>
      </c>
      <c r="N1641" s="11" t="n">
        <f aca="false">IF(K1641=0,0,M1641/K1641)</f>
        <v>0.622071050642479</v>
      </c>
      <c r="O1641" s="9" t="n">
        <f aca="false">(G1641*H1641)-K1641</f>
        <v>42.483</v>
      </c>
      <c r="P1641" s="8" t="s">
        <v>21</v>
      </c>
    </row>
    <row r="1642" customFormat="false" ht="15" hidden="false" customHeight="false" outlineLevel="0" collapsed="false">
      <c r="A1642" s="2" t="n">
        <v>46027</v>
      </c>
      <c r="B1642" s="3" t="s">
        <v>41</v>
      </c>
      <c r="C1642" s="3" t="s">
        <v>28</v>
      </c>
      <c r="D1642" s="3" t="s">
        <v>84</v>
      </c>
      <c r="E1642" s="3" t="s">
        <v>85</v>
      </c>
      <c r="F1642" s="3" t="s">
        <v>20</v>
      </c>
      <c r="G1642" s="3" t="n">
        <v>5</v>
      </c>
      <c r="H1642" s="4" t="n">
        <v>34.99</v>
      </c>
      <c r="I1642" s="4" t="n">
        <v>13</v>
      </c>
      <c r="J1642" s="5" t="n">
        <v>0.25</v>
      </c>
      <c r="K1642" s="4" t="n">
        <f aca="false">G1642*H1642*(1-J1642)</f>
        <v>131.2125</v>
      </c>
      <c r="L1642" s="4" t="n">
        <f aca="false">G1642*I1642</f>
        <v>65</v>
      </c>
      <c r="M1642" s="4" t="n">
        <f aca="false">K1642-L1642</f>
        <v>66.2125</v>
      </c>
      <c r="N1642" s="6" t="n">
        <f aca="false">IF(K1642=0,0,M1642/K1642)</f>
        <v>0.504620367724112</v>
      </c>
      <c r="O1642" s="4" t="n">
        <f aca="false">(G1642*H1642)-K1642</f>
        <v>43.7375</v>
      </c>
      <c r="P1642" s="3" t="s">
        <v>21</v>
      </c>
    </row>
    <row r="1643" customFormat="false" ht="15" hidden="false" customHeight="false" outlineLevel="0" collapsed="false">
      <c r="A1643" s="7" t="n">
        <v>46061</v>
      </c>
      <c r="B1643" s="8" t="s">
        <v>31</v>
      </c>
      <c r="C1643" s="8" t="s">
        <v>23</v>
      </c>
      <c r="D1643" s="8" t="s">
        <v>24</v>
      </c>
      <c r="E1643" s="8" t="s">
        <v>25</v>
      </c>
      <c r="F1643" s="8" t="s">
        <v>26</v>
      </c>
      <c r="G1643" s="8" t="n">
        <v>27</v>
      </c>
      <c r="H1643" s="9" t="n">
        <v>54.99</v>
      </c>
      <c r="I1643" s="9" t="n">
        <v>24</v>
      </c>
      <c r="J1643" s="10" t="n">
        <v>0.1</v>
      </c>
      <c r="K1643" s="9" t="n">
        <f aca="false">G1643*H1643*(1-J1643)</f>
        <v>1336.257</v>
      </c>
      <c r="L1643" s="9" t="n">
        <f aca="false">G1643*I1643</f>
        <v>648</v>
      </c>
      <c r="M1643" s="9" t="n">
        <f aca="false">K1643-L1643</f>
        <v>688.257</v>
      </c>
      <c r="N1643" s="11" t="n">
        <f aca="false">IF(K1643=0,0,M1643/K1643)</f>
        <v>0.515063344850579</v>
      </c>
      <c r="O1643" s="9" t="n">
        <f aca="false">(G1643*H1643)-K1643</f>
        <v>148.473</v>
      </c>
      <c r="P1643" s="8" t="s">
        <v>21</v>
      </c>
    </row>
    <row r="1644" customFormat="false" ht="15" hidden="false" customHeight="false" outlineLevel="0" collapsed="false">
      <c r="A1644" s="2" t="n">
        <v>46082</v>
      </c>
      <c r="B1644" s="3" t="s">
        <v>27</v>
      </c>
      <c r="C1644" s="3" t="s">
        <v>28</v>
      </c>
      <c r="D1644" s="3" t="s">
        <v>51</v>
      </c>
      <c r="E1644" s="3" t="s">
        <v>52</v>
      </c>
      <c r="F1644" s="3" t="s">
        <v>50</v>
      </c>
      <c r="G1644" s="3" t="n">
        <v>2</v>
      </c>
      <c r="H1644" s="4" t="n">
        <v>23.31</v>
      </c>
      <c r="I1644" s="4" t="n">
        <v>7</v>
      </c>
      <c r="J1644" s="5" t="n">
        <v>0</v>
      </c>
      <c r="K1644" s="4" t="n">
        <f aca="false">G1644*H1644*(1-J1644)</f>
        <v>46.62</v>
      </c>
      <c r="L1644" s="4" t="n">
        <f aca="false">G1644*I1644</f>
        <v>14</v>
      </c>
      <c r="M1644" s="4" t="n">
        <f aca="false">K1644-L1644</f>
        <v>32.62</v>
      </c>
      <c r="N1644" s="6" t="n">
        <f aca="false">IF(K1644=0,0,M1644/K1644)</f>
        <v>0.6996996996997</v>
      </c>
      <c r="O1644" s="4" t="n">
        <f aca="false">(G1644*H1644)-K1644</f>
        <v>0</v>
      </c>
      <c r="P1644" s="12" t="s">
        <v>63</v>
      </c>
    </row>
    <row r="1645" customFormat="false" ht="15" hidden="false" customHeight="false" outlineLevel="0" collapsed="false">
      <c r="A1645" s="7" t="n">
        <v>46057</v>
      </c>
      <c r="B1645" s="8" t="s">
        <v>41</v>
      </c>
      <c r="C1645" s="8" t="s">
        <v>28</v>
      </c>
      <c r="D1645" s="8" t="s">
        <v>95</v>
      </c>
      <c r="E1645" s="8" t="s">
        <v>96</v>
      </c>
      <c r="F1645" s="8" t="s">
        <v>50</v>
      </c>
      <c r="G1645" s="8" t="n">
        <v>21</v>
      </c>
      <c r="H1645" s="9" t="n">
        <v>34.99</v>
      </c>
      <c r="I1645" s="9" t="n">
        <v>12</v>
      </c>
      <c r="J1645" s="10" t="n">
        <v>0.1</v>
      </c>
      <c r="K1645" s="9" t="n">
        <f aca="false">G1645*H1645*(1-J1645)</f>
        <v>661.311</v>
      </c>
      <c r="L1645" s="9" t="n">
        <f aca="false">G1645*I1645</f>
        <v>252</v>
      </c>
      <c r="M1645" s="9" t="n">
        <f aca="false">K1645-L1645</f>
        <v>409.311</v>
      </c>
      <c r="N1645" s="11" t="n">
        <f aca="false">IF(K1645=0,0,M1645/K1645)</f>
        <v>0.618938744403163</v>
      </c>
      <c r="O1645" s="9" t="n">
        <f aca="false">(G1645*H1645)-K1645</f>
        <v>73.479</v>
      </c>
      <c r="P1645" s="8" t="s">
        <v>21</v>
      </c>
    </row>
    <row r="1646" customFormat="false" ht="15" hidden="false" customHeight="false" outlineLevel="0" collapsed="false">
      <c r="A1646" s="2" t="n">
        <v>46070</v>
      </c>
      <c r="B1646" s="3" t="s">
        <v>16</v>
      </c>
      <c r="C1646" s="3" t="s">
        <v>17</v>
      </c>
      <c r="D1646" s="3" t="s">
        <v>55</v>
      </c>
      <c r="E1646" s="3" t="s">
        <v>56</v>
      </c>
      <c r="F1646" s="3" t="s">
        <v>57</v>
      </c>
      <c r="G1646" s="3" t="n">
        <v>13</v>
      </c>
      <c r="H1646" s="4" t="n">
        <v>29.99</v>
      </c>
      <c r="I1646" s="4" t="n">
        <v>11</v>
      </c>
      <c r="J1646" s="5" t="n">
        <v>0.1</v>
      </c>
      <c r="K1646" s="4" t="n">
        <f aca="false">G1646*H1646*(1-J1646)</f>
        <v>350.883</v>
      </c>
      <c r="L1646" s="4" t="n">
        <f aca="false">G1646*I1646</f>
        <v>143</v>
      </c>
      <c r="M1646" s="4" t="n">
        <f aca="false">K1646-L1646</f>
        <v>207.883</v>
      </c>
      <c r="N1646" s="6" t="n">
        <f aca="false">IF(K1646=0,0,M1646/K1646)</f>
        <v>0.592456744840873</v>
      </c>
      <c r="O1646" s="4" t="n">
        <f aca="false">(G1646*H1646)-K1646</f>
        <v>38.987</v>
      </c>
      <c r="P1646" s="3" t="s">
        <v>21</v>
      </c>
    </row>
    <row r="1647" customFormat="false" ht="15" hidden="false" customHeight="false" outlineLevel="0" collapsed="false">
      <c r="A1647" s="7" t="n">
        <v>46117</v>
      </c>
      <c r="B1647" s="8" t="s">
        <v>22</v>
      </c>
      <c r="C1647" s="8" t="s">
        <v>23</v>
      </c>
      <c r="D1647" s="8" t="s">
        <v>55</v>
      </c>
      <c r="E1647" s="8" t="s">
        <v>56</v>
      </c>
      <c r="F1647" s="8" t="s">
        <v>57</v>
      </c>
      <c r="G1647" s="8" t="n">
        <v>22</v>
      </c>
      <c r="H1647" s="9" t="n">
        <v>29.99</v>
      </c>
      <c r="I1647" s="9" t="n">
        <v>11</v>
      </c>
      <c r="J1647" s="10" t="n">
        <v>0.25</v>
      </c>
      <c r="K1647" s="9" t="n">
        <f aca="false">G1647*H1647*(1-J1647)</f>
        <v>494.835</v>
      </c>
      <c r="L1647" s="9" t="n">
        <f aca="false">G1647*I1647</f>
        <v>242</v>
      </c>
      <c r="M1647" s="9" t="n">
        <f aca="false">K1647-L1647</f>
        <v>252.835</v>
      </c>
      <c r="N1647" s="11" t="n">
        <f aca="false">IF(K1647=0,0,M1647/K1647)</f>
        <v>0.510948093809048</v>
      </c>
      <c r="O1647" s="9" t="n">
        <f aca="false">(G1647*H1647)-K1647</f>
        <v>164.945</v>
      </c>
      <c r="P1647" s="8" t="s">
        <v>21</v>
      </c>
    </row>
    <row r="1648" customFormat="false" ht="15" hidden="false" customHeight="false" outlineLevel="0" collapsed="false">
      <c r="A1648" s="2" t="n">
        <v>46096</v>
      </c>
      <c r="B1648" s="3" t="s">
        <v>37</v>
      </c>
      <c r="C1648" s="3" t="s">
        <v>17</v>
      </c>
      <c r="D1648" s="3" t="s">
        <v>66</v>
      </c>
      <c r="E1648" s="3" t="s">
        <v>67</v>
      </c>
      <c r="F1648" s="3" t="s">
        <v>57</v>
      </c>
      <c r="G1648" s="3" t="n">
        <v>10</v>
      </c>
      <c r="H1648" s="4" t="n">
        <v>14.99</v>
      </c>
      <c r="I1648" s="4" t="n">
        <v>5.5</v>
      </c>
      <c r="J1648" s="5" t="n">
        <v>0</v>
      </c>
      <c r="K1648" s="4" t="n">
        <f aca="false">G1648*H1648*(1-J1648)</f>
        <v>149.9</v>
      </c>
      <c r="L1648" s="4" t="n">
        <f aca="false">G1648*I1648</f>
        <v>55</v>
      </c>
      <c r="M1648" s="4" t="n">
        <f aca="false">K1648-L1648</f>
        <v>94.9</v>
      </c>
      <c r="N1648" s="6" t="n">
        <f aca="false">IF(K1648=0,0,M1648/K1648)</f>
        <v>0.633088725817212</v>
      </c>
      <c r="O1648" s="4" t="n">
        <f aca="false">(G1648*H1648)-K1648</f>
        <v>0</v>
      </c>
      <c r="P1648" s="3" t="s">
        <v>21</v>
      </c>
    </row>
    <row r="1649" customFormat="false" ht="15" hidden="false" customHeight="false" outlineLevel="0" collapsed="false">
      <c r="A1649" s="7" t="n">
        <v>46031</v>
      </c>
      <c r="B1649" s="8" t="s">
        <v>31</v>
      </c>
      <c r="C1649" s="8" t="s">
        <v>23</v>
      </c>
      <c r="D1649" s="8" t="s">
        <v>44</v>
      </c>
      <c r="E1649" s="8" t="s">
        <v>45</v>
      </c>
      <c r="F1649" s="8" t="s">
        <v>40</v>
      </c>
      <c r="G1649" s="8" t="n">
        <v>5</v>
      </c>
      <c r="H1649" s="9" t="n">
        <v>29.99</v>
      </c>
      <c r="I1649" s="9" t="n">
        <v>11</v>
      </c>
      <c r="J1649" s="10" t="n">
        <v>0</v>
      </c>
      <c r="K1649" s="9" t="n">
        <f aca="false">G1649*H1649*(1-J1649)</f>
        <v>149.95</v>
      </c>
      <c r="L1649" s="9" t="n">
        <f aca="false">G1649*I1649</f>
        <v>55</v>
      </c>
      <c r="M1649" s="9" t="n">
        <f aca="false">K1649-L1649</f>
        <v>94.95</v>
      </c>
      <c r="N1649" s="11" t="n">
        <f aca="false">IF(K1649=0,0,M1649/K1649)</f>
        <v>0.633211070356786</v>
      </c>
      <c r="O1649" s="9" t="n">
        <f aca="false">(G1649*H1649)-K1649</f>
        <v>0</v>
      </c>
      <c r="P1649" s="8" t="s">
        <v>21</v>
      </c>
    </row>
    <row r="1650" customFormat="false" ht="15" hidden="false" customHeight="false" outlineLevel="0" collapsed="false">
      <c r="A1650" s="2" t="n">
        <v>46122</v>
      </c>
      <c r="B1650" s="3" t="s">
        <v>41</v>
      </c>
      <c r="C1650" s="3" t="s">
        <v>28</v>
      </c>
      <c r="D1650" s="3" t="s">
        <v>93</v>
      </c>
      <c r="E1650" s="3" t="s">
        <v>94</v>
      </c>
      <c r="F1650" s="3" t="s">
        <v>34</v>
      </c>
      <c r="G1650" s="3" t="n">
        <v>19</v>
      </c>
      <c r="H1650" s="4" t="n">
        <v>29.99</v>
      </c>
      <c r="I1650" s="4" t="n">
        <v>9</v>
      </c>
      <c r="J1650" s="5" t="n">
        <v>0.2</v>
      </c>
      <c r="K1650" s="4" t="n">
        <f aca="false">G1650*H1650*(1-J1650)</f>
        <v>455.848</v>
      </c>
      <c r="L1650" s="4" t="n">
        <f aca="false">G1650*I1650</f>
        <v>171</v>
      </c>
      <c r="M1650" s="4" t="n">
        <f aca="false">K1650-L1650</f>
        <v>284.848</v>
      </c>
      <c r="N1650" s="6" t="n">
        <f aca="false">IF(K1650=0,0,M1650/K1650)</f>
        <v>0.62487495831944</v>
      </c>
      <c r="O1650" s="4" t="n">
        <f aca="false">(G1650*H1650)-K1650</f>
        <v>113.962</v>
      </c>
      <c r="P1650" s="3" t="s">
        <v>21</v>
      </c>
    </row>
    <row r="1651" customFormat="false" ht="15" hidden="false" customHeight="false" outlineLevel="0" collapsed="false">
      <c r="A1651" s="7" t="n">
        <v>46104</v>
      </c>
      <c r="B1651" s="8" t="s">
        <v>58</v>
      </c>
      <c r="C1651" s="8" t="s">
        <v>58</v>
      </c>
      <c r="D1651" s="8" t="s">
        <v>38</v>
      </c>
      <c r="E1651" s="8" t="s">
        <v>39</v>
      </c>
      <c r="F1651" s="8" t="s">
        <v>40</v>
      </c>
      <c r="G1651" s="8" t="n">
        <v>9</v>
      </c>
      <c r="H1651" s="9" t="n">
        <v>12.99</v>
      </c>
      <c r="I1651" s="9" t="n">
        <v>4</v>
      </c>
      <c r="J1651" s="10" t="n">
        <v>0.1</v>
      </c>
      <c r="K1651" s="9" t="n">
        <f aca="false">G1651*H1651*(1-J1651)</f>
        <v>105.219</v>
      </c>
      <c r="L1651" s="9" t="n">
        <f aca="false">G1651*I1651</f>
        <v>36</v>
      </c>
      <c r="M1651" s="9" t="n">
        <f aca="false">K1651-L1651</f>
        <v>69.219</v>
      </c>
      <c r="N1651" s="11" t="n">
        <f aca="false">IF(K1651=0,0,M1651/K1651)</f>
        <v>0.657856470789496</v>
      </c>
      <c r="O1651" s="9" t="n">
        <f aca="false">(G1651*H1651)-K1651</f>
        <v>11.691</v>
      </c>
      <c r="P1651" s="8" t="s">
        <v>21</v>
      </c>
    </row>
    <row r="1652" customFormat="false" ht="15" hidden="false" customHeight="false" outlineLevel="0" collapsed="false">
      <c r="A1652" s="2" t="n">
        <v>46112</v>
      </c>
      <c r="B1652" s="3" t="s">
        <v>16</v>
      </c>
      <c r="C1652" s="3" t="s">
        <v>17</v>
      </c>
      <c r="D1652" s="3" t="s">
        <v>88</v>
      </c>
      <c r="E1652" s="3" t="s">
        <v>89</v>
      </c>
      <c r="F1652" s="3" t="s">
        <v>57</v>
      </c>
      <c r="G1652" s="3" t="n">
        <v>20</v>
      </c>
      <c r="H1652" s="4" t="n">
        <v>12.99</v>
      </c>
      <c r="I1652" s="4" t="n">
        <v>4.5</v>
      </c>
      <c r="J1652" s="5" t="n">
        <v>0.15</v>
      </c>
      <c r="K1652" s="4" t="n">
        <f aca="false">G1652*H1652*(1-J1652)</f>
        <v>220.83</v>
      </c>
      <c r="L1652" s="4" t="n">
        <f aca="false">G1652*I1652</f>
        <v>90</v>
      </c>
      <c r="M1652" s="4" t="n">
        <f aca="false">K1652-L1652</f>
        <v>130.83</v>
      </c>
      <c r="N1652" s="6" t="n">
        <f aca="false">IF(K1652=0,0,M1652/K1652)</f>
        <v>0.592446678440429</v>
      </c>
      <c r="O1652" s="4" t="n">
        <f aca="false">(G1652*H1652)-K1652</f>
        <v>38.97</v>
      </c>
      <c r="P1652" s="3" t="s">
        <v>21</v>
      </c>
    </row>
    <row r="1653" customFormat="false" ht="15" hidden="false" customHeight="false" outlineLevel="0" collapsed="false">
      <c r="A1653" s="7" t="n">
        <v>46070</v>
      </c>
      <c r="B1653" s="8" t="s">
        <v>31</v>
      </c>
      <c r="C1653" s="8" t="s">
        <v>23</v>
      </c>
      <c r="D1653" s="8" t="s">
        <v>72</v>
      </c>
      <c r="E1653" s="8" t="s">
        <v>73</v>
      </c>
      <c r="F1653" s="8" t="s">
        <v>57</v>
      </c>
      <c r="G1653" s="8" t="n">
        <v>28</v>
      </c>
      <c r="H1653" s="9" t="n">
        <v>19.99</v>
      </c>
      <c r="I1653" s="9" t="n">
        <v>7</v>
      </c>
      <c r="J1653" s="10" t="n">
        <v>0.2</v>
      </c>
      <c r="K1653" s="9" t="n">
        <f aca="false">G1653*H1653*(1-J1653)</f>
        <v>447.776</v>
      </c>
      <c r="L1653" s="9" t="n">
        <f aca="false">G1653*I1653</f>
        <v>196</v>
      </c>
      <c r="M1653" s="9" t="n">
        <f aca="false">K1653-L1653</f>
        <v>251.776</v>
      </c>
      <c r="N1653" s="11" t="n">
        <f aca="false">IF(K1653=0,0,M1653/K1653)</f>
        <v>0.562281140570285</v>
      </c>
      <c r="O1653" s="9" t="n">
        <f aca="false">(G1653*H1653)-K1653</f>
        <v>111.944</v>
      </c>
      <c r="P1653" s="8" t="s">
        <v>21</v>
      </c>
    </row>
    <row r="1654" customFormat="false" ht="15" hidden="false" customHeight="false" outlineLevel="0" collapsed="false">
      <c r="A1654" s="2" t="n">
        <v>46082</v>
      </c>
      <c r="B1654" s="3" t="s">
        <v>16</v>
      </c>
      <c r="C1654" s="3" t="s">
        <v>17</v>
      </c>
      <c r="D1654" s="3" t="s">
        <v>24</v>
      </c>
      <c r="E1654" s="3" t="s">
        <v>25</v>
      </c>
      <c r="F1654" s="3" t="s">
        <v>26</v>
      </c>
      <c r="G1654" s="3" t="n">
        <v>6</v>
      </c>
      <c r="H1654" s="4" t="n">
        <v>54.99</v>
      </c>
      <c r="I1654" s="4" t="n">
        <v>24</v>
      </c>
      <c r="J1654" s="5" t="n">
        <v>0.1</v>
      </c>
      <c r="K1654" s="4" t="n">
        <f aca="false">G1654*H1654*(1-J1654)</f>
        <v>296.946</v>
      </c>
      <c r="L1654" s="4" t="n">
        <f aca="false">G1654*I1654</f>
        <v>144</v>
      </c>
      <c r="M1654" s="4" t="n">
        <f aca="false">K1654-L1654</f>
        <v>152.946</v>
      </c>
      <c r="N1654" s="6" t="n">
        <f aca="false">IF(K1654=0,0,M1654/K1654)</f>
        <v>0.515063344850579</v>
      </c>
      <c r="O1654" s="4" t="n">
        <f aca="false">(G1654*H1654)-K1654</f>
        <v>32.994</v>
      </c>
      <c r="P1654" s="3" t="s">
        <v>21</v>
      </c>
    </row>
    <row r="1655" customFormat="false" ht="15" hidden="false" customHeight="false" outlineLevel="0" collapsed="false">
      <c r="A1655" s="7" t="n">
        <v>46030</v>
      </c>
      <c r="B1655" s="8" t="s">
        <v>31</v>
      </c>
      <c r="C1655" s="8" t="s">
        <v>23</v>
      </c>
      <c r="D1655" s="8" t="s">
        <v>51</v>
      </c>
      <c r="E1655" s="8" t="s">
        <v>52</v>
      </c>
      <c r="F1655" s="8" t="s">
        <v>50</v>
      </c>
      <c r="G1655" s="8" t="n">
        <v>21</v>
      </c>
      <c r="H1655" s="9" t="n">
        <v>19.99</v>
      </c>
      <c r="I1655" s="9" t="n">
        <v>7</v>
      </c>
      <c r="J1655" s="10" t="n">
        <v>0</v>
      </c>
      <c r="K1655" s="9" t="n">
        <f aca="false">G1655*H1655*(1-J1655)</f>
        <v>419.79</v>
      </c>
      <c r="L1655" s="9" t="n">
        <f aca="false">G1655*I1655</f>
        <v>147</v>
      </c>
      <c r="M1655" s="9" t="n">
        <f aca="false">K1655-L1655</f>
        <v>272.79</v>
      </c>
      <c r="N1655" s="11" t="n">
        <f aca="false">IF(K1655=0,0,M1655/K1655)</f>
        <v>0.649824912456228</v>
      </c>
      <c r="O1655" s="9" t="n">
        <f aca="false">(G1655*H1655)-K1655</f>
        <v>0</v>
      </c>
      <c r="P1655" s="8" t="s">
        <v>21</v>
      </c>
    </row>
    <row r="1656" customFormat="false" ht="15" hidden="false" customHeight="false" outlineLevel="0" collapsed="false">
      <c r="A1656" s="2" t="n">
        <v>46064</v>
      </c>
      <c r="B1656" s="3" t="s">
        <v>27</v>
      </c>
      <c r="C1656" s="3" t="s">
        <v>28</v>
      </c>
      <c r="D1656" s="3" t="s">
        <v>55</v>
      </c>
      <c r="E1656" s="3" t="s">
        <v>56</v>
      </c>
      <c r="F1656" s="3" t="s">
        <v>57</v>
      </c>
      <c r="G1656" s="3" t="n">
        <v>15</v>
      </c>
      <c r="H1656" s="4" t="n">
        <v>29.99</v>
      </c>
      <c r="I1656" s="4" t="n">
        <v>11</v>
      </c>
      <c r="J1656" s="5" t="n">
        <v>0</v>
      </c>
      <c r="K1656" s="4" t="n">
        <f aca="false">G1656*H1656*(1-J1656)</f>
        <v>449.85</v>
      </c>
      <c r="L1656" s="4" t="n">
        <f aca="false">G1656*I1656</f>
        <v>165</v>
      </c>
      <c r="M1656" s="4" t="n">
        <f aca="false">K1656-L1656</f>
        <v>284.85</v>
      </c>
      <c r="N1656" s="6" t="n">
        <f aca="false">IF(K1656=0,0,M1656/K1656)</f>
        <v>0.633211070356786</v>
      </c>
      <c r="O1656" s="4" t="n">
        <f aca="false">(G1656*H1656)-K1656</f>
        <v>0</v>
      </c>
      <c r="P1656" s="3" t="s">
        <v>21</v>
      </c>
    </row>
    <row r="1657" customFormat="false" ht="15" hidden="false" customHeight="false" outlineLevel="0" collapsed="false">
      <c r="A1657" s="7" t="n">
        <v>46056</v>
      </c>
      <c r="B1657" s="8" t="s">
        <v>22</v>
      </c>
      <c r="C1657" s="8" t="s">
        <v>23</v>
      </c>
      <c r="D1657" s="8" t="s">
        <v>84</v>
      </c>
      <c r="E1657" s="8" t="s">
        <v>85</v>
      </c>
      <c r="F1657" s="8" t="s">
        <v>20</v>
      </c>
      <c r="G1657" s="8" t="n">
        <v>6</v>
      </c>
      <c r="H1657" s="9" t="n">
        <v>34.99</v>
      </c>
      <c r="I1657" s="9" t="n">
        <v>13</v>
      </c>
      <c r="J1657" s="10" t="n">
        <v>0.3</v>
      </c>
      <c r="K1657" s="9" t="n">
        <f aca="false">G1657*H1657*(1-J1657)</f>
        <v>146.958</v>
      </c>
      <c r="L1657" s="9" t="n">
        <f aca="false">G1657*I1657</f>
        <v>78</v>
      </c>
      <c r="M1657" s="9" t="n">
        <f aca="false">K1657-L1657</f>
        <v>68.958</v>
      </c>
      <c r="N1657" s="11" t="n">
        <f aca="false">IF(K1657=0,0,M1657/K1657)</f>
        <v>0.469236108275834</v>
      </c>
      <c r="O1657" s="9" t="n">
        <f aca="false">(G1657*H1657)-K1657</f>
        <v>62.982</v>
      </c>
      <c r="P1657" s="8" t="s">
        <v>21</v>
      </c>
    </row>
    <row r="1658" customFormat="false" ht="15" hidden="false" customHeight="false" outlineLevel="0" collapsed="false">
      <c r="A1658" s="2" t="n">
        <v>46045</v>
      </c>
      <c r="B1658" s="3" t="s">
        <v>58</v>
      </c>
      <c r="C1658" s="3" t="s">
        <v>58</v>
      </c>
      <c r="D1658" s="3" t="s">
        <v>68</v>
      </c>
      <c r="E1658" s="3" t="s">
        <v>69</v>
      </c>
      <c r="F1658" s="3" t="s">
        <v>40</v>
      </c>
      <c r="G1658" s="3" t="n">
        <v>20</v>
      </c>
      <c r="H1658" s="4" t="n">
        <v>24.99</v>
      </c>
      <c r="I1658" s="4" t="n">
        <v>9</v>
      </c>
      <c r="J1658" s="5" t="n">
        <v>0.15</v>
      </c>
      <c r="K1658" s="4" t="n">
        <f aca="false">G1658*H1658*(1-J1658)</f>
        <v>424.83</v>
      </c>
      <c r="L1658" s="4" t="n">
        <f aca="false">G1658*I1658</f>
        <v>180</v>
      </c>
      <c r="M1658" s="4" t="n">
        <f aca="false">K1658-L1658</f>
        <v>244.83</v>
      </c>
      <c r="N1658" s="6" t="n">
        <f aca="false">IF(K1658=0,0,M1658/K1658)</f>
        <v>0.576301108678766</v>
      </c>
      <c r="O1658" s="4" t="n">
        <f aca="false">(G1658*H1658)-K1658</f>
        <v>74.97</v>
      </c>
      <c r="P1658" s="3" t="s">
        <v>21</v>
      </c>
    </row>
    <row r="1659" customFormat="false" ht="15" hidden="false" customHeight="false" outlineLevel="0" collapsed="false">
      <c r="A1659" s="7" t="n">
        <v>46107</v>
      </c>
      <c r="B1659" s="8" t="s">
        <v>31</v>
      </c>
      <c r="C1659" s="8" t="s">
        <v>23</v>
      </c>
      <c r="D1659" s="8" t="s">
        <v>70</v>
      </c>
      <c r="E1659" s="8" t="s">
        <v>71</v>
      </c>
      <c r="F1659" s="8" t="s">
        <v>20</v>
      </c>
      <c r="G1659" s="8" t="n">
        <v>1</v>
      </c>
      <c r="H1659" s="9" t="n">
        <v>49.99</v>
      </c>
      <c r="I1659" s="9" t="n">
        <v>19</v>
      </c>
      <c r="J1659" s="10" t="n">
        <v>0.1</v>
      </c>
      <c r="K1659" s="9" t="n">
        <f aca="false">G1659*H1659*(1-J1659)</f>
        <v>44.991</v>
      </c>
      <c r="L1659" s="9" t="n">
        <f aca="false">G1659*I1659</f>
        <v>19</v>
      </c>
      <c r="M1659" s="9" t="n">
        <f aca="false">K1659-L1659</f>
        <v>25.991</v>
      </c>
      <c r="N1659" s="11" t="n">
        <f aca="false">IF(K1659=0,0,M1659/K1659)</f>
        <v>0.577693316441066</v>
      </c>
      <c r="O1659" s="9" t="n">
        <f aca="false">(G1659*H1659)-K1659</f>
        <v>4.999</v>
      </c>
      <c r="P1659" s="8" t="s">
        <v>21</v>
      </c>
    </row>
    <row r="1660" customFormat="false" ht="15" hidden="false" customHeight="false" outlineLevel="0" collapsed="false">
      <c r="A1660" s="2" t="n">
        <v>46096</v>
      </c>
      <c r="B1660" s="3" t="s">
        <v>22</v>
      </c>
      <c r="C1660" s="3" t="s">
        <v>23</v>
      </c>
      <c r="D1660" s="3" t="s">
        <v>46</v>
      </c>
      <c r="E1660" s="3" t="s">
        <v>47</v>
      </c>
      <c r="F1660" s="3" t="s">
        <v>20</v>
      </c>
      <c r="G1660" s="3" t="n">
        <v>9</v>
      </c>
      <c r="H1660" s="4" t="n">
        <v>11.79</v>
      </c>
      <c r="I1660" s="4" t="n">
        <v>18</v>
      </c>
      <c r="J1660" s="5" t="n">
        <v>0</v>
      </c>
      <c r="K1660" s="4" t="n">
        <f aca="false">G1660*H1660*(1-J1660)</f>
        <v>106.11</v>
      </c>
      <c r="L1660" s="4" t="n">
        <f aca="false">G1660*I1660</f>
        <v>162</v>
      </c>
      <c r="M1660" s="4" t="n">
        <f aca="false">K1660-L1660</f>
        <v>-55.89</v>
      </c>
      <c r="N1660" s="6" t="n">
        <f aca="false">IF(K1660=0,0,M1660/K1660)</f>
        <v>-0.526717557251909</v>
      </c>
      <c r="O1660" s="4" t="n">
        <f aca="false">(G1660*H1660)-K1660</f>
        <v>0</v>
      </c>
      <c r="P1660" s="15" t="s">
        <v>98</v>
      </c>
    </row>
    <row r="1661" customFormat="false" ht="15" hidden="false" customHeight="false" outlineLevel="0" collapsed="false">
      <c r="A1661" s="7" t="n">
        <v>46023</v>
      </c>
      <c r="B1661" s="8" t="s">
        <v>41</v>
      </c>
      <c r="C1661" s="8" t="s">
        <v>28</v>
      </c>
      <c r="D1661" s="8" t="s">
        <v>53</v>
      </c>
      <c r="E1661" s="8" t="s">
        <v>54</v>
      </c>
      <c r="F1661" s="8" t="s">
        <v>50</v>
      </c>
      <c r="G1661" s="8" t="n">
        <v>23</v>
      </c>
      <c r="H1661" s="9" t="n">
        <v>22.99</v>
      </c>
      <c r="I1661" s="9" t="n">
        <v>8</v>
      </c>
      <c r="J1661" s="10" t="n">
        <v>0</v>
      </c>
      <c r="K1661" s="9" t="n">
        <f aca="false">G1661*H1661*(1-J1661)</f>
        <v>528.77</v>
      </c>
      <c r="L1661" s="9" t="n">
        <f aca="false">G1661*I1661</f>
        <v>184</v>
      </c>
      <c r="M1661" s="9" t="n">
        <f aca="false">K1661-L1661</f>
        <v>344.77</v>
      </c>
      <c r="N1661" s="11" t="n">
        <f aca="false">IF(K1661=0,0,M1661/K1661)</f>
        <v>0.652022618529796</v>
      </c>
      <c r="O1661" s="9" t="n">
        <f aca="false">(G1661*H1661)-K1661</f>
        <v>0</v>
      </c>
      <c r="P1661" s="8" t="s">
        <v>21</v>
      </c>
    </row>
    <row r="1662" customFormat="false" ht="15" hidden="false" customHeight="false" outlineLevel="0" collapsed="false">
      <c r="A1662" s="2" t="n">
        <v>46083</v>
      </c>
      <c r="B1662" s="3" t="s">
        <v>31</v>
      </c>
      <c r="C1662" s="3" t="s">
        <v>23</v>
      </c>
      <c r="D1662" s="3" t="s">
        <v>90</v>
      </c>
      <c r="E1662" s="3" t="s">
        <v>91</v>
      </c>
      <c r="F1662" s="3" t="s">
        <v>26</v>
      </c>
      <c r="G1662" s="3" t="n">
        <v>14</v>
      </c>
      <c r="H1662" s="4" t="n">
        <v>29.99</v>
      </c>
      <c r="I1662" s="4" t="n">
        <v>11</v>
      </c>
      <c r="J1662" s="5" t="n">
        <v>0</v>
      </c>
      <c r="K1662" s="4" t="n">
        <f aca="false">G1662*H1662*(1-J1662)</f>
        <v>419.86</v>
      </c>
      <c r="L1662" s="4" t="n">
        <f aca="false">G1662*I1662</f>
        <v>154</v>
      </c>
      <c r="M1662" s="4" t="n">
        <f aca="false">K1662-L1662</f>
        <v>265.86</v>
      </c>
      <c r="N1662" s="6" t="n">
        <f aca="false">IF(K1662=0,0,M1662/K1662)</f>
        <v>0.633211070356786</v>
      </c>
      <c r="O1662" s="4" t="n">
        <f aca="false">(G1662*H1662)-K1662</f>
        <v>0</v>
      </c>
      <c r="P1662" s="3" t="s">
        <v>21</v>
      </c>
    </row>
    <row r="1663" customFormat="false" ht="15" hidden="false" customHeight="false" outlineLevel="0" collapsed="false">
      <c r="A1663" s="7" t="n">
        <v>46044</v>
      </c>
      <c r="B1663" s="8" t="s">
        <v>58</v>
      </c>
      <c r="C1663" s="8" t="s">
        <v>58</v>
      </c>
      <c r="D1663" s="8" t="s">
        <v>38</v>
      </c>
      <c r="E1663" s="8" t="s">
        <v>39</v>
      </c>
      <c r="F1663" s="8" t="s">
        <v>40</v>
      </c>
      <c r="G1663" s="8" t="n">
        <v>6</v>
      </c>
      <c r="H1663" s="9" t="n">
        <v>12.99</v>
      </c>
      <c r="I1663" s="9" t="n">
        <v>4</v>
      </c>
      <c r="J1663" s="10" t="n">
        <v>0.6</v>
      </c>
      <c r="K1663" s="9" t="n">
        <f aca="false">G1663*H1663*(1-J1663)</f>
        <v>31.176</v>
      </c>
      <c r="L1663" s="9" t="n">
        <f aca="false">G1663*I1663</f>
        <v>24</v>
      </c>
      <c r="M1663" s="9" t="n">
        <f aca="false">K1663-L1663</f>
        <v>7.176</v>
      </c>
      <c r="N1663" s="11" t="n">
        <f aca="false">IF(K1663=0,0,M1663/K1663)</f>
        <v>0.230177059276366</v>
      </c>
      <c r="O1663" s="9" t="n">
        <f aca="false">(G1663*H1663)-K1663</f>
        <v>46.764</v>
      </c>
      <c r="P1663" s="14" t="s">
        <v>97</v>
      </c>
    </row>
    <row r="1664" customFormat="false" ht="15" hidden="false" customHeight="false" outlineLevel="0" collapsed="false">
      <c r="A1664" s="2" t="n">
        <v>46082</v>
      </c>
      <c r="B1664" s="3" t="s">
        <v>58</v>
      </c>
      <c r="C1664" s="3" t="s">
        <v>58</v>
      </c>
      <c r="D1664" s="3" t="s">
        <v>72</v>
      </c>
      <c r="E1664" s="3" t="s">
        <v>73</v>
      </c>
      <c r="F1664" s="3" t="s">
        <v>57</v>
      </c>
      <c r="G1664" s="3" t="n">
        <v>14</v>
      </c>
      <c r="H1664" s="4" t="n">
        <v>19.99</v>
      </c>
      <c r="I1664" s="4" t="n">
        <v>7</v>
      </c>
      <c r="J1664" s="5" t="n">
        <v>0.1</v>
      </c>
      <c r="K1664" s="4" t="n">
        <f aca="false">G1664*H1664*(1-J1664)</f>
        <v>251.874</v>
      </c>
      <c r="L1664" s="4" t="n">
        <f aca="false">G1664*I1664</f>
        <v>98</v>
      </c>
      <c r="M1664" s="4" t="n">
        <f aca="false">K1664-L1664</f>
        <v>153.874</v>
      </c>
      <c r="N1664" s="6" t="n">
        <f aca="false">IF(K1664=0,0,M1664/K1664)</f>
        <v>0.610916569395809</v>
      </c>
      <c r="O1664" s="4" t="n">
        <f aca="false">(G1664*H1664)-K1664</f>
        <v>27.986</v>
      </c>
      <c r="P1664" s="3" t="s">
        <v>21</v>
      </c>
    </row>
    <row r="1665" customFormat="false" ht="15" hidden="false" customHeight="false" outlineLevel="0" collapsed="false">
      <c r="A1665" s="7" t="n">
        <v>46065</v>
      </c>
      <c r="B1665" s="8" t="s">
        <v>64</v>
      </c>
      <c r="C1665" s="8" t="s">
        <v>65</v>
      </c>
      <c r="D1665" s="8" t="s">
        <v>42</v>
      </c>
      <c r="E1665" s="8" t="s">
        <v>43</v>
      </c>
      <c r="F1665" s="8" t="s">
        <v>34</v>
      </c>
      <c r="G1665" s="8" t="n">
        <v>24</v>
      </c>
      <c r="H1665" s="9" t="n">
        <v>11.99</v>
      </c>
      <c r="I1665" s="9" t="n">
        <v>3.5</v>
      </c>
      <c r="J1665" s="10" t="n">
        <v>0</v>
      </c>
      <c r="K1665" s="9" t="n">
        <f aca="false">G1665*H1665*(1-J1665)</f>
        <v>287.76</v>
      </c>
      <c r="L1665" s="9" t="n">
        <f aca="false">G1665*I1665</f>
        <v>84</v>
      </c>
      <c r="M1665" s="9" t="n">
        <f aca="false">K1665-L1665</f>
        <v>203.76</v>
      </c>
      <c r="N1665" s="11" t="n">
        <f aca="false">IF(K1665=0,0,M1665/K1665)</f>
        <v>0.708090075062552</v>
      </c>
      <c r="O1665" s="9" t="n">
        <f aca="false">(G1665*H1665)-K1665</f>
        <v>0</v>
      </c>
      <c r="P1665" s="8" t="s">
        <v>21</v>
      </c>
    </row>
    <row r="1666" customFormat="false" ht="15" hidden="false" customHeight="false" outlineLevel="0" collapsed="false">
      <c r="A1666" s="2" t="n">
        <v>46029</v>
      </c>
      <c r="B1666" s="3" t="s">
        <v>22</v>
      </c>
      <c r="C1666" s="3" t="s">
        <v>23</v>
      </c>
      <c r="D1666" s="3" t="s">
        <v>59</v>
      </c>
      <c r="E1666" s="3" t="s">
        <v>60</v>
      </c>
      <c r="F1666" s="3" t="s">
        <v>50</v>
      </c>
      <c r="G1666" s="3" t="n">
        <v>2</v>
      </c>
      <c r="H1666" s="4" t="n">
        <v>24.99</v>
      </c>
      <c r="I1666" s="4" t="n">
        <v>8.5</v>
      </c>
      <c r="J1666" s="5" t="n">
        <v>0</v>
      </c>
      <c r="K1666" s="4" t="n">
        <f aca="false">G1666*H1666*(1-J1666)</f>
        <v>49.98</v>
      </c>
      <c r="L1666" s="4" t="n">
        <f aca="false">G1666*I1666</f>
        <v>17</v>
      </c>
      <c r="M1666" s="4" t="n">
        <f aca="false">K1666-L1666</f>
        <v>32.98</v>
      </c>
      <c r="N1666" s="6" t="n">
        <f aca="false">IF(K1666=0,0,M1666/K1666)</f>
        <v>0.659863945578231</v>
      </c>
      <c r="O1666" s="4" t="n">
        <f aca="false">(G1666*H1666)-K1666</f>
        <v>0</v>
      </c>
      <c r="P1666" s="3" t="s">
        <v>21</v>
      </c>
    </row>
    <row r="1667" customFormat="false" ht="15" hidden="false" customHeight="false" outlineLevel="0" collapsed="false">
      <c r="A1667" s="7" t="n">
        <v>46056</v>
      </c>
      <c r="B1667" s="8" t="s">
        <v>41</v>
      </c>
      <c r="C1667" s="8" t="s">
        <v>28</v>
      </c>
      <c r="D1667" s="8" t="s">
        <v>38</v>
      </c>
      <c r="E1667" s="8" t="s">
        <v>39</v>
      </c>
      <c r="F1667" s="8" t="s">
        <v>40</v>
      </c>
      <c r="G1667" s="8" t="n">
        <v>5</v>
      </c>
      <c r="H1667" s="9" t="n">
        <v>12.99</v>
      </c>
      <c r="I1667" s="9" t="n">
        <v>4</v>
      </c>
      <c r="J1667" s="10" t="n">
        <v>0.25</v>
      </c>
      <c r="K1667" s="9" t="n">
        <f aca="false">G1667*H1667*(1-J1667)</f>
        <v>48.7125</v>
      </c>
      <c r="L1667" s="9" t="n">
        <f aca="false">G1667*I1667</f>
        <v>20</v>
      </c>
      <c r="M1667" s="9" t="n">
        <f aca="false">K1667-L1667</f>
        <v>28.7125</v>
      </c>
      <c r="N1667" s="11" t="n">
        <f aca="false">IF(K1667=0,0,M1667/K1667)</f>
        <v>0.589427764947396</v>
      </c>
      <c r="O1667" s="9" t="n">
        <f aca="false">(G1667*H1667)-K1667</f>
        <v>16.2375</v>
      </c>
      <c r="P1667" s="8" t="s">
        <v>21</v>
      </c>
    </row>
    <row r="1668" customFormat="false" ht="15" hidden="false" customHeight="false" outlineLevel="0" collapsed="false">
      <c r="A1668" s="2" t="n">
        <v>46023</v>
      </c>
      <c r="B1668" s="3" t="s">
        <v>64</v>
      </c>
      <c r="C1668" s="3" t="s">
        <v>65</v>
      </c>
      <c r="D1668" s="3" t="s">
        <v>18</v>
      </c>
      <c r="E1668" s="3" t="s">
        <v>19</v>
      </c>
      <c r="F1668" s="3" t="s">
        <v>20</v>
      </c>
      <c r="G1668" s="3" t="n">
        <v>1</v>
      </c>
      <c r="H1668" s="4" t="n">
        <v>24.99</v>
      </c>
      <c r="I1668" s="4" t="n">
        <v>10.5</v>
      </c>
      <c r="J1668" s="5" t="n">
        <v>0.2</v>
      </c>
      <c r="K1668" s="4" t="n">
        <f aca="false">G1668*H1668*(1-J1668)</f>
        <v>19.992</v>
      </c>
      <c r="L1668" s="4" t="n">
        <f aca="false">G1668*I1668</f>
        <v>10.5</v>
      </c>
      <c r="M1668" s="4" t="n">
        <f aca="false">K1668-L1668</f>
        <v>9.492</v>
      </c>
      <c r="N1668" s="6" t="n">
        <f aca="false">IF(K1668=0,0,M1668/K1668)</f>
        <v>0.474789915966387</v>
      </c>
      <c r="O1668" s="4" t="n">
        <f aca="false">(G1668*H1668)-K1668</f>
        <v>4.998</v>
      </c>
      <c r="P1668" s="3" t="s">
        <v>21</v>
      </c>
    </row>
    <row r="1669" customFormat="false" ht="15" hidden="false" customHeight="false" outlineLevel="0" collapsed="false">
      <c r="A1669" s="7" t="n">
        <v>46073</v>
      </c>
      <c r="B1669" s="8" t="s">
        <v>27</v>
      </c>
      <c r="C1669" s="8" t="s">
        <v>28</v>
      </c>
      <c r="D1669" s="8" t="s">
        <v>90</v>
      </c>
      <c r="E1669" s="8" t="s">
        <v>91</v>
      </c>
      <c r="F1669" s="8" t="s">
        <v>26</v>
      </c>
      <c r="G1669" s="8" t="n">
        <v>4</v>
      </c>
      <c r="H1669" s="9" t="n">
        <v>6.95</v>
      </c>
      <c r="I1669" s="9" t="n">
        <v>11</v>
      </c>
      <c r="J1669" s="10" t="n">
        <v>0</v>
      </c>
      <c r="K1669" s="9" t="n">
        <f aca="false">G1669*H1669*(1-J1669)</f>
        <v>27.8</v>
      </c>
      <c r="L1669" s="9" t="n">
        <f aca="false">G1669*I1669</f>
        <v>44</v>
      </c>
      <c r="M1669" s="9" t="n">
        <f aca="false">K1669-L1669</f>
        <v>-16.2</v>
      </c>
      <c r="N1669" s="11" t="n">
        <f aca="false">IF(K1669=0,0,M1669/K1669)</f>
        <v>-0.58273381294964</v>
      </c>
      <c r="O1669" s="9" t="n">
        <f aca="false">(G1669*H1669)-K1669</f>
        <v>0</v>
      </c>
      <c r="P1669" s="15" t="s">
        <v>98</v>
      </c>
    </row>
    <row r="1670" customFormat="false" ht="15" hidden="false" customHeight="false" outlineLevel="0" collapsed="false">
      <c r="A1670" s="2" t="n">
        <v>46111</v>
      </c>
      <c r="B1670" s="3" t="s">
        <v>41</v>
      </c>
      <c r="C1670" s="3" t="s">
        <v>28</v>
      </c>
      <c r="D1670" s="3" t="s">
        <v>68</v>
      </c>
      <c r="E1670" s="3" t="s">
        <v>69</v>
      </c>
      <c r="F1670" s="3" t="s">
        <v>40</v>
      </c>
      <c r="G1670" s="3" t="n">
        <v>15</v>
      </c>
      <c r="H1670" s="4" t="n">
        <v>24.99</v>
      </c>
      <c r="I1670" s="4" t="n">
        <v>9</v>
      </c>
      <c r="J1670" s="5" t="n">
        <v>0</v>
      </c>
      <c r="K1670" s="4" t="n">
        <f aca="false">G1670*H1670*(1-J1670)</f>
        <v>374.85</v>
      </c>
      <c r="L1670" s="4" t="n">
        <f aca="false">G1670*I1670</f>
        <v>135</v>
      </c>
      <c r="M1670" s="4" t="n">
        <f aca="false">K1670-L1670</f>
        <v>239.85</v>
      </c>
      <c r="N1670" s="6" t="n">
        <f aca="false">IF(K1670=0,0,M1670/K1670)</f>
        <v>0.639855942376951</v>
      </c>
      <c r="O1670" s="4" t="n">
        <f aca="false">(G1670*H1670)-K1670</f>
        <v>0</v>
      </c>
      <c r="P1670" s="3" t="s">
        <v>21</v>
      </c>
    </row>
    <row r="1671" customFormat="false" ht="15" hidden="false" customHeight="false" outlineLevel="0" collapsed="false">
      <c r="A1671" s="7" t="n">
        <v>46049</v>
      </c>
      <c r="B1671" s="8" t="s">
        <v>37</v>
      </c>
      <c r="C1671" s="8" t="s">
        <v>17</v>
      </c>
      <c r="D1671" s="8" t="s">
        <v>24</v>
      </c>
      <c r="E1671" s="8" t="s">
        <v>25</v>
      </c>
      <c r="F1671" s="8" t="s">
        <v>26</v>
      </c>
      <c r="G1671" s="8" t="n">
        <v>18</v>
      </c>
      <c r="H1671" s="9" t="n">
        <v>54.99</v>
      </c>
      <c r="I1671" s="9" t="n">
        <v>24</v>
      </c>
      <c r="J1671" s="10" t="n">
        <v>0.2</v>
      </c>
      <c r="K1671" s="9" t="n">
        <f aca="false">G1671*H1671*(1-J1671)</f>
        <v>791.856</v>
      </c>
      <c r="L1671" s="9" t="n">
        <f aca="false">G1671*I1671</f>
        <v>432</v>
      </c>
      <c r="M1671" s="9" t="n">
        <f aca="false">K1671-L1671</f>
        <v>359.856</v>
      </c>
      <c r="N1671" s="11" t="n">
        <f aca="false">IF(K1671=0,0,M1671/K1671)</f>
        <v>0.454446262956901</v>
      </c>
      <c r="O1671" s="9" t="n">
        <f aca="false">(G1671*H1671)-K1671</f>
        <v>197.964</v>
      </c>
      <c r="P1671" s="8" t="s">
        <v>21</v>
      </c>
    </row>
    <row r="1672" customFormat="false" ht="15" hidden="false" customHeight="false" outlineLevel="0" collapsed="false">
      <c r="A1672" s="2" t="n">
        <v>46052</v>
      </c>
      <c r="B1672" s="3" t="s">
        <v>22</v>
      </c>
      <c r="C1672" s="3" t="s">
        <v>23</v>
      </c>
      <c r="D1672" s="3" t="s">
        <v>24</v>
      </c>
      <c r="E1672" s="3" t="s">
        <v>25</v>
      </c>
      <c r="F1672" s="3" t="s">
        <v>26</v>
      </c>
      <c r="G1672" s="3" t="n">
        <v>5</v>
      </c>
      <c r="H1672" s="4" t="n">
        <v>54.99</v>
      </c>
      <c r="I1672" s="4" t="n">
        <v>24</v>
      </c>
      <c r="J1672" s="5" t="n">
        <v>0.25</v>
      </c>
      <c r="K1672" s="4" t="n">
        <f aca="false">G1672*H1672*(1-J1672)</f>
        <v>206.2125</v>
      </c>
      <c r="L1672" s="4" t="n">
        <f aca="false">G1672*I1672</f>
        <v>120</v>
      </c>
      <c r="M1672" s="4" t="n">
        <f aca="false">K1672-L1672</f>
        <v>86.2125</v>
      </c>
      <c r="N1672" s="6" t="n">
        <f aca="false">IF(K1672=0,0,M1672/K1672)</f>
        <v>0.418076013820695</v>
      </c>
      <c r="O1672" s="4" t="n">
        <f aca="false">(G1672*H1672)-K1672</f>
        <v>68.7375</v>
      </c>
      <c r="P1672" s="3" t="s">
        <v>21</v>
      </c>
    </row>
    <row r="1673" customFormat="false" ht="15" hidden="false" customHeight="false" outlineLevel="0" collapsed="false">
      <c r="A1673" s="7" t="n">
        <v>46095</v>
      </c>
      <c r="B1673" s="8" t="s">
        <v>16</v>
      </c>
      <c r="C1673" s="8" t="s">
        <v>17</v>
      </c>
      <c r="D1673" s="8" t="s">
        <v>88</v>
      </c>
      <c r="E1673" s="8" t="s">
        <v>89</v>
      </c>
      <c r="F1673" s="8" t="s">
        <v>57</v>
      </c>
      <c r="G1673" s="8" t="n">
        <v>7</v>
      </c>
      <c r="H1673" s="9" t="n">
        <v>12.99</v>
      </c>
      <c r="I1673" s="9" t="n">
        <v>4.5</v>
      </c>
      <c r="J1673" s="10" t="n">
        <v>0.15</v>
      </c>
      <c r="K1673" s="9" t="n">
        <f aca="false">G1673*H1673*(1-J1673)</f>
        <v>77.2905</v>
      </c>
      <c r="L1673" s="9" t="n">
        <f aca="false">G1673*I1673</f>
        <v>31.5</v>
      </c>
      <c r="M1673" s="9" t="n">
        <f aca="false">K1673-L1673</f>
        <v>45.7905</v>
      </c>
      <c r="N1673" s="11" t="n">
        <f aca="false">IF(K1673=0,0,M1673/K1673)</f>
        <v>0.592446678440429</v>
      </c>
      <c r="O1673" s="9" t="n">
        <f aca="false">(G1673*H1673)-K1673</f>
        <v>13.6395</v>
      </c>
      <c r="P1673" s="8" t="s">
        <v>21</v>
      </c>
    </row>
    <row r="1674" customFormat="false" ht="15" hidden="false" customHeight="false" outlineLevel="0" collapsed="false">
      <c r="A1674" s="2" t="n">
        <v>46117</v>
      </c>
      <c r="B1674" s="3" t="s">
        <v>22</v>
      </c>
      <c r="C1674" s="3" t="s">
        <v>23</v>
      </c>
      <c r="D1674" s="3" t="s">
        <v>93</v>
      </c>
      <c r="E1674" s="3" t="s">
        <v>94</v>
      </c>
      <c r="F1674" s="3" t="s">
        <v>34</v>
      </c>
      <c r="G1674" s="3" t="n">
        <v>25</v>
      </c>
      <c r="H1674" s="4" t="n">
        <v>29.99</v>
      </c>
      <c r="I1674" s="4" t="n">
        <v>9</v>
      </c>
      <c r="J1674" s="5" t="n">
        <v>0.15</v>
      </c>
      <c r="K1674" s="4" t="n">
        <f aca="false">G1674*H1674*(1-J1674)</f>
        <v>637.2875</v>
      </c>
      <c r="L1674" s="4" t="n">
        <f aca="false">G1674*I1674</f>
        <v>225</v>
      </c>
      <c r="M1674" s="4" t="n">
        <f aca="false">K1674-L1674</f>
        <v>412.2875</v>
      </c>
      <c r="N1674" s="6" t="n">
        <f aca="false">IF(K1674=0,0,M1674/K1674)</f>
        <v>0.646941137241826</v>
      </c>
      <c r="O1674" s="4" t="n">
        <f aca="false">(G1674*H1674)-K1674</f>
        <v>112.4625</v>
      </c>
      <c r="P1674" s="3" t="s">
        <v>21</v>
      </c>
    </row>
    <row r="1675" customFormat="false" ht="15" hidden="false" customHeight="false" outlineLevel="0" collapsed="false">
      <c r="A1675" s="7" t="n">
        <v>46036</v>
      </c>
      <c r="B1675" s="8" t="s">
        <v>31</v>
      </c>
      <c r="C1675" s="8" t="s">
        <v>23</v>
      </c>
      <c r="D1675" s="8" t="s">
        <v>59</v>
      </c>
      <c r="E1675" s="8" t="s">
        <v>60</v>
      </c>
      <c r="F1675" s="8" t="s">
        <v>50</v>
      </c>
      <c r="G1675" s="8" t="n">
        <v>5</v>
      </c>
      <c r="H1675" s="9" t="n">
        <v>24.99</v>
      </c>
      <c r="I1675" s="9" t="n">
        <v>8.5</v>
      </c>
      <c r="J1675" s="10" t="n">
        <v>0</v>
      </c>
      <c r="K1675" s="9" t="n">
        <f aca="false">G1675*H1675*(1-J1675)</f>
        <v>124.95</v>
      </c>
      <c r="L1675" s="9" t="n">
        <f aca="false">G1675*I1675</f>
        <v>42.5</v>
      </c>
      <c r="M1675" s="9" t="n">
        <f aca="false">K1675-L1675</f>
        <v>82.45</v>
      </c>
      <c r="N1675" s="11" t="n">
        <f aca="false">IF(K1675=0,0,M1675/K1675)</f>
        <v>0.659863945578231</v>
      </c>
      <c r="O1675" s="9" t="n">
        <f aca="false">(G1675*H1675)-K1675</f>
        <v>0</v>
      </c>
      <c r="P1675" s="8" t="s">
        <v>21</v>
      </c>
    </row>
    <row r="1676" customFormat="false" ht="15" hidden="false" customHeight="false" outlineLevel="0" collapsed="false">
      <c r="A1676" s="2" t="n">
        <v>46048</v>
      </c>
      <c r="B1676" s="3" t="s">
        <v>41</v>
      </c>
      <c r="C1676" s="3" t="s">
        <v>28</v>
      </c>
      <c r="D1676" s="3" t="s">
        <v>70</v>
      </c>
      <c r="E1676" s="3" t="s">
        <v>71</v>
      </c>
      <c r="F1676" s="3" t="s">
        <v>20</v>
      </c>
      <c r="G1676" s="3" t="n">
        <v>2</v>
      </c>
      <c r="H1676" s="4" t="n">
        <v>49.99</v>
      </c>
      <c r="I1676" s="4" t="n">
        <v>19</v>
      </c>
      <c r="J1676" s="5" t="n">
        <v>0.25</v>
      </c>
      <c r="K1676" s="4" t="n">
        <f aca="false">G1676*H1676*(1-J1676)</f>
        <v>74.985</v>
      </c>
      <c r="L1676" s="4" t="n">
        <f aca="false">G1676*I1676</f>
        <v>38</v>
      </c>
      <c r="M1676" s="4" t="n">
        <f aca="false">K1676-L1676</f>
        <v>36.985</v>
      </c>
      <c r="N1676" s="6" t="n">
        <f aca="false">IF(K1676=0,0,M1676/K1676)</f>
        <v>0.493231979729279</v>
      </c>
      <c r="O1676" s="4" t="n">
        <f aca="false">(G1676*H1676)-K1676</f>
        <v>24.995</v>
      </c>
      <c r="P1676" s="3" t="s">
        <v>21</v>
      </c>
    </row>
    <row r="1677" customFormat="false" ht="15" hidden="false" customHeight="false" outlineLevel="0" collapsed="false">
      <c r="A1677" s="7" t="n">
        <v>46035</v>
      </c>
      <c r="B1677" s="8" t="s">
        <v>41</v>
      </c>
      <c r="C1677" s="8" t="s">
        <v>28</v>
      </c>
      <c r="D1677" s="8" t="s">
        <v>44</v>
      </c>
      <c r="E1677" s="8" t="s">
        <v>45</v>
      </c>
      <c r="F1677" s="8" t="s">
        <v>40</v>
      </c>
      <c r="G1677" s="8" t="n">
        <v>5</v>
      </c>
      <c r="H1677" s="9" t="n">
        <v>29.99</v>
      </c>
      <c r="I1677" s="9" t="n">
        <v>11</v>
      </c>
      <c r="J1677" s="10" t="n">
        <v>0</v>
      </c>
      <c r="K1677" s="9" t="n">
        <f aca="false">G1677*H1677*(1-J1677)</f>
        <v>149.95</v>
      </c>
      <c r="L1677" s="9" t="n">
        <f aca="false">G1677*I1677</f>
        <v>55</v>
      </c>
      <c r="M1677" s="9" t="n">
        <f aca="false">K1677-L1677</f>
        <v>94.95</v>
      </c>
      <c r="N1677" s="11" t="n">
        <f aca="false">IF(K1677=0,0,M1677/K1677)</f>
        <v>0.633211070356786</v>
      </c>
      <c r="O1677" s="9" t="n">
        <f aca="false">(G1677*H1677)-K1677</f>
        <v>0</v>
      </c>
      <c r="P1677" s="8" t="s">
        <v>21</v>
      </c>
    </row>
    <row r="1678" customFormat="false" ht="15" hidden="false" customHeight="false" outlineLevel="0" collapsed="false">
      <c r="A1678" s="2" t="n">
        <v>46065</v>
      </c>
      <c r="B1678" s="3" t="s">
        <v>37</v>
      </c>
      <c r="C1678" s="3" t="s">
        <v>17</v>
      </c>
      <c r="D1678" s="3" t="s">
        <v>66</v>
      </c>
      <c r="E1678" s="3" t="s">
        <v>67</v>
      </c>
      <c r="F1678" s="3" t="s">
        <v>57</v>
      </c>
      <c r="G1678" s="3" t="n">
        <v>15</v>
      </c>
      <c r="H1678" s="4" t="n">
        <v>14.99</v>
      </c>
      <c r="I1678" s="4" t="n">
        <v>5.5</v>
      </c>
      <c r="J1678" s="5" t="n">
        <v>0.55</v>
      </c>
      <c r="K1678" s="4" t="n">
        <f aca="false">G1678*H1678*(1-J1678)</f>
        <v>101.1825</v>
      </c>
      <c r="L1678" s="4" t="n">
        <f aca="false">G1678*I1678</f>
        <v>82.5</v>
      </c>
      <c r="M1678" s="4" t="n">
        <f aca="false">K1678-L1678</f>
        <v>18.6825</v>
      </c>
      <c r="N1678" s="6" t="n">
        <f aca="false">IF(K1678=0,0,M1678/K1678)</f>
        <v>0.184641612927137</v>
      </c>
      <c r="O1678" s="4" t="n">
        <f aca="false">(G1678*H1678)-K1678</f>
        <v>123.6675</v>
      </c>
      <c r="P1678" s="14" t="s">
        <v>97</v>
      </c>
    </row>
    <row r="1679" customFormat="false" ht="15" hidden="false" customHeight="false" outlineLevel="0" collapsed="false">
      <c r="A1679" s="7" t="n">
        <v>46046</v>
      </c>
      <c r="B1679" s="8" t="s">
        <v>16</v>
      </c>
      <c r="C1679" s="8" t="s">
        <v>17</v>
      </c>
      <c r="D1679" s="8" t="s">
        <v>90</v>
      </c>
      <c r="E1679" s="8" t="s">
        <v>91</v>
      </c>
      <c r="F1679" s="8" t="s">
        <v>26</v>
      </c>
      <c r="G1679" s="8" t="n">
        <v>4</v>
      </c>
      <c r="H1679" s="9" t="n">
        <v>29.99</v>
      </c>
      <c r="I1679" s="9" t="n">
        <v>11</v>
      </c>
      <c r="J1679" s="10" t="n">
        <v>0.3</v>
      </c>
      <c r="K1679" s="9" t="n">
        <f aca="false">G1679*H1679*(1-J1679)</f>
        <v>83.972</v>
      </c>
      <c r="L1679" s="9" t="n">
        <f aca="false">G1679*I1679</f>
        <v>44</v>
      </c>
      <c r="M1679" s="9" t="n">
        <f aca="false">K1679-L1679</f>
        <v>39.972</v>
      </c>
      <c r="N1679" s="11" t="n">
        <f aca="false">IF(K1679=0,0,M1679/K1679)</f>
        <v>0.476015814795408</v>
      </c>
      <c r="O1679" s="9" t="n">
        <f aca="false">(G1679*H1679)-K1679</f>
        <v>35.988</v>
      </c>
      <c r="P1679" s="8" t="s">
        <v>21</v>
      </c>
    </row>
    <row r="1680" customFormat="false" ht="15" hidden="false" customHeight="false" outlineLevel="0" collapsed="false">
      <c r="A1680" s="2" t="n">
        <v>46107</v>
      </c>
      <c r="B1680" s="3" t="s">
        <v>22</v>
      </c>
      <c r="C1680" s="3" t="s">
        <v>23</v>
      </c>
      <c r="D1680" s="3" t="s">
        <v>90</v>
      </c>
      <c r="E1680" s="3" t="s">
        <v>91</v>
      </c>
      <c r="F1680" s="3" t="s">
        <v>26</v>
      </c>
      <c r="G1680" s="3" t="n">
        <v>17</v>
      </c>
      <c r="H1680" s="4" t="n">
        <v>24.99</v>
      </c>
      <c r="I1680" s="4" t="n">
        <v>11</v>
      </c>
      <c r="J1680" s="5" t="n">
        <v>0.3</v>
      </c>
      <c r="K1680" s="4" t="n">
        <f aca="false">G1680*H1680*(1-J1680)</f>
        <v>297.381</v>
      </c>
      <c r="L1680" s="4" t="n">
        <f aca="false">G1680*I1680</f>
        <v>187</v>
      </c>
      <c r="M1680" s="4" t="n">
        <f aca="false">K1680-L1680</f>
        <v>110.381</v>
      </c>
      <c r="N1680" s="6" t="n">
        <f aca="false">IF(K1680=0,0,M1680/K1680)</f>
        <v>0.37117704224547</v>
      </c>
      <c r="O1680" s="4" t="n">
        <f aca="false">(G1680*H1680)-K1680</f>
        <v>127.449</v>
      </c>
      <c r="P1680" s="3" t="s">
        <v>21</v>
      </c>
    </row>
    <row r="1681" customFormat="false" ht="15" hidden="false" customHeight="false" outlineLevel="0" collapsed="false">
      <c r="A1681" s="7" t="n">
        <v>46099</v>
      </c>
      <c r="B1681" s="8" t="s">
        <v>31</v>
      </c>
      <c r="C1681" s="8" t="s">
        <v>23</v>
      </c>
      <c r="D1681" s="8" t="s">
        <v>86</v>
      </c>
      <c r="E1681" s="8" t="s">
        <v>87</v>
      </c>
      <c r="F1681" s="8" t="s">
        <v>40</v>
      </c>
      <c r="G1681" s="8" t="n">
        <v>26</v>
      </c>
      <c r="H1681" s="9" t="n">
        <v>16.99</v>
      </c>
      <c r="I1681" s="9" t="n">
        <v>5.5</v>
      </c>
      <c r="J1681" s="10" t="n">
        <v>0.2</v>
      </c>
      <c r="K1681" s="9" t="n">
        <f aca="false">G1681*H1681*(1-J1681)</f>
        <v>353.392</v>
      </c>
      <c r="L1681" s="9" t="n">
        <f aca="false">G1681*I1681</f>
        <v>143</v>
      </c>
      <c r="M1681" s="9" t="n">
        <f aca="false">K1681-L1681</f>
        <v>210.392</v>
      </c>
      <c r="N1681" s="11" t="n">
        <f aca="false">IF(K1681=0,0,M1681/K1681)</f>
        <v>0.595350206003532</v>
      </c>
      <c r="O1681" s="9" t="n">
        <f aca="false">(G1681*H1681)-K1681</f>
        <v>88.348</v>
      </c>
      <c r="P1681" s="8" t="s">
        <v>21</v>
      </c>
    </row>
    <row r="1682" customFormat="false" ht="15" hidden="false" customHeight="false" outlineLevel="0" collapsed="false">
      <c r="A1682" s="2" t="n">
        <v>46111</v>
      </c>
      <c r="B1682" s="3" t="s">
        <v>37</v>
      </c>
      <c r="C1682" s="3" t="s">
        <v>17</v>
      </c>
      <c r="D1682" s="3" t="s">
        <v>90</v>
      </c>
      <c r="E1682" s="3" t="s">
        <v>91</v>
      </c>
      <c r="F1682" s="3" t="s">
        <v>26</v>
      </c>
      <c r="G1682" s="3" t="n">
        <v>5</v>
      </c>
      <c r="H1682" s="4" t="n">
        <v>24.99</v>
      </c>
      <c r="I1682" s="4" t="n">
        <v>11</v>
      </c>
      <c r="J1682" s="5" t="n">
        <v>0</v>
      </c>
      <c r="K1682" s="4" t="n">
        <f aca="false">G1682*H1682*(1-J1682)</f>
        <v>124.95</v>
      </c>
      <c r="L1682" s="4" t="n">
        <f aca="false">G1682*I1682</f>
        <v>55</v>
      </c>
      <c r="M1682" s="4" t="n">
        <f aca="false">K1682-L1682</f>
        <v>69.95</v>
      </c>
      <c r="N1682" s="6" t="n">
        <f aca="false">IF(K1682=0,0,M1682/K1682)</f>
        <v>0.559823929571829</v>
      </c>
      <c r="O1682" s="4" t="n">
        <f aca="false">(G1682*H1682)-K1682</f>
        <v>0</v>
      </c>
      <c r="P1682" s="3" t="s">
        <v>21</v>
      </c>
    </row>
    <row r="1683" customFormat="false" ht="15" hidden="false" customHeight="false" outlineLevel="0" collapsed="false">
      <c r="A1683" s="7" t="n">
        <v>46097</v>
      </c>
      <c r="B1683" s="8" t="s">
        <v>22</v>
      </c>
      <c r="C1683" s="8" t="s">
        <v>23</v>
      </c>
      <c r="D1683" s="8" t="s">
        <v>59</v>
      </c>
      <c r="E1683" s="8" t="s">
        <v>60</v>
      </c>
      <c r="F1683" s="8" t="s">
        <v>50</v>
      </c>
      <c r="G1683" s="8" t="n">
        <v>26</v>
      </c>
      <c r="H1683" s="9" t="n">
        <v>24.99</v>
      </c>
      <c r="I1683" s="9" t="n">
        <v>8.5</v>
      </c>
      <c r="J1683" s="10" t="n">
        <v>0</v>
      </c>
      <c r="K1683" s="9" t="n">
        <f aca="false">G1683*H1683*(1-J1683)</f>
        <v>649.74</v>
      </c>
      <c r="L1683" s="9" t="n">
        <f aca="false">G1683*I1683</f>
        <v>221</v>
      </c>
      <c r="M1683" s="9" t="n">
        <f aca="false">K1683-L1683</f>
        <v>428.74</v>
      </c>
      <c r="N1683" s="11" t="n">
        <f aca="false">IF(K1683=0,0,M1683/K1683)</f>
        <v>0.659863945578231</v>
      </c>
      <c r="O1683" s="9" t="n">
        <f aca="false">(G1683*H1683)-K1683</f>
        <v>0</v>
      </c>
      <c r="P1683" s="8" t="s">
        <v>21</v>
      </c>
    </row>
    <row r="1684" customFormat="false" ht="15" hidden="false" customHeight="false" outlineLevel="0" collapsed="false">
      <c r="A1684" s="2" t="n">
        <v>46074</v>
      </c>
      <c r="B1684" s="3" t="s">
        <v>41</v>
      </c>
      <c r="C1684" s="3" t="s">
        <v>28</v>
      </c>
      <c r="D1684" s="3" t="s">
        <v>76</v>
      </c>
      <c r="E1684" s="3" t="s">
        <v>77</v>
      </c>
      <c r="F1684" s="3" t="s">
        <v>34</v>
      </c>
      <c r="G1684" s="3" t="n">
        <v>6</v>
      </c>
      <c r="H1684" s="4" t="n">
        <v>44.99</v>
      </c>
      <c r="I1684" s="4" t="n">
        <v>14</v>
      </c>
      <c r="J1684" s="5" t="n">
        <v>0.2</v>
      </c>
      <c r="K1684" s="4" t="n">
        <f aca="false">G1684*H1684*(1-J1684)</f>
        <v>215.952</v>
      </c>
      <c r="L1684" s="4" t="n">
        <f aca="false">G1684*I1684</f>
        <v>84</v>
      </c>
      <c r="M1684" s="4" t="n">
        <f aca="false">K1684-L1684</f>
        <v>131.952</v>
      </c>
      <c r="N1684" s="6" t="n">
        <f aca="false">IF(K1684=0,0,M1684/K1684)</f>
        <v>0.611024672149367</v>
      </c>
      <c r="O1684" s="4" t="n">
        <f aca="false">(G1684*H1684)-K1684</f>
        <v>53.988</v>
      </c>
      <c r="P1684" s="3" t="s">
        <v>21</v>
      </c>
    </row>
    <row r="1685" customFormat="false" ht="15" hidden="false" customHeight="false" outlineLevel="0" collapsed="false">
      <c r="A1685" s="7" t="n">
        <v>46038</v>
      </c>
      <c r="B1685" s="8" t="s">
        <v>37</v>
      </c>
      <c r="C1685" s="8" t="s">
        <v>17</v>
      </c>
      <c r="D1685" s="8" t="s">
        <v>61</v>
      </c>
      <c r="E1685" s="8" t="s">
        <v>62</v>
      </c>
      <c r="F1685" s="8" t="s">
        <v>34</v>
      </c>
      <c r="G1685" s="8" t="n">
        <v>4</v>
      </c>
      <c r="H1685" s="9" t="n">
        <v>14.99</v>
      </c>
      <c r="I1685" s="9" t="n">
        <v>4.5</v>
      </c>
      <c r="J1685" s="10" t="n">
        <v>0.5</v>
      </c>
      <c r="K1685" s="9" t="n">
        <f aca="false">G1685*H1685*(1-J1685)</f>
        <v>29.98</v>
      </c>
      <c r="L1685" s="9" t="n">
        <f aca="false">G1685*I1685</f>
        <v>18</v>
      </c>
      <c r="M1685" s="9" t="n">
        <f aca="false">K1685-L1685</f>
        <v>11.98</v>
      </c>
      <c r="N1685" s="11" t="n">
        <f aca="false">IF(K1685=0,0,M1685/K1685)</f>
        <v>0.399599733155437</v>
      </c>
      <c r="O1685" s="9" t="n">
        <f aca="false">(G1685*H1685)-K1685</f>
        <v>29.98</v>
      </c>
      <c r="P1685" s="14" t="s">
        <v>97</v>
      </c>
    </row>
    <row r="1686" customFormat="false" ht="15" hidden="false" customHeight="false" outlineLevel="0" collapsed="false">
      <c r="A1686" s="2" t="n">
        <v>46128</v>
      </c>
      <c r="B1686" s="3" t="s">
        <v>41</v>
      </c>
      <c r="C1686" s="3" t="s">
        <v>28</v>
      </c>
      <c r="D1686" s="3" t="s">
        <v>46</v>
      </c>
      <c r="E1686" s="3" t="s">
        <v>47</v>
      </c>
      <c r="F1686" s="3" t="s">
        <v>20</v>
      </c>
      <c r="G1686" s="3" t="n">
        <v>28</v>
      </c>
      <c r="H1686" s="4" t="n">
        <v>44.99</v>
      </c>
      <c r="I1686" s="4" t="n">
        <v>18</v>
      </c>
      <c r="J1686" s="5" t="n">
        <v>0.05</v>
      </c>
      <c r="K1686" s="4" t="n">
        <f aca="false">G1686*H1686*(1-J1686)</f>
        <v>1196.734</v>
      </c>
      <c r="L1686" s="4" t="n">
        <f aca="false">G1686*I1686</f>
        <v>504</v>
      </c>
      <c r="M1686" s="4" t="n">
        <f aca="false">K1686-L1686</f>
        <v>692.734</v>
      </c>
      <c r="N1686" s="6" t="n">
        <f aca="false">IF(K1686=0,0,M1686/K1686)</f>
        <v>0.578853780372246</v>
      </c>
      <c r="O1686" s="4" t="n">
        <f aca="false">(G1686*H1686)-K1686</f>
        <v>62.9860000000001</v>
      </c>
      <c r="P1686" s="3" t="s">
        <v>21</v>
      </c>
    </row>
    <row r="1687" customFormat="false" ht="15" hidden="false" customHeight="false" outlineLevel="0" collapsed="false">
      <c r="A1687" s="7" t="n">
        <v>46029</v>
      </c>
      <c r="B1687" s="8" t="s">
        <v>16</v>
      </c>
      <c r="C1687" s="8" t="s">
        <v>17</v>
      </c>
      <c r="D1687" s="8" t="s">
        <v>82</v>
      </c>
      <c r="E1687" s="8" t="s">
        <v>83</v>
      </c>
      <c r="F1687" s="8" t="s">
        <v>26</v>
      </c>
      <c r="G1687" s="8" t="n">
        <v>26</v>
      </c>
      <c r="H1687" s="9" t="n">
        <v>44.99</v>
      </c>
      <c r="I1687" s="9" t="n">
        <v>18</v>
      </c>
      <c r="J1687" s="10" t="n">
        <v>0.2</v>
      </c>
      <c r="K1687" s="9" t="n">
        <f aca="false">G1687*H1687*(1-J1687)</f>
        <v>935.792</v>
      </c>
      <c r="L1687" s="9" t="n">
        <f aca="false">G1687*I1687</f>
        <v>468</v>
      </c>
      <c r="M1687" s="9" t="n">
        <f aca="false">K1687-L1687</f>
        <v>467.792</v>
      </c>
      <c r="N1687" s="11" t="n">
        <f aca="false">IF(K1687=0,0,M1687/K1687)</f>
        <v>0.499888864192043</v>
      </c>
      <c r="O1687" s="9" t="n">
        <f aca="false">(G1687*H1687)-K1687</f>
        <v>233.948</v>
      </c>
      <c r="P1687" s="8" t="s">
        <v>21</v>
      </c>
    </row>
    <row r="1688" customFormat="false" ht="15" hidden="false" customHeight="false" outlineLevel="0" collapsed="false">
      <c r="A1688" s="2" t="n">
        <v>46111</v>
      </c>
      <c r="B1688" s="3" t="s">
        <v>31</v>
      </c>
      <c r="C1688" s="3" t="s">
        <v>23</v>
      </c>
      <c r="D1688" s="3" t="s">
        <v>86</v>
      </c>
      <c r="E1688" s="3" t="s">
        <v>87</v>
      </c>
      <c r="F1688" s="3" t="s">
        <v>40</v>
      </c>
      <c r="G1688" s="3" t="n">
        <v>25</v>
      </c>
      <c r="H1688" s="4" t="n">
        <v>16.99</v>
      </c>
      <c r="I1688" s="4" t="n">
        <v>5.5</v>
      </c>
      <c r="J1688" s="5" t="n">
        <v>0</v>
      </c>
      <c r="K1688" s="4" t="n">
        <f aca="false">G1688*H1688*(1-J1688)</f>
        <v>424.75</v>
      </c>
      <c r="L1688" s="4" t="n">
        <f aca="false">G1688*I1688</f>
        <v>137.5</v>
      </c>
      <c r="M1688" s="4" t="n">
        <f aca="false">K1688-L1688</f>
        <v>287.25</v>
      </c>
      <c r="N1688" s="6" t="n">
        <f aca="false">IF(K1688=0,0,M1688/K1688)</f>
        <v>0.676280164802825</v>
      </c>
      <c r="O1688" s="4" t="n">
        <f aca="false">(G1688*H1688)-K1688</f>
        <v>0</v>
      </c>
      <c r="P1688" s="3" t="s">
        <v>21</v>
      </c>
    </row>
    <row r="1689" customFormat="false" ht="15" hidden="false" customHeight="false" outlineLevel="0" collapsed="false">
      <c r="A1689" s="7" t="n">
        <v>46100</v>
      </c>
      <c r="B1689" s="8" t="s">
        <v>64</v>
      </c>
      <c r="C1689" s="8" t="s">
        <v>65</v>
      </c>
      <c r="D1689" s="8" t="s">
        <v>29</v>
      </c>
      <c r="E1689" s="8" t="s">
        <v>30</v>
      </c>
      <c r="F1689" s="8" t="s">
        <v>20</v>
      </c>
      <c r="G1689" s="8" t="n">
        <v>2</v>
      </c>
      <c r="H1689" s="9" t="n">
        <v>79.99</v>
      </c>
      <c r="I1689" s="9" t="n">
        <v>42</v>
      </c>
      <c r="J1689" s="10" t="n">
        <v>0</v>
      </c>
      <c r="K1689" s="9" t="n">
        <f aca="false">G1689*H1689*(1-J1689)</f>
        <v>159.98</v>
      </c>
      <c r="L1689" s="9" t="n">
        <f aca="false">G1689*I1689</f>
        <v>84</v>
      </c>
      <c r="M1689" s="9" t="n">
        <f aca="false">K1689-L1689</f>
        <v>75.98</v>
      </c>
      <c r="N1689" s="11" t="n">
        <f aca="false">IF(K1689=0,0,M1689/K1689)</f>
        <v>0.474934366795849</v>
      </c>
      <c r="O1689" s="9" t="n">
        <f aca="false">(G1689*H1689)-K1689</f>
        <v>0</v>
      </c>
      <c r="P1689" s="8" t="s">
        <v>21</v>
      </c>
    </row>
    <row r="1690" customFormat="false" ht="15" hidden="false" customHeight="false" outlineLevel="0" collapsed="false">
      <c r="A1690" s="2" t="n">
        <v>46099</v>
      </c>
      <c r="B1690" s="3" t="s">
        <v>22</v>
      </c>
      <c r="C1690" s="3" t="s">
        <v>23</v>
      </c>
      <c r="D1690" s="3" t="s">
        <v>86</v>
      </c>
      <c r="E1690" s="3" t="s">
        <v>87</v>
      </c>
      <c r="F1690" s="3" t="s">
        <v>40</v>
      </c>
      <c r="G1690" s="3" t="n">
        <v>2</v>
      </c>
      <c r="H1690" s="4" t="n">
        <v>16.99</v>
      </c>
      <c r="I1690" s="4" t="n">
        <v>5.5</v>
      </c>
      <c r="J1690" s="5" t="n">
        <v>0</v>
      </c>
      <c r="K1690" s="4" t="n">
        <f aca="false">G1690*H1690*(1-J1690)</f>
        <v>33.98</v>
      </c>
      <c r="L1690" s="4" t="n">
        <f aca="false">G1690*I1690</f>
        <v>11</v>
      </c>
      <c r="M1690" s="4" t="n">
        <f aca="false">K1690-L1690</f>
        <v>22.98</v>
      </c>
      <c r="N1690" s="6" t="n">
        <f aca="false">IF(K1690=0,0,M1690/K1690)</f>
        <v>0.676280164802825</v>
      </c>
      <c r="O1690" s="4" t="n">
        <f aca="false">(G1690*H1690)-K1690</f>
        <v>0</v>
      </c>
      <c r="P1690" s="3" t="s">
        <v>21</v>
      </c>
    </row>
    <row r="1691" customFormat="false" ht="15" hidden="false" customHeight="false" outlineLevel="0" collapsed="false">
      <c r="A1691" s="7" t="n">
        <v>46026</v>
      </c>
      <c r="B1691" s="8" t="s">
        <v>27</v>
      </c>
      <c r="C1691" s="8" t="s">
        <v>28</v>
      </c>
      <c r="D1691" s="8" t="s">
        <v>66</v>
      </c>
      <c r="E1691" s="8" t="s">
        <v>67</v>
      </c>
      <c r="F1691" s="8" t="s">
        <v>57</v>
      </c>
      <c r="G1691" s="8" t="n">
        <v>3</v>
      </c>
      <c r="H1691" s="9" t="n">
        <v>14.99</v>
      </c>
      <c r="I1691" s="9" t="n">
        <v>5.5</v>
      </c>
      <c r="J1691" s="10" t="n">
        <v>0</v>
      </c>
      <c r="K1691" s="9" t="n">
        <f aca="false">G1691*H1691*(1-J1691)</f>
        <v>44.97</v>
      </c>
      <c r="L1691" s="9" t="n">
        <f aca="false">G1691*I1691</f>
        <v>16.5</v>
      </c>
      <c r="M1691" s="9" t="n">
        <f aca="false">K1691-L1691</f>
        <v>28.47</v>
      </c>
      <c r="N1691" s="11" t="n">
        <f aca="false">IF(K1691=0,0,M1691/K1691)</f>
        <v>0.633088725817211</v>
      </c>
      <c r="O1691" s="9" t="n">
        <f aca="false">(G1691*H1691)-K1691</f>
        <v>0</v>
      </c>
      <c r="P1691" s="8" t="s">
        <v>21</v>
      </c>
    </row>
    <row r="1692" customFormat="false" ht="15" hidden="false" customHeight="false" outlineLevel="0" collapsed="false">
      <c r="A1692" s="2" t="n">
        <v>46112</v>
      </c>
      <c r="B1692" s="3" t="s">
        <v>41</v>
      </c>
      <c r="C1692" s="3" t="s">
        <v>28</v>
      </c>
      <c r="D1692" s="3" t="s">
        <v>48</v>
      </c>
      <c r="E1692" s="3" t="s">
        <v>49</v>
      </c>
      <c r="F1692" s="3" t="s">
        <v>50</v>
      </c>
      <c r="G1692" s="3" t="n">
        <v>15</v>
      </c>
      <c r="H1692" s="4" t="n">
        <v>59.99</v>
      </c>
      <c r="I1692" s="4" t="n">
        <v>20</v>
      </c>
      <c r="J1692" s="5" t="n">
        <v>0.05</v>
      </c>
      <c r="K1692" s="4" t="n">
        <f aca="false">G1692*H1692*(1-J1692)</f>
        <v>854.8575</v>
      </c>
      <c r="L1692" s="4" t="n">
        <f aca="false">G1692*I1692</f>
        <v>300</v>
      </c>
      <c r="M1692" s="4" t="n">
        <f aca="false">K1692-L1692</f>
        <v>554.8575</v>
      </c>
      <c r="N1692" s="6" t="n">
        <f aca="false">IF(K1692=0,0,M1692/K1692)</f>
        <v>0.649064317737167</v>
      </c>
      <c r="O1692" s="4" t="n">
        <f aca="false">(G1692*H1692)-K1692</f>
        <v>44.9925000000001</v>
      </c>
      <c r="P1692" s="3" t="s">
        <v>21</v>
      </c>
    </row>
    <row r="1693" customFormat="false" ht="15" hidden="false" customHeight="false" outlineLevel="0" collapsed="false">
      <c r="A1693" s="7" t="n">
        <v>46029</v>
      </c>
      <c r="B1693" s="8" t="s">
        <v>22</v>
      </c>
      <c r="C1693" s="8" t="s">
        <v>23</v>
      </c>
      <c r="D1693" s="8" t="s">
        <v>95</v>
      </c>
      <c r="E1693" s="8" t="s">
        <v>96</v>
      </c>
      <c r="F1693" s="8" t="s">
        <v>50</v>
      </c>
      <c r="G1693" s="8" t="n">
        <v>8</v>
      </c>
      <c r="H1693" s="9" t="n">
        <v>34.99</v>
      </c>
      <c r="I1693" s="9" t="n">
        <v>12</v>
      </c>
      <c r="J1693" s="10" t="n">
        <v>0</v>
      </c>
      <c r="K1693" s="9" t="n">
        <f aca="false">G1693*H1693*(1-J1693)</f>
        <v>279.92</v>
      </c>
      <c r="L1693" s="9" t="n">
        <f aca="false">G1693*I1693</f>
        <v>96</v>
      </c>
      <c r="M1693" s="9" t="n">
        <f aca="false">K1693-L1693</f>
        <v>183.92</v>
      </c>
      <c r="N1693" s="11" t="n">
        <f aca="false">IF(K1693=0,0,M1693/K1693)</f>
        <v>0.657044869962847</v>
      </c>
      <c r="O1693" s="9" t="n">
        <f aca="false">(G1693*H1693)-K1693</f>
        <v>0</v>
      </c>
      <c r="P1693" s="8" t="s">
        <v>21</v>
      </c>
    </row>
    <row r="1694" customFormat="false" ht="15" hidden="false" customHeight="false" outlineLevel="0" collapsed="false">
      <c r="A1694" s="2" t="n">
        <v>46125</v>
      </c>
      <c r="B1694" s="3" t="s">
        <v>16</v>
      </c>
      <c r="C1694" s="3" t="s">
        <v>17</v>
      </c>
      <c r="D1694" s="3" t="s">
        <v>38</v>
      </c>
      <c r="E1694" s="3" t="s">
        <v>39</v>
      </c>
      <c r="F1694" s="3" t="s">
        <v>40</v>
      </c>
      <c r="G1694" s="3" t="n">
        <v>24</v>
      </c>
      <c r="H1694" s="4" t="n">
        <v>12.99</v>
      </c>
      <c r="I1694" s="4" t="n">
        <v>4</v>
      </c>
      <c r="J1694" s="5" t="n">
        <v>0</v>
      </c>
      <c r="K1694" s="4" t="n">
        <f aca="false">G1694*H1694*(1-J1694)</f>
        <v>311.76</v>
      </c>
      <c r="L1694" s="4" t="n">
        <f aca="false">G1694*I1694</f>
        <v>96</v>
      </c>
      <c r="M1694" s="4" t="n">
        <f aca="false">K1694-L1694</f>
        <v>215.76</v>
      </c>
      <c r="N1694" s="6" t="n">
        <f aca="false">IF(K1694=0,0,M1694/K1694)</f>
        <v>0.692070823710547</v>
      </c>
      <c r="O1694" s="4" t="n">
        <f aca="false">(G1694*H1694)-K1694</f>
        <v>0</v>
      </c>
      <c r="P1694" s="3" t="s">
        <v>21</v>
      </c>
    </row>
    <row r="1695" customFormat="false" ht="15" hidden="false" customHeight="false" outlineLevel="0" collapsed="false">
      <c r="A1695" s="7" t="n">
        <v>46112</v>
      </c>
      <c r="B1695" s="8" t="s">
        <v>27</v>
      </c>
      <c r="C1695" s="8" t="s">
        <v>28</v>
      </c>
      <c r="D1695" s="8" t="s">
        <v>72</v>
      </c>
      <c r="E1695" s="8" t="s">
        <v>73</v>
      </c>
      <c r="F1695" s="8" t="s">
        <v>57</v>
      </c>
      <c r="G1695" s="8" t="n">
        <v>1</v>
      </c>
      <c r="H1695" s="9" t="n">
        <v>19.99</v>
      </c>
      <c r="I1695" s="9" t="n">
        <v>7</v>
      </c>
      <c r="J1695" s="10" t="n">
        <v>0.2</v>
      </c>
      <c r="K1695" s="9" t="n">
        <f aca="false">G1695*H1695*(1-J1695)</f>
        <v>15.992</v>
      </c>
      <c r="L1695" s="9" t="n">
        <f aca="false">G1695*I1695</f>
        <v>7</v>
      </c>
      <c r="M1695" s="9" t="n">
        <f aca="false">K1695-L1695</f>
        <v>8.992</v>
      </c>
      <c r="N1695" s="11" t="n">
        <f aca="false">IF(K1695=0,0,M1695/K1695)</f>
        <v>0.562281140570285</v>
      </c>
      <c r="O1695" s="9" t="n">
        <f aca="false">(G1695*H1695)-K1695</f>
        <v>3.998</v>
      </c>
      <c r="P1695" s="8" t="s">
        <v>21</v>
      </c>
    </row>
    <row r="1696" customFormat="false" ht="15" hidden="false" customHeight="false" outlineLevel="0" collapsed="false">
      <c r="A1696" s="2" t="n">
        <v>46119</v>
      </c>
      <c r="B1696" s="3" t="s">
        <v>64</v>
      </c>
      <c r="C1696" s="3" t="s">
        <v>65</v>
      </c>
      <c r="D1696" s="3" t="s">
        <v>68</v>
      </c>
      <c r="E1696" s="3" t="s">
        <v>69</v>
      </c>
      <c r="F1696" s="3" t="s">
        <v>40</v>
      </c>
      <c r="G1696" s="3" t="n">
        <v>29</v>
      </c>
      <c r="H1696" s="4" t="n">
        <v>24.99</v>
      </c>
      <c r="I1696" s="4" t="n">
        <v>9</v>
      </c>
      <c r="J1696" s="5" t="n">
        <v>0.1</v>
      </c>
      <c r="K1696" s="4" t="n">
        <f aca="false">G1696*H1696*(1-J1696)</f>
        <v>652.239</v>
      </c>
      <c r="L1696" s="4" t="n">
        <f aca="false">G1696*I1696</f>
        <v>261</v>
      </c>
      <c r="M1696" s="4" t="n">
        <f aca="false">K1696-L1696</f>
        <v>391.239</v>
      </c>
      <c r="N1696" s="6" t="n">
        <f aca="false">IF(K1696=0,0,M1696/K1696)</f>
        <v>0.59983993597439</v>
      </c>
      <c r="O1696" s="4" t="n">
        <f aca="false">(G1696*H1696)-K1696</f>
        <v>72.471</v>
      </c>
      <c r="P1696" s="3" t="s">
        <v>21</v>
      </c>
    </row>
    <row r="1697" customFormat="false" ht="15" hidden="false" customHeight="false" outlineLevel="0" collapsed="false">
      <c r="A1697" s="7" t="n">
        <v>46114</v>
      </c>
      <c r="B1697" s="8" t="s">
        <v>27</v>
      </c>
      <c r="C1697" s="8" t="s">
        <v>28</v>
      </c>
      <c r="D1697" s="8" t="s">
        <v>76</v>
      </c>
      <c r="E1697" s="8" t="s">
        <v>77</v>
      </c>
      <c r="F1697" s="8" t="s">
        <v>34</v>
      </c>
      <c r="G1697" s="8" t="n">
        <v>12</v>
      </c>
      <c r="H1697" s="9" t="n">
        <v>49.99</v>
      </c>
      <c r="I1697" s="9" t="n">
        <v>14</v>
      </c>
      <c r="J1697" s="10" t="n">
        <v>0.3</v>
      </c>
      <c r="K1697" s="9" t="n">
        <f aca="false">G1697*H1697*(1-J1697)</f>
        <v>419.916</v>
      </c>
      <c r="L1697" s="9" t="n">
        <f aca="false">G1697*I1697</f>
        <v>168</v>
      </c>
      <c r="M1697" s="9" t="n">
        <f aca="false">K1697-L1697</f>
        <v>251.916</v>
      </c>
      <c r="N1697" s="11" t="n">
        <f aca="false">IF(K1697=0,0,M1697/K1697)</f>
        <v>0.599919983996799</v>
      </c>
      <c r="O1697" s="9" t="n">
        <f aca="false">(G1697*H1697)-K1697</f>
        <v>179.964</v>
      </c>
      <c r="P1697" s="8" t="s">
        <v>21</v>
      </c>
    </row>
    <row r="1698" customFormat="false" ht="15" hidden="false" customHeight="false" outlineLevel="0" collapsed="false">
      <c r="A1698" s="2" t="n">
        <v>46096</v>
      </c>
      <c r="B1698" s="3" t="s">
        <v>16</v>
      </c>
      <c r="C1698" s="3" t="s">
        <v>17</v>
      </c>
      <c r="D1698" s="3" t="s">
        <v>48</v>
      </c>
      <c r="E1698" s="3" t="s">
        <v>49</v>
      </c>
      <c r="F1698" s="3" t="s">
        <v>50</v>
      </c>
      <c r="G1698" s="3" t="n">
        <v>27</v>
      </c>
      <c r="H1698" s="4" t="n">
        <v>59.99</v>
      </c>
      <c r="I1698" s="4" t="n">
        <v>20</v>
      </c>
      <c r="J1698" s="5" t="n">
        <v>0</v>
      </c>
      <c r="K1698" s="4" t="n">
        <f aca="false">G1698*H1698*(1-J1698)</f>
        <v>1619.73</v>
      </c>
      <c r="L1698" s="4" t="n">
        <f aca="false">G1698*I1698</f>
        <v>540</v>
      </c>
      <c r="M1698" s="4" t="n">
        <f aca="false">K1698-L1698</f>
        <v>1079.73</v>
      </c>
      <c r="N1698" s="6" t="n">
        <f aca="false">IF(K1698=0,0,M1698/K1698)</f>
        <v>0.666611101850308</v>
      </c>
      <c r="O1698" s="4" t="n">
        <f aca="false">(G1698*H1698)-K1698</f>
        <v>0</v>
      </c>
      <c r="P1698" s="3" t="s">
        <v>21</v>
      </c>
    </row>
    <row r="1699" customFormat="false" ht="15" hidden="false" customHeight="false" outlineLevel="0" collapsed="false">
      <c r="A1699" s="7" t="n">
        <v>46069</v>
      </c>
      <c r="B1699" s="8" t="s">
        <v>31</v>
      </c>
      <c r="C1699" s="8" t="s">
        <v>23</v>
      </c>
      <c r="D1699" s="8" t="s">
        <v>84</v>
      </c>
      <c r="E1699" s="8" t="s">
        <v>85</v>
      </c>
      <c r="F1699" s="8" t="s">
        <v>20</v>
      </c>
      <c r="G1699" s="8" t="n">
        <v>25</v>
      </c>
      <c r="H1699" s="9" t="n">
        <v>34.99</v>
      </c>
      <c r="I1699" s="9" t="n">
        <v>13</v>
      </c>
      <c r="J1699" s="10" t="n">
        <v>0.05</v>
      </c>
      <c r="K1699" s="9" t="n">
        <f aca="false">G1699*H1699*(1-J1699)</f>
        <v>831.0125</v>
      </c>
      <c r="L1699" s="9" t="n">
        <f aca="false">G1699*I1699</f>
        <v>325</v>
      </c>
      <c r="M1699" s="9" t="n">
        <f aca="false">K1699-L1699</f>
        <v>506.0125</v>
      </c>
      <c r="N1699" s="11" t="n">
        <f aca="false">IF(K1699=0,0,M1699/K1699)</f>
        <v>0.608910816624299</v>
      </c>
      <c r="O1699" s="9" t="n">
        <f aca="false">(G1699*H1699)-K1699</f>
        <v>43.7375000000001</v>
      </c>
      <c r="P1699" s="8" t="s">
        <v>21</v>
      </c>
    </row>
    <row r="1700" customFormat="false" ht="15" hidden="false" customHeight="false" outlineLevel="0" collapsed="false">
      <c r="A1700" s="2" t="n">
        <v>46052</v>
      </c>
      <c r="B1700" s="3" t="s">
        <v>31</v>
      </c>
      <c r="C1700" s="3" t="s">
        <v>23</v>
      </c>
      <c r="D1700" s="3" t="s">
        <v>74</v>
      </c>
      <c r="E1700" s="3" t="s">
        <v>75</v>
      </c>
      <c r="F1700" s="3" t="s">
        <v>40</v>
      </c>
      <c r="G1700" s="3" t="n">
        <v>11</v>
      </c>
      <c r="H1700" s="4" t="n">
        <v>29.99</v>
      </c>
      <c r="I1700" s="4" t="n">
        <v>13</v>
      </c>
      <c r="J1700" s="5" t="n">
        <v>0.1</v>
      </c>
      <c r="K1700" s="4" t="n">
        <f aca="false">G1700*H1700*(1-J1700)</f>
        <v>296.901</v>
      </c>
      <c r="L1700" s="4" t="n">
        <f aca="false">G1700*I1700</f>
        <v>143</v>
      </c>
      <c r="M1700" s="4" t="n">
        <f aca="false">K1700-L1700</f>
        <v>153.901</v>
      </c>
      <c r="N1700" s="6" t="n">
        <f aca="false">IF(K1700=0,0,M1700/K1700)</f>
        <v>0.518357971175577</v>
      </c>
      <c r="O1700" s="4" t="n">
        <f aca="false">(G1700*H1700)-K1700</f>
        <v>32.989</v>
      </c>
      <c r="P1700" s="3" t="s">
        <v>21</v>
      </c>
    </row>
    <row r="1701" customFormat="false" ht="15" hidden="false" customHeight="false" outlineLevel="0" collapsed="false">
      <c r="A1701" s="7" t="n">
        <v>46088</v>
      </c>
      <c r="B1701" s="8" t="s">
        <v>31</v>
      </c>
      <c r="C1701" s="8" t="s">
        <v>23</v>
      </c>
      <c r="D1701" s="8" t="s">
        <v>66</v>
      </c>
      <c r="E1701" s="8" t="s">
        <v>67</v>
      </c>
      <c r="F1701" s="8" t="s">
        <v>57</v>
      </c>
      <c r="G1701" s="8" t="n">
        <v>4</v>
      </c>
      <c r="H1701" s="9" t="n">
        <v>14.99</v>
      </c>
      <c r="I1701" s="9" t="n">
        <v>5.5</v>
      </c>
      <c r="J1701" s="10" t="n">
        <v>0.05</v>
      </c>
      <c r="K1701" s="9" t="n">
        <f aca="false">G1701*H1701*(1-J1701)</f>
        <v>56.962</v>
      </c>
      <c r="L1701" s="9" t="n">
        <f aca="false">G1701*I1701</f>
        <v>22</v>
      </c>
      <c r="M1701" s="9" t="n">
        <f aca="false">K1701-L1701</f>
        <v>34.962</v>
      </c>
      <c r="N1701" s="11" t="n">
        <f aca="false">IF(K1701=0,0,M1701/K1701)</f>
        <v>0.613777606123381</v>
      </c>
      <c r="O1701" s="9" t="n">
        <f aca="false">(G1701*H1701)-K1701</f>
        <v>2.998</v>
      </c>
      <c r="P1701" s="8" t="s">
        <v>21</v>
      </c>
    </row>
    <row r="1702" customFormat="false" ht="15" hidden="false" customHeight="false" outlineLevel="0" collapsed="false">
      <c r="A1702" s="2" t="n">
        <v>46023</v>
      </c>
      <c r="B1702" s="3" t="s">
        <v>27</v>
      </c>
      <c r="C1702" s="3" t="s">
        <v>28</v>
      </c>
      <c r="D1702" s="3" t="s">
        <v>68</v>
      </c>
      <c r="E1702" s="3" t="s">
        <v>69</v>
      </c>
      <c r="F1702" s="3" t="s">
        <v>40</v>
      </c>
      <c r="G1702" s="3" t="n">
        <v>5</v>
      </c>
      <c r="H1702" s="4" t="n">
        <v>24.99</v>
      </c>
      <c r="I1702" s="4" t="n">
        <v>9</v>
      </c>
      <c r="J1702" s="5" t="n">
        <v>0</v>
      </c>
      <c r="K1702" s="4" t="n">
        <f aca="false">G1702*H1702*(1-J1702)</f>
        <v>124.95</v>
      </c>
      <c r="L1702" s="4" t="n">
        <f aca="false">G1702*I1702</f>
        <v>45</v>
      </c>
      <c r="M1702" s="4" t="n">
        <f aca="false">K1702-L1702</f>
        <v>79.95</v>
      </c>
      <c r="N1702" s="6" t="n">
        <f aca="false">IF(K1702=0,0,M1702/K1702)</f>
        <v>0.639855942376951</v>
      </c>
      <c r="O1702" s="4" t="n">
        <f aca="false">(G1702*H1702)-K1702</f>
        <v>0</v>
      </c>
      <c r="P1702" s="3" t="s">
        <v>21</v>
      </c>
    </row>
    <row r="1703" customFormat="false" ht="15" hidden="false" customHeight="false" outlineLevel="0" collapsed="false">
      <c r="A1703" s="7" t="n">
        <v>46073</v>
      </c>
      <c r="B1703" s="8" t="s">
        <v>31</v>
      </c>
      <c r="C1703" s="8" t="s">
        <v>23</v>
      </c>
      <c r="D1703" s="8" t="s">
        <v>55</v>
      </c>
      <c r="E1703" s="8" t="s">
        <v>56</v>
      </c>
      <c r="F1703" s="8" t="s">
        <v>57</v>
      </c>
      <c r="G1703" s="8" t="n">
        <v>19</v>
      </c>
      <c r="H1703" s="9" t="n">
        <v>29.99</v>
      </c>
      <c r="I1703" s="9" t="n">
        <v>11</v>
      </c>
      <c r="J1703" s="10" t="n">
        <v>0.2</v>
      </c>
      <c r="K1703" s="9" t="n">
        <f aca="false">G1703*H1703*(1-J1703)</f>
        <v>455.848</v>
      </c>
      <c r="L1703" s="9" t="n">
        <f aca="false">G1703*I1703</f>
        <v>209</v>
      </c>
      <c r="M1703" s="9" t="n">
        <f aca="false">K1703-L1703</f>
        <v>246.848</v>
      </c>
      <c r="N1703" s="11" t="n">
        <f aca="false">IF(K1703=0,0,M1703/K1703)</f>
        <v>0.541513837945982</v>
      </c>
      <c r="O1703" s="9" t="n">
        <f aca="false">(G1703*H1703)-K1703</f>
        <v>113.962</v>
      </c>
      <c r="P1703" s="8" t="s">
        <v>21</v>
      </c>
    </row>
    <row r="1704" customFormat="false" ht="15" hidden="false" customHeight="false" outlineLevel="0" collapsed="false">
      <c r="A1704" s="2" t="n">
        <v>46044</v>
      </c>
      <c r="B1704" s="3" t="s">
        <v>64</v>
      </c>
      <c r="C1704" s="3" t="s">
        <v>65</v>
      </c>
      <c r="D1704" s="3" t="s">
        <v>66</v>
      </c>
      <c r="E1704" s="3" t="s">
        <v>67</v>
      </c>
      <c r="F1704" s="3" t="s">
        <v>57</v>
      </c>
      <c r="G1704" s="3" t="n">
        <v>16</v>
      </c>
      <c r="H1704" s="4" t="n">
        <v>14.99</v>
      </c>
      <c r="I1704" s="4" t="n">
        <v>5.5</v>
      </c>
      <c r="J1704" s="5" t="n">
        <v>0</v>
      </c>
      <c r="K1704" s="4" t="n">
        <f aca="false">G1704*H1704*(1-J1704)</f>
        <v>239.84</v>
      </c>
      <c r="L1704" s="4" t="n">
        <f aca="false">G1704*I1704</f>
        <v>88</v>
      </c>
      <c r="M1704" s="4" t="n">
        <f aca="false">K1704-L1704</f>
        <v>151.84</v>
      </c>
      <c r="N1704" s="6" t="n">
        <f aca="false">IF(K1704=0,0,M1704/K1704)</f>
        <v>0.633088725817211</v>
      </c>
      <c r="O1704" s="4" t="n">
        <f aca="false">(G1704*H1704)-K1704</f>
        <v>0</v>
      </c>
      <c r="P1704" s="3" t="s">
        <v>21</v>
      </c>
    </row>
    <row r="1705" customFormat="false" ht="15" hidden="false" customHeight="false" outlineLevel="0" collapsed="false">
      <c r="A1705" s="7" t="n">
        <v>46104</v>
      </c>
      <c r="B1705" s="8" t="s">
        <v>27</v>
      </c>
      <c r="C1705" s="8" t="s">
        <v>28</v>
      </c>
      <c r="D1705" s="8" t="s">
        <v>95</v>
      </c>
      <c r="E1705" s="8" t="s">
        <v>96</v>
      </c>
      <c r="F1705" s="8" t="s">
        <v>50</v>
      </c>
      <c r="G1705" s="8" t="n">
        <v>6</v>
      </c>
      <c r="H1705" s="9" t="n">
        <v>34.99</v>
      </c>
      <c r="I1705" s="9" t="n">
        <v>12</v>
      </c>
      <c r="J1705" s="10" t="n">
        <v>0.2</v>
      </c>
      <c r="K1705" s="9" t="n">
        <f aca="false">G1705*H1705*(1-J1705)</f>
        <v>167.952</v>
      </c>
      <c r="L1705" s="9" t="n">
        <f aca="false">G1705*I1705</f>
        <v>72</v>
      </c>
      <c r="M1705" s="9" t="n">
        <f aca="false">K1705-L1705</f>
        <v>95.952</v>
      </c>
      <c r="N1705" s="11" t="n">
        <f aca="false">IF(K1705=0,0,M1705/K1705)</f>
        <v>0.571306087453558</v>
      </c>
      <c r="O1705" s="9" t="n">
        <f aca="false">(G1705*H1705)-K1705</f>
        <v>41.988</v>
      </c>
      <c r="P1705" s="8" t="s">
        <v>21</v>
      </c>
    </row>
    <row r="1706" customFormat="false" ht="15" hidden="false" customHeight="false" outlineLevel="0" collapsed="false">
      <c r="A1706" s="2" t="n">
        <v>46025</v>
      </c>
      <c r="B1706" s="3" t="s">
        <v>64</v>
      </c>
      <c r="C1706" s="3" t="s">
        <v>65</v>
      </c>
      <c r="D1706" s="3" t="s">
        <v>88</v>
      </c>
      <c r="E1706" s="3" t="s">
        <v>89</v>
      </c>
      <c r="F1706" s="3" t="s">
        <v>57</v>
      </c>
      <c r="G1706" s="3" t="n">
        <v>29</v>
      </c>
      <c r="H1706" s="4" t="n">
        <v>12.99</v>
      </c>
      <c r="I1706" s="4" t="n">
        <v>4.5</v>
      </c>
      <c r="J1706" s="5" t="n">
        <v>0.3</v>
      </c>
      <c r="K1706" s="4" t="n">
        <f aca="false">G1706*H1706*(1-J1706)</f>
        <v>263.697</v>
      </c>
      <c r="L1706" s="4" t="n">
        <f aca="false">G1706*I1706</f>
        <v>130.5</v>
      </c>
      <c r="M1706" s="4" t="n">
        <f aca="false">K1706-L1706</f>
        <v>133.197</v>
      </c>
      <c r="N1706" s="6" t="n">
        <f aca="false">IF(K1706=0,0,M1706/K1706)</f>
        <v>0.505113823820521</v>
      </c>
      <c r="O1706" s="4" t="n">
        <f aca="false">(G1706*H1706)-K1706</f>
        <v>113.013</v>
      </c>
      <c r="P1706" s="3" t="s">
        <v>21</v>
      </c>
    </row>
    <row r="1707" customFormat="false" ht="15" hidden="false" customHeight="false" outlineLevel="0" collapsed="false">
      <c r="A1707" s="7" t="n">
        <v>46084</v>
      </c>
      <c r="B1707" s="8" t="s">
        <v>64</v>
      </c>
      <c r="C1707" s="8" t="s">
        <v>65</v>
      </c>
      <c r="D1707" s="8" t="s">
        <v>59</v>
      </c>
      <c r="E1707" s="8" t="s">
        <v>60</v>
      </c>
      <c r="F1707" s="8" t="s">
        <v>50</v>
      </c>
      <c r="G1707" s="8" t="n">
        <v>28</v>
      </c>
      <c r="H1707" s="9" t="n">
        <v>24.99</v>
      </c>
      <c r="I1707" s="9" t="n">
        <v>8.5</v>
      </c>
      <c r="J1707" s="10" t="n">
        <v>0</v>
      </c>
      <c r="K1707" s="9" t="n">
        <f aca="false">G1707*H1707*(1-J1707)</f>
        <v>699.72</v>
      </c>
      <c r="L1707" s="9" t="n">
        <f aca="false">G1707*I1707</f>
        <v>238</v>
      </c>
      <c r="M1707" s="9" t="n">
        <f aca="false">K1707-L1707</f>
        <v>461.72</v>
      </c>
      <c r="N1707" s="11" t="n">
        <f aca="false">IF(K1707=0,0,M1707/K1707)</f>
        <v>0.659863945578231</v>
      </c>
      <c r="O1707" s="9" t="n">
        <f aca="false">(G1707*H1707)-K1707</f>
        <v>0</v>
      </c>
      <c r="P1707" s="8" t="s">
        <v>21</v>
      </c>
    </row>
    <row r="1708" customFormat="false" ht="15" hidden="false" customHeight="false" outlineLevel="0" collapsed="false">
      <c r="A1708" s="2" t="n">
        <v>46112</v>
      </c>
      <c r="B1708" s="3" t="s">
        <v>27</v>
      </c>
      <c r="C1708" s="3" t="s">
        <v>28</v>
      </c>
      <c r="D1708" s="3" t="s">
        <v>44</v>
      </c>
      <c r="E1708" s="3" t="s">
        <v>45</v>
      </c>
      <c r="F1708" s="3" t="s">
        <v>40</v>
      </c>
      <c r="G1708" s="3" t="n">
        <v>23</v>
      </c>
      <c r="H1708" s="4" t="n">
        <v>29.99</v>
      </c>
      <c r="I1708" s="4" t="n">
        <v>11</v>
      </c>
      <c r="J1708" s="5" t="n">
        <v>0.2</v>
      </c>
      <c r="K1708" s="4" t="n">
        <f aca="false">G1708*H1708*(1-J1708)</f>
        <v>551.816</v>
      </c>
      <c r="L1708" s="4" t="n">
        <f aca="false">G1708*I1708</f>
        <v>253</v>
      </c>
      <c r="M1708" s="4" t="n">
        <f aca="false">K1708-L1708</f>
        <v>298.816</v>
      </c>
      <c r="N1708" s="6" t="n">
        <f aca="false">IF(K1708=0,0,M1708/K1708)</f>
        <v>0.541513837945982</v>
      </c>
      <c r="O1708" s="4" t="n">
        <f aca="false">(G1708*H1708)-K1708</f>
        <v>137.954</v>
      </c>
      <c r="P1708" s="3" t="s">
        <v>21</v>
      </c>
    </row>
    <row r="1709" customFormat="false" ht="15" hidden="false" customHeight="false" outlineLevel="0" collapsed="false">
      <c r="A1709" s="7" t="n">
        <v>46132</v>
      </c>
      <c r="B1709" s="8" t="s">
        <v>37</v>
      </c>
      <c r="C1709" s="8" t="s">
        <v>17</v>
      </c>
      <c r="D1709" s="8" t="s">
        <v>32</v>
      </c>
      <c r="E1709" s="8" t="s">
        <v>33</v>
      </c>
      <c r="F1709" s="8" t="s">
        <v>34</v>
      </c>
      <c r="G1709" s="8" t="n">
        <v>8</v>
      </c>
      <c r="H1709" s="9" t="n">
        <v>18.99</v>
      </c>
      <c r="I1709" s="9" t="n">
        <v>6</v>
      </c>
      <c r="J1709" s="10" t="n">
        <v>0.3</v>
      </c>
      <c r="K1709" s="9" t="n">
        <f aca="false">G1709*H1709*(1-J1709)</f>
        <v>106.344</v>
      </c>
      <c r="L1709" s="9" t="n">
        <f aca="false">G1709*I1709</f>
        <v>48</v>
      </c>
      <c r="M1709" s="9" t="n">
        <f aca="false">K1709-L1709</f>
        <v>58.344</v>
      </c>
      <c r="N1709" s="11" t="n">
        <f aca="false">IF(K1709=0,0,M1709/K1709)</f>
        <v>0.548634619724667</v>
      </c>
      <c r="O1709" s="9" t="n">
        <f aca="false">(G1709*H1709)-K1709</f>
        <v>45.576</v>
      </c>
      <c r="P1709" s="8" t="s">
        <v>21</v>
      </c>
    </row>
    <row r="1710" customFormat="false" ht="15" hidden="false" customHeight="false" outlineLevel="0" collapsed="false">
      <c r="A1710" s="2" t="n">
        <v>46131</v>
      </c>
      <c r="B1710" s="3" t="s">
        <v>41</v>
      </c>
      <c r="C1710" s="3" t="s">
        <v>28</v>
      </c>
      <c r="D1710" s="3" t="s">
        <v>46</v>
      </c>
      <c r="E1710" s="3" t="s">
        <v>47</v>
      </c>
      <c r="F1710" s="3" t="s">
        <v>20</v>
      </c>
      <c r="G1710" s="3" t="n">
        <v>2</v>
      </c>
      <c r="H1710" s="4" t="n">
        <v>44.99</v>
      </c>
      <c r="I1710" s="4" t="n">
        <v>18</v>
      </c>
      <c r="J1710" s="5" t="n">
        <v>0.15</v>
      </c>
      <c r="K1710" s="4" t="n">
        <f aca="false">G1710*H1710*(1-J1710)</f>
        <v>76.483</v>
      </c>
      <c r="L1710" s="4" t="n">
        <f aca="false">G1710*I1710</f>
        <v>36</v>
      </c>
      <c r="M1710" s="4" t="n">
        <f aca="false">K1710-L1710</f>
        <v>40.483</v>
      </c>
      <c r="N1710" s="6" t="n">
        <f aca="false">IF(K1710=0,0,M1710/K1710)</f>
        <v>0.529307166298393</v>
      </c>
      <c r="O1710" s="4" t="n">
        <f aca="false">(G1710*H1710)-K1710</f>
        <v>13.497</v>
      </c>
      <c r="P1710" s="3" t="s">
        <v>21</v>
      </c>
    </row>
    <row r="1711" customFormat="false" ht="15" hidden="false" customHeight="false" outlineLevel="0" collapsed="false">
      <c r="A1711" s="7" t="n">
        <v>46125</v>
      </c>
      <c r="B1711" s="8" t="s">
        <v>37</v>
      </c>
      <c r="C1711" s="8" t="s">
        <v>17</v>
      </c>
      <c r="D1711" s="8" t="s">
        <v>32</v>
      </c>
      <c r="E1711" s="8" t="s">
        <v>33</v>
      </c>
      <c r="F1711" s="8" t="s">
        <v>34</v>
      </c>
      <c r="G1711" s="8" t="n">
        <v>26</v>
      </c>
      <c r="H1711" s="9" t="n">
        <v>18.99</v>
      </c>
      <c r="I1711" s="9" t="n">
        <v>6</v>
      </c>
      <c r="J1711" s="10" t="n">
        <v>0.2</v>
      </c>
      <c r="K1711" s="9" t="n">
        <f aca="false">G1711*H1711*(1-J1711)</f>
        <v>394.992</v>
      </c>
      <c r="L1711" s="9" t="n">
        <f aca="false">G1711*I1711</f>
        <v>156</v>
      </c>
      <c r="M1711" s="9" t="n">
        <f aca="false">K1711-L1711</f>
        <v>238.992</v>
      </c>
      <c r="N1711" s="11" t="n">
        <f aca="false">IF(K1711=0,0,M1711/K1711)</f>
        <v>0.605055292259084</v>
      </c>
      <c r="O1711" s="9" t="n">
        <f aca="false">(G1711*H1711)-K1711</f>
        <v>98.748</v>
      </c>
      <c r="P1711" s="8" t="s">
        <v>21</v>
      </c>
    </row>
    <row r="1712" customFormat="false" ht="15" hidden="false" customHeight="false" outlineLevel="0" collapsed="false">
      <c r="A1712" s="2" t="n">
        <v>46055</v>
      </c>
      <c r="B1712" s="3" t="s">
        <v>22</v>
      </c>
      <c r="C1712" s="3" t="s">
        <v>23</v>
      </c>
      <c r="D1712" s="3" t="s">
        <v>93</v>
      </c>
      <c r="E1712" s="3" t="s">
        <v>94</v>
      </c>
      <c r="F1712" s="3" t="s">
        <v>34</v>
      </c>
      <c r="G1712" s="3" t="n">
        <v>1</v>
      </c>
      <c r="H1712" s="4" t="n">
        <v>29.99</v>
      </c>
      <c r="I1712" s="4" t="n">
        <v>9</v>
      </c>
      <c r="J1712" s="5" t="n">
        <v>0</v>
      </c>
      <c r="K1712" s="4" t="n">
        <f aca="false">G1712*H1712*(1-J1712)</f>
        <v>29.99</v>
      </c>
      <c r="L1712" s="4" t="n">
        <f aca="false">G1712*I1712</f>
        <v>9</v>
      </c>
      <c r="M1712" s="4" t="n">
        <f aca="false">K1712-L1712</f>
        <v>20.99</v>
      </c>
      <c r="N1712" s="6" t="n">
        <f aca="false">IF(K1712=0,0,M1712/K1712)</f>
        <v>0.699899966655552</v>
      </c>
      <c r="O1712" s="4" t="n">
        <f aca="false">(G1712*H1712)-K1712</f>
        <v>0</v>
      </c>
      <c r="P1712" s="3" t="s">
        <v>21</v>
      </c>
    </row>
    <row r="1713" customFormat="false" ht="15" hidden="false" customHeight="false" outlineLevel="0" collapsed="false">
      <c r="A1713" s="7" t="n">
        <v>46042</v>
      </c>
      <c r="B1713" s="8" t="s">
        <v>37</v>
      </c>
      <c r="C1713" s="8" t="s">
        <v>17</v>
      </c>
      <c r="D1713" s="8" t="s">
        <v>38</v>
      </c>
      <c r="E1713" s="8" t="s">
        <v>39</v>
      </c>
      <c r="F1713" s="8" t="s">
        <v>40</v>
      </c>
      <c r="G1713" s="8" t="n">
        <v>3</v>
      </c>
      <c r="H1713" s="9" t="n">
        <v>12.99</v>
      </c>
      <c r="I1713" s="9" t="n">
        <v>4</v>
      </c>
      <c r="J1713" s="10" t="n">
        <v>0</v>
      </c>
      <c r="K1713" s="9" t="n">
        <f aca="false">G1713*H1713*(1-J1713)</f>
        <v>38.97</v>
      </c>
      <c r="L1713" s="9" t="n">
        <f aca="false">G1713*I1713</f>
        <v>12</v>
      </c>
      <c r="M1713" s="9" t="n">
        <f aca="false">K1713-L1713</f>
        <v>26.97</v>
      </c>
      <c r="N1713" s="11" t="n">
        <f aca="false">IF(K1713=0,0,M1713/K1713)</f>
        <v>0.692070823710547</v>
      </c>
      <c r="O1713" s="9" t="n">
        <f aca="false">(G1713*H1713)-K1713</f>
        <v>0</v>
      </c>
      <c r="P1713" s="8" t="s">
        <v>21</v>
      </c>
    </row>
    <row r="1714" customFormat="false" ht="15" hidden="false" customHeight="false" outlineLevel="0" collapsed="false">
      <c r="A1714" s="2" t="n">
        <v>46109</v>
      </c>
      <c r="B1714" s="3" t="s">
        <v>22</v>
      </c>
      <c r="C1714" s="3" t="s">
        <v>23</v>
      </c>
      <c r="D1714" s="3" t="s">
        <v>90</v>
      </c>
      <c r="E1714" s="3" t="s">
        <v>91</v>
      </c>
      <c r="F1714" s="3" t="s">
        <v>26</v>
      </c>
      <c r="G1714" s="3" t="n">
        <v>1</v>
      </c>
      <c r="H1714" s="4" t="n">
        <v>24.99</v>
      </c>
      <c r="I1714" s="4" t="n">
        <v>11</v>
      </c>
      <c r="J1714" s="5" t="n">
        <v>0.1</v>
      </c>
      <c r="K1714" s="4" t="n">
        <f aca="false">G1714*H1714*(1-J1714)</f>
        <v>22.491</v>
      </c>
      <c r="L1714" s="4" t="n">
        <f aca="false">G1714*I1714</f>
        <v>11</v>
      </c>
      <c r="M1714" s="4" t="n">
        <f aca="false">K1714-L1714</f>
        <v>11.491</v>
      </c>
      <c r="N1714" s="6" t="n">
        <f aca="false">IF(K1714=0,0,M1714/K1714)</f>
        <v>0.510915477302032</v>
      </c>
      <c r="O1714" s="4" t="n">
        <f aca="false">(G1714*H1714)-K1714</f>
        <v>2.499</v>
      </c>
      <c r="P1714" s="3" t="s">
        <v>21</v>
      </c>
    </row>
    <row r="1715" customFormat="false" ht="15" hidden="false" customHeight="false" outlineLevel="0" collapsed="false">
      <c r="A1715" s="7" t="n">
        <v>46113</v>
      </c>
      <c r="B1715" s="8" t="s">
        <v>37</v>
      </c>
      <c r="C1715" s="8" t="s">
        <v>17</v>
      </c>
      <c r="D1715" s="8" t="s">
        <v>51</v>
      </c>
      <c r="E1715" s="8" t="s">
        <v>52</v>
      </c>
      <c r="F1715" s="8" t="s">
        <v>50</v>
      </c>
      <c r="G1715" s="8" t="n">
        <v>17</v>
      </c>
      <c r="H1715" s="9" t="n">
        <v>19.99</v>
      </c>
      <c r="I1715" s="9" t="n">
        <v>7</v>
      </c>
      <c r="J1715" s="10" t="n">
        <v>0.05</v>
      </c>
      <c r="K1715" s="9" t="n">
        <f aca="false">G1715*H1715*(1-J1715)</f>
        <v>322.8385</v>
      </c>
      <c r="L1715" s="9" t="n">
        <f aca="false">G1715*I1715</f>
        <v>119</v>
      </c>
      <c r="M1715" s="9" t="n">
        <f aca="false">K1715-L1715</f>
        <v>203.8385</v>
      </c>
      <c r="N1715" s="11" t="n">
        <f aca="false">IF(K1715=0,0,M1715/K1715)</f>
        <v>0.631394644690766</v>
      </c>
      <c r="O1715" s="9" t="n">
        <f aca="false">(G1715*H1715)-K1715</f>
        <v>16.9915</v>
      </c>
      <c r="P1715" s="8" t="s">
        <v>21</v>
      </c>
    </row>
    <row r="1716" customFormat="false" ht="15" hidden="false" customHeight="false" outlineLevel="0" collapsed="false">
      <c r="A1716" s="2" t="n">
        <v>46095</v>
      </c>
      <c r="B1716" s="3" t="s">
        <v>16</v>
      </c>
      <c r="C1716" s="3" t="s">
        <v>17</v>
      </c>
      <c r="D1716" s="3" t="s">
        <v>86</v>
      </c>
      <c r="E1716" s="3" t="s">
        <v>87</v>
      </c>
      <c r="F1716" s="3" t="s">
        <v>40</v>
      </c>
      <c r="G1716" s="3" t="n">
        <v>4</v>
      </c>
      <c r="H1716" s="4" t="n">
        <v>16.99</v>
      </c>
      <c r="I1716" s="4" t="n">
        <v>5.5</v>
      </c>
      <c r="J1716" s="5" t="n">
        <v>0</v>
      </c>
      <c r="K1716" s="4" t="n">
        <f aca="false">G1716*H1716*(1-J1716)</f>
        <v>67.96</v>
      </c>
      <c r="L1716" s="4" t="n">
        <f aca="false">G1716*I1716</f>
        <v>22</v>
      </c>
      <c r="M1716" s="4" t="n">
        <f aca="false">K1716-L1716</f>
        <v>45.96</v>
      </c>
      <c r="N1716" s="6" t="n">
        <f aca="false">IF(K1716=0,0,M1716/K1716)</f>
        <v>0.676280164802825</v>
      </c>
      <c r="O1716" s="4" t="n">
        <f aca="false">(G1716*H1716)-K1716</f>
        <v>0</v>
      </c>
      <c r="P1716" s="3" t="s">
        <v>21</v>
      </c>
    </row>
    <row r="1717" customFormat="false" ht="15" hidden="false" customHeight="false" outlineLevel="0" collapsed="false">
      <c r="A1717" s="7" t="n">
        <v>46125</v>
      </c>
      <c r="B1717" s="8" t="s">
        <v>41</v>
      </c>
      <c r="C1717" s="8" t="s">
        <v>28</v>
      </c>
      <c r="D1717" s="8" t="s">
        <v>78</v>
      </c>
      <c r="E1717" s="8" t="s">
        <v>79</v>
      </c>
      <c r="F1717" s="8" t="s">
        <v>20</v>
      </c>
      <c r="G1717" s="8" t="n">
        <v>1</v>
      </c>
      <c r="H1717" s="9" t="n">
        <v>42.99</v>
      </c>
      <c r="I1717" s="9" t="n">
        <v>16</v>
      </c>
      <c r="J1717" s="10" t="n">
        <v>0</v>
      </c>
      <c r="K1717" s="9" t="n">
        <f aca="false">G1717*H1717*(1-J1717)</f>
        <v>42.99</v>
      </c>
      <c r="L1717" s="9" t="n">
        <f aca="false">G1717*I1717</f>
        <v>16</v>
      </c>
      <c r="M1717" s="9" t="n">
        <f aca="false">K1717-L1717</f>
        <v>26.99</v>
      </c>
      <c r="N1717" s="11" t="n">
        <f aca="false">IF(K1717=0,0,M1717/K1717)</f>
        <v>0.627820423354269</v>
      </c>
      <c r="O1717" s="9" t="n">
        <f aca="false">(G1717*H1717)-K1717</f>
        <v>0</v>
      </c>
      <c r="P1717" s="8" t="s">
        <v>21</v>
      </c>
    </row>
    <row r="1718" customFormat="false" ht="15" hidden="false" customHeight="false" outlineLevel="0" collapsed="false">
      <c r="A1718" s="2" t="n">
        <v>46090</v>
      </c>
      <c r="B1718" s="3" t="s">
        <v>37</v>
      </c>
      <c r="C1718" s="3" t="s">
        <v>17</v>
      </c>
      <c r="D1718" s="3" t="s">
        <v>29</v>
      </c>
      <c r="E1718" s="3" t="s">
        <v>30</v>
      </c>
      <c r="F1718" s="3" t="s">
        <v>20</v>
      </c>
      <c r="G1718" s="3" t="n">
        <v>17</v>
      </c>
      <c r="H1718" s="4" t="n">
        <v>79.99</v>
      </c>
      <c r="I1718" s="4" t="n">
        <v>42</v>
      </c>
      <c r="J1718" s="5" t="n">
        <v>0</v>
      </c>
      <c r="K1718" s="4" t="n">
        <f aca="false">G1718*H1718*(1-J1718)</f>
        <v>1359.83</v>
      </c>
      <c r="L1718" s="4" t="n">
        <f aca="false">G1718*I1718</f>
        <v>714</v>
      </c>
      <c r="M1718" s="4" t="n">
        <f aca="false">K1718-L1718</f>
        <v>645.83</v>
      </c>
      <c r="N1718" s="6" t="n">
        <f aca="false">IF(K1718=0,0,M1718/K1718)</f>
        <v>0.474934366795849</v>
      </c>
      <c r="O1718" s="4" t="n">
        <f aca="false">(G1718*H1718)-K1718</f>
        <v>0</v>
      </c>
      <c r="P1718" s="3" t="s">
        <v>21</v>
      </c>
    </row>
    <row r="1719" customFormat="false" ht="15" hidden="false" customHeight="false" outlineLevel="0" collapsed="false">
      <c r="A1719" s="7" t="n">
        <v>46045</v>
      </c>
      <c r="B1719" s="8" t="s">
        <v>27</v>
      </c>
      <c r="C1719" s="8" t="s">
        <v>28</v>
      </c>
      <c r="D1719" s="8" t="s">
        <v>59</v>
      </c>
      <c r="E1719" s="8" t="s">
        <v>60</v>
      </c>
      <c r="F1719" s="8" t="s">
        <v>50</v>
      </c>
      <c r="G1719" s="8" t="n">
        <v>3</v>
      </c>
      <c r="H1719" s="9" t="n">
        <v>24.99</v>
      </c>
      <c r="I1719" s="9" t="n">
        <v>8.5</v>
      </c>
      <c r="J1719" s="10" t="n">
        <v>0.25</v>
      </c>
      <c r="K1719" s="9" t="n">
        <f aca="false">G1719*H1719*(1-J1719)</f>
        <v>56.2275</v>
      </c>
      <c r="L1719" s="9" t="n">
        <f aca="false">G1719*I1719</f>
        <v>25.5</v>
      </c>
      <c r="M1719" s="9" t="n">
        <f aca="false">K1719-L1719</f>
        <v>30.7275</v>
      </c>
      <c r="N1719" s="11" t="n">
        <f aca="false">IF(K1719=0,0,M1719/K1719)</f>
        <v>0.546485260770975</v>
      </c>
      <c r="O1719" s="9" t="n">
        <f aca="false">(G1719*H1719)-K1719</f>
        <v>18.7425</v>
      </c>
      <c r="P1719" s="8" t="s">
        <v>21</v>
      </c>
    </row>
    <row r="1720" customFormat="false" ht="15" hidden="false" customHeight="false" outlineLevel="0" collapsed="false">
      <c r="A1720" s="2" t="n">
        <v>46082</v>
      </c>
      <c r="B1720" s="3" t="s">
        <v>41</v>
      </c>
      <c r="C1720" s="3" t="s">
        <v>28</v>
      </c>
      <c r="D1720" s="3" t="s">
        <v>72</v>
      </c>
      <c r="E1720" s="3" t="s">
        <v>73</v>
      </c>
      <c r="F1720" s="3" t="s">
        <v>57</v>
      </c>
      <c r="G1720" s="3" t="n">
        <v>4</v>
      </c>
      <c r="H1720" s="4" t="n">
        <v>19.99</v>
      </c>
      <c r="I1720" s="4" t="n">
        <v>7</v>
      </c>
      <c r="J1720" s="5" t="n">
        <v>0.15</v>
      </c>
      <c r="K1720" s="4" t="n">
        <f aca="false">G1720*H1720*(1-J1720)</f>
        <v>67.966</v>
      </c>
      <c r="L1720" s="4" t="n">
        <f aca="false">G1720*I1720</f>
        <v>28</v>
      </c>
      <c r="M1720" s="4" t="n">
        <f aca="false">K1720-L1720</f>
        <v>39.966</v>
      </c>
      <c r="N1720" s="6" t="n">
        <f aca="false">IF(K1720=0,0,M1720/K1720)</f>
        <v>0.588029308772033</v>
      </c>
      <c r="O1720" s="4" t="n">
        <f aca="false">(G1720*H1720)-K1720</f>
        <v>11.994</v>
      </c>
      <c r="P1720" s="3" t="s">
        <v>21</v>
      </c>
    </row>
    <row r="1721" customFormat="false" ht="15" hidden="false" customHeight="false" outlineLevel="0" collapsed="false">
      <c r="A1721" s="7" t="n">
        <v>46031</v>
      </c>
      <c r="B1721" s="8" t="s">
        <v>16</v>
      </c>
      <c r="C1721" s="8" t="s">
        <v>17</v>
      </c>
      <c r="D1721" s="8" t="s">
        <v>35</v>
      </c>
      <c r="E1721" s="8" t="s">
        <v>36</v>
      </c>
      <c r="F1721" s="8" t="s">
        <v>26</v>
      </c>
      <c r="G1721" s="8" t="n">
        <v>20</v>
      </c>
      <c r="H1721" s="9" t="n">
        <v>69.99</v>
      </c>
      <c r="I1721" s="9" t="n">
        <v>30</v>
      </c>
      <c r="J1721" s="10" t="n">
        <v>0.3</v>
      </c>
      <c r="K1721" s="9" t="n">
        <f aca="false">G1721*H1721*(1-J1721)</f>
        <v>979.86</v>
      </c>
      <c r="L1721" s="9" t="n">
        <f aca="false">G1721*I1721</f>
        <v>600</v>
      </c>
      <c r="M1721" s="9" t="n">
        <f aca="false">K1721-L1721</f>
        <v>379.86</v>
      </c>
      <c r="N1721" s="11" t="n">
        <f aca="false">IF(K1721=0,0,M1721/K1721)</f>
        <v>0.387667625987386</v>
      </c>
      <c r="O1721" s="9" t="n">
        <f aca="false">(G1721*H1721)-K1721</f>
        <v>419.94</v>
      </c>
      <c r="P1721" s="8" t="s">
        <v>21</v>
      </c>
    </row>
    <row r="1722" customFormat="false" ht="15" hidden="false" customHeight="false" outlineLevel="0" collapsed="false">
      <c r="A1722" s="2" t="n">
        <v>46041</v>
      </c>
      <c r="B1722" s="3" t="s">
        <v>58</v>
      </c>
      <c r="C1722" s="3" t="s">
        <v>58</v>
      </c>
      <c r="D1722" s="3" t="s">
        <v>48</v>
      </c>
      <c r="E1722" s="3" t="s">
        <v>49</v>
      </c>
      <c r="F1722" s="3" t="s">
        <v>50</v>
      </c>
      <c r="G1722" s="3" t="n">
        <v>23</v>
      </c>
      <c r="H1722" s="4" t="n">
        <v>54.99</v>
      </c>
      <c r="I1722" s="4" t="n">
        <v>20</v>
      </c>
      <c r="J1722" s="5" t="n">
        <v>0</v>
      </c>
      <c r="K1722" s="4" t="n">
        <f aca="false">G1722*H1722*(1-J1722)</f>
        <v>1264.77</v>
      </c>
      <c r="L1722" s="4" t="n">
        <f aca="false">G1722*I1722</f>
        <v>460</v>
      </c>
      <c r="M1722" s="4" t="n">
        <f aca="false">K1722-L1722</f>
        <v>804.77</v>
      </c>
      <c r="N1722" s="6" t="n">
        <f aca="false">IF(K1722=0,0,M1722/K1722)</f>
        <v>0.636297508637934</v>
      </c>
      <c r="O1722" s="4" t="n">
        <f aca="false">(G1722*H1722)-K1722</f>
        <v>0</v>
      </c>
      <c r="P1722" s="3" t="s">
        <v>21</v>
      </c>
    </row>
    <row r="1723" customFormat="false" ht="15" hidden="false" customHeight="false" outlineLevel="0" collapsed="false">
      <c r="A1723" s="7" t="n">
        <v>46025</v>
      </c>
      <c r="B1723" s="8" t="s">
        <v>27</v>
      </c>
      <c r="C1723" s="8" t="s">
        <v>28</v>
      </c>
      <c r="D1723" s="8" t="s">
        <v>38</v>
      </c>
      <c r="E1723" s="8" t="s">
        <v>39</v>
      </c>
      <c r="F1723" s="8" t="s">
        <v>40</v>
      </c>
      <c r="G1723" s="8" t="n">
        <v>18</v>
      </c>
      <c r="H1723" s="9" t="n">
        <v>12.99</v>
      </c>
      <c r="I1723" s="9" t="n">
        <v>4</v>
      </c>
      <c r="J1723" s="10" t="n">
        <v>0.2</v>
      </c>
      <c r="K1723" s="9" t="n">
        <f aca="false">G1723*H1723*(1-J1723)</f>
        <v>187.056</v>
      </c>
      <c r="L1723" s="9" t="n">
        <f aca="false">G1723*I1723</f>
        <v>72</v>
      </c>
      <c r="M1723" s="9" t="n">
        <f aca="false">K1723-L1723</f>
        <v>115.056</v>
      </c>
      <c r="N1723" s="11" t="n">
        <f aca="false">IF(K1723=0,0,M1723/K1723)</f>
        <v>0.615088529638183</v>
      </c>
      <c r="O1723" s="9" t="n">
        <f aca="false">(G1723*H1723)-K1723</f>
        <v>46.764</v>
      </c>
      <c r="P1723" s="8" t="s">
        <v>21</v>
      </c>
    </row>
    <row r="1724" customFormat="false" ht="15" hidden="false" customHeight="false" outlineLevel="0" collapsed="false">
      <c r="A1724" s="2" t="n">
        <v>46114</v>
      </c>
      <c r="B1724" s="3" t="s">
        <v>64</v>
      </c>
      <c r="C1724" s="3" t="s">
        <v>65</v>
      </c>
      <c r="D1724" s="3" t="s">
        <v>44</v>
      </c>
      <c r="E1724" s="3" t="s">
        <v>45</v>
      </c>
      <c r="F1724" s="3" t="s">
        <v>40</v>
      </c>
      <c r="G1724" s="3" t="n">
        <v>13</v>
      </c>
      <c r="H1724" s="4" t="n">
        <v>29.99</v>
      </c>
      <c r="I1724" s="4" t="n">
        <v>11</v>
      </c>
      <c r="J1724" s="5" t="n">
        <v>0</v>
      </c>
      <c r="K1724" s="4" t="n">
        <f aca="false">G1724*H1724*(1-J1724)</f>
        <v>389.87</v>
      </c>
      <c r="L1724" s="4" t="n">
        <f aca="false">G1724*I1724</f>
        <v>143</v>
      </c>
      <c r="M1724" s="4" t="n">
        <f aca="false">K1724-L1724</f>
        <v>246.87</v>
      </c>
      <c r="N1724" s="6" t="n">
        <f aca="false">IF(K1724=0,0,M1724/K1724)</f>
        <v>0.633211070356786</v>
      </c>
      <c r="O1724" s="4" t="n">
        <f aca="false">(G1724*H1724)-K1724</f>
        <v>0</v>
      </c>
      <c r="P1724" s="3" t="s">
        <v>21</v>
      </c>
    </row>
    <row r="1725" customFormat="false" ht="15" hidden="false" customHeight="false" outlineLevel="0" collapsed="false">
      <c r="A1725" s="7" t="n">
        <v>46104</v>
      </c>
      <c r="B1725" s="8" t="s">
        <v>22</v>
      </c>
      <c r="C1725" s="8" t="s">
        <v>23</v>
      </c>
      <c r="D1725" s="8" t="s">
        <v>59</v>
      </c>
      <c r="E1725" s="8" t="s">
        <v>60</v>
      </c>
      <c r="F1725" s="8" t="s">
        <v>50</v>
      </c>
      <c r="G1725" s="8" t="n">
        <v>17</v>
      </c>
      <c r="H1725" s="9" t="n">
        <v>24.99</v>
      </c>
      <c r="I1725" s="9" t="n">
        <v>8.5</v>
      </c>
      <c r="J1725" s="10" t="n">
        <v>0.05</v>
      </c>
      <c r="K1725" s="9" t="n">
        <f aca="false">G1725*H1725*(1-J1725)</f>
        <v>403.5885</v>
      </c>
      <c r="L1725" s="9" t="n">
        <f aca="false">G1725*I1725</f>
        <v>144.5</v>
      </c>
      <c r="M1725" s="9" t="n">
        <f aca="false">K1725-L1725</f>
        <v>259.0885</v>
      </c>
      <c r="N1725" s="11" t="n">
        <f aca="false">IF(K1725=0,0,M1725/K1725)</f>
        <v>0.641962047977086</v>
      </c>
      <c r="O1725" s="9" t="n">
        <f aca="false">(G1725*H1725)-K1725</f>
        <v>21.2415</v>
      </c>
      <c r="P1725" s="8" t="s">
        <v>21</v>
      </c>
    </row>
    <row r="1726" customFormat="false" ht="15" hidden="false" customHeight="false" outlineLevel="0" collapsed="false">
      <c r="A1726" s="2" t="n">
        <v>46087</v>
      </c>
      <c r="B1726" s="3" t="s">
        <v>41</v>
      </c>
      <c r="C1726" s="3" t="s">
        <v>28</v>
      </c>
      <c r="D1726" s="3" t="s">
        <v>59</v>
      </c>
      <c r="E1726" s="3" t="s">
        <v>60</v>
      </c>
      <c r="F1726" s="3" t="s">
        <v>50</v>
      </c>
      <c r="G1726" s="3" t="n">
        <v>9</v>
      </c>
      <c r="H1726" s="4" t="n">
        <v>24.99</v>
      </c>
      <c r="I1726" s="4" t="n">
        <v>8.5</v>
      </c>
      <c r="J1726" s="5" t="n">
        <v>0</v>
      </c>
      <c r="K1726" s="4" t="n">
        <f aca="false">G1726*H1726*(1-J1726)</f>
        <v>224.91</v>
      </c>
      <c r="L1726" s="4" t="n">
        <f aca="false">G1726*I1726</f>
        <v>76.5</v>
      </c>
      <c r="M1726" s="4" t="n">
        <f aca="false">K1726-L1726</f>
        <v>148.41</v>
      </c>
      <c r="N1726" s="6" t="n">
        <f aca="false">IF(K1726=0,0,M1726/K1726)</f>
        <v>0.659863945578231</v>
      </c>
      <c r="O1726" s="4" t="n">
        <f aca="false">(G1726*H1726)-K1726</f>
        <v>0</v>
      </c>
      <c r="P1726" s="3" t="s">
        <v>21</v>
      </c>
    </row>
    <row r="1727" customFormat="false" ht="15" hidden="false" customHeight="false" outlineLevel="0" collapsed="false">
      <c r="A1727" s="7" t="n">
        <v>46107</v>
      </c>
      <c r="B1727" s="8" t="s">
        <v>31</v>
      </c>
      <c r="C1727" s="8" t="s">
        <v>23</v>
      </c>
      <c r="D1727" s="8" t="s">
        <v>84</v>
      </c>
      <c r="E1727" s="8" t="s">
        <v>85</v>
      </c>
      <c r="F1727" s="8" t="s">
        <v>20</v>
      </c>
      <c r="G1727" s="8" t="n">
        <v>7</v>
      </c>
      <c r="H1727" s="9" t="n">
        <v>34.99</v>
      </c>
      <c r="I1727" s="9" t="n">
        <v>13</v>
      </c>
      <c r="J1727" s="10" t="n">
        <v>0</v>
      </c>
      <c r="K1727" s="9" t="n">
        <f aca="false">G1727*H1727*(1-J1727)</f>
        <v>244.93</v>
      </c>
      <c r="L1727" s="9" t="n">
        <f aca="false">G1727*I1727</f>
        <v>91</v>
      </c>
      <c r="M1727" s="9" t="n">
        <f aca="false">K1727-L1727</f>
        <v>153.93</v>
      </c>
      <c r="N1727" s="11" t="n">
        <f aca="false">IF(K1727=0,0,M1727/K1727)</f>
        <v>0.628465275793084</v>
      </c>
      <c r="O1727" s="9" t="n">
        <f aca="false">(G1727*H1727)-K1727</f>
        <v>0</v>
      </c>
      <c r="P1727" s="8" t="s">
        <v>21</v>
      </c>
    </row>
    <row r="1728" customFormat="false" ht="15" hidden="false" customHeight="false" outlineLevel="0" collapsed="false">
      <c r="A1728" s="2" t="n">
        <v>46063</v>
      </c>
      <c r="B1728" s="3" t="s">
        <v>37</v>
      </c>
      <c r="C1728" s="3" t="s">
        <v>17</v>
      </c>
      <c r="D1728" s="3" t="s">
        <v>95</v>
      </c>
      <c r="E1728" s="3" t="s">
        <v>96</v>
      </c>
      <c r="F1728" s="3" t="s">
        <v>50</v>
      </c>
      <c r="G1728" s="3" t="n">
        <v>13</v>
      </c>
      <c r="H1728" s="4" t="n">
        <v>34.99</v>
      </c>
      <c r="I1728" s="4" t="n">
        <v>12</v>
      </c>
      <c r="J1728" s="5" t="n">
        <v>0.05</v>
      </c>
      <c r="K1728" s="4" t="n">
        <f aca="false">G1728*H1728*(1-J1728)</f>
        <v>432.1265</v>
      </c>
      <c r="L1728" s="4" t="n">
        <f aca="false">G1728*I1728</f>
        <v>156</v>
      </c>
      <c r="M1728" s="4" t="n">
        <f aca="false">K1728-L1728</f>
        <v>276.1265</v>
      </c>
      <c r="N1728" s="6" t="n">
        <f aca="false">IF(K1728=0,0,M1728/K1728)</f>
        <v>0.638994599960891</v>
      </c>
      <c r="O1728" s="4" t="n">
        <f aca="false">(G1728*H1728)-K1728</f>
        <v>22.7435</v>
      </c>
      <c r="P1728" s="3" t="s">
        <v>21</v>
      </c>
    </row>
    <row r="1729" customFormat="false" ht="15" hidden="false" customHeight="false" outlineLevel="0" collapsed="false">
      <c r="A1729" s="7" t="n">
        <v>46105</v>
      </c>
      <c r="B1729" s="8" t="s">
        <v>16</v>
      </c>
      <c r="C1729" s="8" t="s">
        <v>17</v>
      </c>
      <c r="D1729" s="8" t="s">
        <v>84</v>
      </c>
      <c r="E1729" s="8" t="s">
        <v>85</v>
      </c>
      <c r="F1729" s="8" t="s">
        <v>20</v>
      </c>
      <c r="G1729" s="8" t="n">
        <v>17</v>
      </c>
      <c r="H1729" s="9" t="n">
        <v>34.99</v>
      </c>
      <c r="I1729" s="9" t="n">
        <v>13</v>
      </c>
      <c r="J1729" s="10" t="n">
        <v>0.25</v>
      </c>
      <c r="K1729" s="9" t="n">
        <f aca="false">G1729*H1729*(1-J1729)</f>
        <v>446.1225</v>
      </c>
      <c r="L1729" s="9" t="n">
        <f aca="false">G1729*I1729</f>
        <v>221</v>
      </c>
      <c r="M1729" s="9" t="n">
        <f aca="false">K1729-L1729</f>
        <v>225.1225</v>
      </c>
      <c r="N1729" s="11" t="n">
        <f aca="false">IF(K1729=0,0,M1729/K1729)</f>
        <v>0.504620367724112</v>
      </c>
      <c r="O1729" s="9" t="n">
        <f aca="false">(G1729*H1729)-K1729</f>
        <v>148.7075</v>
      </c>
      <c r="P1729" s="8" t="s">
        <v>21</v>
      </c>
    </row>
    <row r="1730" customFormat="false" ht="15" hidden="false" customHeight="false" outlineLevel="0" collapsed="false">
      <c r="A1730" s="2" t="n">
        <v>46065</v>
      </c>
      <c r="B1730" s="3" t="s">
        <v>16</v>
      </c>
      <c r="C1730" s="3" t="s">
        <v>17</v>
      </c>
      <c r="D1730" s="3" t="s">
        <v>93</v>
      </c>
      <c r="E1730" s="3" t="s">
        <v>94</v>
      </c>
      <c r="F1730" s="3" t="s">
        <v>34</v>
      </c>
      <c r="G1730" s="3" t="n">
        <v>15</v>
      </c>
      <c r="H1730" s="4" t="n">
        <v>29.99</v>
      </c>
      <c r="I1730" s="4" t="n">
        <v>9</v>
      </c>
      <c r="J1730" s="5" t="n">
        <v>0.3</v>
      </c>
      <c r="K1730" s="4" t="n">
        <f aca="false">G1730*H1730*(1-J1730)</f>
        <v>314.895</v>
      </c>
      <c r="L1730" s="4" t="n">
        <f aca="false">G1730*I1730</f>
        <v>135</v>
      </c>
      <c r="M1730" s="4" t="n">
        <f aca="false">K1730-L1730</f>
        <v>179.895</v>
      </c>
      <c r="N1730" s="6" t="n">
        <f aca="false">IF(K1730=0,0,M1730/K1730)</f>
        <v>0.571285666650788</v>
      </c>
      <c r="O1730" s="4" t="n">
        <f aca="false">(G1730*H1730)-K1730</f>
        <v>134.955</v>
      </c>
      <c r="P1730" s="3" t="s">
        <v>21</v>
      </c>
    </row>
    <row r="1731" customFormat="false" ht="15" hidden="false" customHeight="false" outlineLevel="0" collapsed="false">
      <c r="A1731" s="7" t="n">
        <v>46047</v>
      </c>
      <c r="B1731" s="8" t="s">
        <v>22</v>
      </c>
      <c r="C1731" s="8" t="s">
        <v>23</v>
      </c>
      <c r="D1731" s="8" t="s">
        <v>82</v>
      </c>
      <c r="E1731" s="8" t="s">
        <v>83</v>
      </c>
      <c r="F1731" s="8" t="s">
        <v>26</v>
      </c>
      <c r="G1731" s="8" t="n">
        <v>24</v>
      </c>
      <c r="H1731" s="9" t="n">
        <v>44.99</v>
      </c>
      <c r="I1731" s="9" t="n">
        <v>18</v>
      </c>
      <c r="J1731" s="10" t="n">
        <v>0.1</v>
      </c>
      <c r="K1731" s="9" t="n">
        <f aca="false">G1731*H1731*(1-J1731)</f>
        <v>971.784</v>
      </c>
      <c r="L1731" s="9" t="n">
        <f aca="false">G1731*I1731</f>
        <v>432</v>
      </c>
      <c r="M1731" s="9" t="n">
        <f aca="false">K1731-L1731</f>
        <v>539.784</v>
      </c>
      <c r="N1731" s="11" t="n">
        <f aca="false">IF(K1731=0,0,M1731/K1731)</f>
        <v>0.555456768170705</v>
      </c>
      <c r="O1731" s="9" t="n">
        <f aca="false">(G1731*H1731)-K1731</f>
        <v>107.976</v>
      </c>
      <c r="P1731" s="8" t="s">
        <v>21</v>
      </c>
    </row>
    <row r="1732" customFormat="false" ht="15" hidden="false" customHeight="false" outlineLevel="0" collapsed="false">
      <c r="A1732" s="2" t="n">
        <v>46076</v>
      </c>
      <c r="B1732" s="3" t="s">
        <v>27</v>
      </c>
      <c r="C1732" s="3" t="s">
        <v>28</v>
      </c>
      <c r="D1732" s="3" t="s">
        <v>46</v>
      </c>
      <c r="E1732" s="3" t="s">
        <v>47</v>
      </c>
      <c r="F1732" s="3" t="s">
        <v>20</v>
      </c>
      <c r="G1732" s="3" t="n">
        <v>13</v>
      </c>
      <c r="H1732" s="4" t="n">
        <v>44.99</v>
      </c>
      <c r="I1732" s="4" t="n">
        <v>18</v>
      </c>
      <c r="J1732" s="5" t="n">
        <v>0</v>
      </c>
      <c r="K1732" s="4" t="n">
        <f aca="false">G1732*H1732*(1-J1732)</f>
        <v>584.87</v>
      </c>
      <c r="L1732" s="4" t="n">
        <f aca="false">G1732*I1732</f>
        <v>234</v>
      </c>
      <c r="M1732" s="4" t="n">
        <f aca="false">K1732-L1732</f>
        <v>350.87</v>
      </c>
      <c r="N1732" s="6" t="n">
        <f aca="false">IF(K1732=0,0,M1732/K1732)</f>
        <v>0.599911091353634</v>
      </c>
      <c r="O1732" s="4" t="n">
        <f aca="false">(G1732*H1732)-K1732</f>
        <v>0</v>
      </c>
      <c r="P1732" s="3" t="s">
        <v>21</v>
      </c>
    </row>
    <row r="1733" customFormat="false" ht="15" hidden="false" customHeight="false" outlineLevel="0" collapsed="false">
      <c r="A1733" s="7" t="n">
        <v>46025</v>
      </c>
      <c r="B1733" s="8" t="s">
        <v>22</v>
      </c>
      <c r="C1733" s="8" t="s">
        <v>23</v>
      </c>
      <c r="D1733" s="8" t="s">
        <v>59</v>
      </c>
      <c r="E1733" s="8" t="s">
        <v>60</v>
      </c>
      <c r="F1733" s="8" t="s">
        <v>50</v>
      </c>
      <c r="G1733" s="8" t="n">
        <v>14</v>
      </c>
      <c r="H1733" s="9" t="n">
        <v>24.99</v>
      </c>
      <c r="I1733" s="9" t="n">
        <v>8.5</v>
      </c>
      <c r="J1733" s="10" t="n">
        <v>0</v>
      </c>
      <c r="K1733" s="9" t="n">
        <f aca="false">G1733*H1733*(1-J1733)</f>
        <v>349.86</v>
      </c>
      <c r="L1733" s="9" t="n">
        <f aca="false">G1733*I1733</f>
        <v>119</v>
      </c>
      <c r="M1733" s="9" t="n">
        <f aca="false">K1733-L1733</f>
        <v>230.86</v>
      </c>
      <c r="N1733" s="11" t="n">
        <f aca="false">IF(K1733=0,0,M1733/K1733)</f>
        <v>0.659863945578231</v>
      </c>
      <c r="O1733" s="9" t="n">
        <f aca="false">(G1733*H1733)-K1733</f>
        <v>0</v>
      </c>
      <c r="P1733" s="8" t="s">
        <v>21</v>
      </c>
    </row>
    <row r="1734" customFormat="false" ht="15" hidden="false" customHeight="false" outlineLevel="0" collapsed="false">
      <c r="A1734" s="2" t="n">
        <v>46119</v>
      </c>
      <c r="B1734" s="3" t="s">
        <v>31</v>
      </c>
      <c r="C1734" s="3" t="s">
        <v>23</v>
      </c>
      <c r="D1734" s="3" t="s">
        <v>70</v>
      </c>
      <c r="E1734" s="3" t="s">
        <v>71</v>
      </c>
      <c r="F1734" s="3" t="s">
        <v>20</v>
      </c>
      <c r="G1734" s="3" t="n">
        <v>17</v>
      </c>
      <c r="H1734" s="4" t="n">
        <v>49.99</v>
      </c>
      <c r="I1734" s="4" t="n">
        <v>19</v>
      </c>
      <c r="J1734" s="5" t="n">
        <v>0.05</v>
      </c>
      <c r="K1734" s="4" t="n">
        <f aca="false">G1734*H1734*(1-J1734)</f>
        <v>807.3385</v>
      </c>
      <c r="L1734" s="4" t="n">
        <f aca="false">G1734*I1734</f>
        <v>323</v>
      </c>
      <c r="M1734" s="4" t="n">
        <f aca="false">K1734-L1734</f>
        <v>484.3385</v>
      </c>
      <c r="N1734" s="6" t="n">
        <f aca="false">IF(K1734=0,0,M1734/K1734)</f>
        <v>0.599919983996799</v>
      </c>
      <c r="O1734" s="4" t="n">
        <f aca="false">(G1734*H1734)-K1734</f>
        <v>42.4915000000001</v>
      </c>
      <c r="P1734" s="3" t="s">
        <v>21</v>
      </c>
    </row>
    <row r="1735" customFormat="false" ht="15" hidden="false" customHeight="false" outlineLevel="0" collapsed="false">
      <c r="A1735" s="7" t="n">
        <v>46096</v>
      </c>
      <c r="B1735" s="8" t="s">
        <v>22</v>
      </c>
      <c r="C1735" s="8" t="s">
        <v>23</v>
      </c>
      <c r="D1735" s="8" t="s">
        <v>74</v>
      </c>
      <c r="E1735" s="8" t="s">
        <v>75</v>
      </c>
      <c r="F1735" s="8" t="s">
        <v>40</v>
      </c>
      <c r="G1735" s="8" t="n">
        <v>28</v>
      </c>
      <c r="H1735" s="9" t="n">
        <v>29.99</v>
      </c>
      <c r="I1735" s="9" t="n">
        <v>13</v>
      </c>
      <c r="J1735" s="10" t="n">
        <v>0.2</v>
      </c>
      <c r="K1735" s="9" t="n">
        <f aca="false">G1735*H1735*(1-J1735)</f>
        <v>671.776</v>
      </c>
      <c r="L1735" s="9" t="n">
        <f aca="false">G1735*I1735</f>
        <v>364</v>
      </c>
      <c r="M1735" s="9" t="n">
        <f aca="false">K1735-L1735</f>
        <v>307.776</v>
      </c>
      <c r="N1735" s="11" t="n">
        <f aca="false">IF(K1735=0,0,M1735/K1735)</f>
        <v>0.458152717572524</v>
      </c>
      <c r="O1735" s="9" t="n">
        <f aca="false">(G1735*H1735)-K1735</f>
        <v>167.944</v>
      </c>
      <c r="P1735" s="8" t="s">
        <v>21</v>
      </c>
    </row>
    <row r="1736" customFormat="false" ht="15" hidden="false" customHeight="false" outlineLevel="0" collapsed="false">
      <c r="A1736" s="2" t="n">
        <v>46064</v>
      </c>
      <c r="B1736" s="3" t="s">
        <v>31</v>
      </c>
      <c r="C1736" s="3" t="s">
        <v>23</v>
      </c>
      <c r="D1736" s="3" t="s">
        <v>93</v>
      </c>
      <c r="E1736" s="3" t="s">
        <v>94</v>
      </c>
      <c r="F1736" s="3" t="s">
        <v>34</v>
      </c>
      <c r="G1736" s="3" t="n">
        <v>7</v>
      </c>
      <c r="H1736" s="4" t="n">
        <v>33.97</v>
      </c>
      <c r="I1736" s="4" t="n">
        <v>9</v>
      </c>
      <c r="J1736" s="5" t="n">
        <v>0</v>
      </c>
      <c r="K1736" s="4" t="n">
        <f aca="false">G1736*H1736*(1-J1736)</f>
        <v>237.79</v>
      </c>
      <c r="L1736" s="4" t="n">
        <f aca="false">G1736*I1736</f>
        <v>63</v>
      </c>
      <c r="M1736" s="4" t="n">
        <f aca="false">K1736-L1736</f>
        <v>174.79</v>
      </c>
      <c r="N1736" s="6" t="n">
        <f aca="false">IF(K1736=0,0,M1736/K1736)</f>
        <v>0.735060347365322</v>
      </c>
      <c r="O1736" s="4" t="n">
        <f aca="false">(G1736*H1736)-K1736</f>
        <v>0</v>
      </c>
      <c r="P1736" s="12" t="s">
        <v>63</v>
      </c>
    </row>
    <row r="1737" customFormat="false" ht="15" hidden="false" customHeight="false" outlineLevel="0" collapsed="false">
      <c r="A1737" s="7" t="n">
        <v>46085</v>
      </c>
      <c r="B1737" s="8" t="s">
        <v>22</v>
      </c>
      <c r="C1737" s="8" t="s">
        <v>23</v>
      </c>
      <c r="D1737" s="8" t="s">
        <v>18</v>
      </c>
      <c r="E1737" s="8" t="s">
        <v>19</v>
      </c>
      <c r="F1737" s="8" t="s">
        <v>20</v>
      </c>
      <c r="G1737" s="8" t="n">
        <v>1</v>
      </c>
      <c r="H1737" s="9" t="n">
        <v>26.99</v>
      </c>
      <c r="I1737" s="9" t="n">
        <v>10.5</v>
      </c>
      <c r="J1737" s="10" t="n">
        <v>0</v>
      </c>
      <c r="K1737" s="9" t="n">
        <f aca="false">G1737*H1737*(1-J1737)</f>
        <v>26.99</v>
      </c>
      <c r="L1737" s="9" t="n">
        <f aca="false">G1737*I1737</f>
        <v>10.5</v>
      </c>
      <c r="M1737" s="9" t="n">
        <f aca="false">K1737-L1737</f>
        <v>16.49</v>
      </c>
      <c r="N1737" s="11" t="n">
        <f aca="false">IF(K1737=0,0,M1737/K1737)</f>
        <v>0.610967024824009</v>
      </c>
      <c r="O1737" s="9" t="n">
        <f aca="false">(G1737*H1737)-K1737</f>
        <v>0</v>
      </c>
      <c r="P1737" s="8" t="s">
        <v>21</v>
      </c>
    </row>
    <row r="1738" customFormat="false" ht="15" hidden="false" customHeight="false" outlineLevel="0" collapsed="false">
      <c r="A1738" s="2" t="n">
        <v>46113</v>
      </c>
      <c r="B1738" s="3" t="s">
        <v>22</v>
      </c>
      <c r="C1738" s="3" t="s">
        <v>23</v>
      </c>
      <c r="D1738" s="3" t="s">
        <v>72</v>
      </c>
      <c r="E1738" s="3" t="s">
        <v>73</v>
      </c>
      <c r="F1738" s="3" t="s">
        <v>57</v>
      </c>
      <c r="G1738" s="3" t="n">
        <v>23</v>
      </c>
      <c r="H1738" s="4" t="n">
        <v>19.99</v>
      </c>
      <c r="I1738" s="4" t="n">
        <v>7</v>
      </c>
      <c r="J1738" s="5" t="n">
        <v>0</v>
      </c>
      <c r="K1738" s="4" t="n">
        <f aca="false">G1738*H1738*(1-J1738)</f>
        <v>459.77</v>
      </c>
      <c r="L1738" s="4" t="n">
        <f aca="false">G1738*I1738</f>
        <v>161</v>
      </c>
      <c r="M1738" s="4" t="n">
        <f aca="false">K1738-L1738</f>
        <v>298.77</v>
      </c>
      <c r="N1738" s="6" t="n">
        <f aca="false">IF(K1738=0,0,M1738/K1738)</f>
        <v>0.649824912456228</v>
      </c>
      <c r="O1738" s="4" t="n">
        <f aca="false">(G1738*H1738)-K1738</f>
        <v>0</v>
      </c>
      <c r="P1738" s="3" t="s">
        <v>21</v>
      </c>
    </row>
    <row r="1739" customFormat="false" ht="15" hidden="false" customHeight="false" outlineLevel="0" collapsed="false">
      <c r="A1739" s="7" t="n">
        <v>46040</v>
      </c>
      <c r="B1739" s="8" t="s">
        <v>41</v>
      </c>
      <c r="C1739" s="8" t="s">
        <v>28</v>
      </c>
      <c r="D1739" s="8" t="s">
        <v>38</v>
      </c>
      <c r="E1739" s="8" t="s">
        <v>39</v>
      </c>
      <c r="F1739" s="8" t="s">
        <v>40</v>
      </c>
      <c r="G1739" s="8" t="n">
        <v>20</v>
      </c>
      <c r="H1739" s="9" t="n">
        <v>12.99</v>
      </c>
      <c r="I1739" s="9" t="n">
        <v>4</v>
      </c>
      <c r="J1739" s="10" t="n">
        <v>0.1</v>
      </c>
      <c r="K1739" s="9" t="n">
        <f aca="false">G1739*H1739*(1-J1739)</f>
        <v>233.82</v>
      </c>
      <c r="L1739" s="9" t="n">
        <f aca="false">G1739*I1739</f>
        <v>80</v>
      </c>
      <c r="M1739" s="9" t="n">
        <f aca="false">K1739-L1739</f>
        <v>153.82</v>
      </c>
      <c r="N1739" s="11" t="n">
        <f aca="false">IF(K1739=0,0,M1739/K1739)</f>
        <v>0.657856470789496</v>
      </c>
      <c r="O1739" s="9" t="n">
        <f aca="false">(G1739*H1739)-K1739</f>
        <v>25.98</v>
      </c>
      <c r="P1739" s="8" t="s">
        <v>21</v>
      </c>
    </row>
    <row r="1740" customFormat="false" ht="15" hidden="false" customHeight="false" outlineLevel="0" collapsed="false">
      <c r="A1740" s="2" t="n">
        <v>46028</v>
      </c>
      <c r="B1740" s="3" t="s">
        <v>37</v>
      </c>
      <c r="C1740" s="3" t="s">
        <v>17</v>
      </c>
      <c r="D1740" s="3" t="s">
        <v>42</v>
      </c>
      <c r="E1740" s="3" t="s">
        <v>43</v>
      </c>
      <c r="F1740" s="3" t="s">
        <v>34</v>
      </c>
      <c r="G1740" s="3" t="n">
        <v>10</v>
      </c>
      <c r="H1740" s="4" t="n">
        <v>11.99</v>
      </c>
      <c r="I1740" s="4" t="n">
        <v>3.5</v>
      </c>
      <c r="J1740" s="5" t="n">
        <v>0</v>
      </c>
      <c r="K1740" s="4" t="n">
        <f aca="false">G1740*H1740*(1-J1740)</f>
        <v>119.9</v>
      </c>
      <c r="L1740" s="4" t="n">
        <f aca="false">G1740*I1740</f>
        <v>35</v>
      </c>
      <c r="M1740" s="4" t="n">
        <f aca="false">K1740-L1740</f>
        <v>84.9</v>
      </c>
      <c r="N1740" s="6" t="n">
        <f aca="false">IF(K1740=0,0,M1740/K1740)</f>
        <v>0.708090075062552</v>
      </c>
      <c r="O1740" s="4" t="n">
        <f aca="false">(G1740*H1740)-K1740</f>
        <v>0</v>
      </c>
      <c r="P1740" s="3" t="s">
        <v>21</v>
      </c>
    </row>
    <row r="1741" customFormat="false" ht="15" hidden="false" customHeight="false" outlineLevel="0" collapsed="false">
      <c r="A1741" s="7" t="n">
        <v>46125</v>
      </c>
      <c r="B1741" s="8" t="s">
        <v>27</v>
      </c>
      <c r="C1741" s="8" t="s">
        <v>28</v>
      </c>
      <c r="D1741" s="8" t="s">
        <v>80</v>
      </c>
      <c r="E1741" s="8" t="s">
        <v>81</v>
      </c>
      <c r="F1741" s="8" t="s">
        <v>57</v>
      </c>
      <c r="G1741" s="8" t="n">
        <v>2</v>
      </c>
      <c r="H1741" s="9" t="n">
        <v>17.99</v>
      </c>
      <c r="I1741" s="9" t="n">
        <v>6.5</v>
      </c>
      <c r="J1741" s="10" t="n">
        <v>0.1</v>
      </c>
      <c r="K1741" s="9" t="n">
        <f aca="false">G1741*H1741*(1-J1741)</f>
        <v>32.382</v>
      </c>
      <c r="L1741" s="9" t="n">
        <f aca="false">G1741*I1741</f>
        <v>13</v>
      </c>
      <c r="M1741" s="9" t="n">
        <f aca="false">K1741-L1741</f>
        <v>19.382</v>
      </c>
      <c r="N1741" s="11" t="n">
        <f aca="false">IF(K1741=0,0,M1741/K1741)</f>
        <v>0.59854240009882</v>
      </c>
      <c r="O1741" s="9" t="n">
        <f aca="false">(G1741*H1741)-K1741</f>
        <v>3.598</v>
      </c>
      <c r="P1741" s="8" t="s">
        <v>21</v>
      </c>
    </row>
    <row r="1742" customFormat="false" ht="15" hidden="false" customHeight="false" outlineLevel="0" collapsed="false">
      <c r="A1742" s="2" t="n">
        <v>46119</v>
      </c>
      <c r="B1742" s="3" t="s">
        <v>22</v>
      </c>
      <c r="C1742" s="3" t="s">
        <v>23</v>
      </c>
      <c r="D1742" s="3" t="s">
        <v>74</v>
      </c>
      <c r="E1742" s="3" t="s">
        <v>75</v>
      </c>
      <c r="F1742" s="3" t="s">
        <v>40</v>
      </c>
      <c r="G1742" s="3" t="n">
        <v>4</v>
      </c>
      <c r="H1742" s="4" t="n">
        <v>29.99</v>
      </c>
      <c r="I1742" s="4" t="n">
        <v>13</v>
      </c>
      <c r="J1742" s="5" t="n">
        <v>0.25</v>
      </c>
      <c r="K1742" s="4" t="n">
        <f aca="false">G1742*H1742*(1-J1742)</f>
        <v>89.97</v>
      </c>
      <c r="L1742" s="4" t="n">
        <f aca="false">G1742*I1742</f>
        <v>52</v>
      </c>
      <c r="M1742" s="4" t="n">
        <f aca="false">K1742-L1742</f>
        <v>37.97</v>
      </c>
      <c r="N1742" s="6" t="n">
        <f aca="false">IF(K1742=0,0,M1742/K1742)</f>
        <v>0.422029565410692</v>
      </c>
      <c r="O1742" s="4" t="n">
        <f aca="false">(G1742*H1742)-K1742</f>
        <v>29.99</v>
      </c>
      <c r="P1742" s="3" t="s">
        <v>21</v>
      </c>
    </row>
    <row r="1743" customFormat="false" ht="15" hidden="false" customHeight="false" outlineLevel="0" collapsed="false">
      <c r="A1743" s="7" t="n">
        <v>46102</v>
      </c>
      <c r="B1743" s="8" t="s">
        <v>22</v>
      </c>
      <c r="C1743" s="8" t="s">
        <v>23</v>
      </c>
      <c r="D1743" s="8" t="s">
        <v>42</v>
      </c>
      <c r="E1743" s="8" t="s">
        <v>43</v>
      </c>
      <c r="F1743" s="8" t="s">
        <v>34</v>
      </c>
      <c r="G1743" s="8" t="n">
        <v>3</v>
      </c>
      <c r="H1743" s="9" t="n">
        <v>11.99</v>
      </c>
      <c r="I1743" s="9" t="n">
        <v>3.5</v>
      </c>
      <c r="J1743" s="10" t="n">
        <v>0.3</v>
      </c>
      <c r="K1743" s="9" t="n">
        <f aca="false">G1743*H1743*(1-J1743)</f>
        <v>25.179</v>
      </c>
      <c r="L1743" s="9" t="n">
        <f aca="false">G1743*I1743</f>
        <v>10.5</v>
      </c>
      <c r="M1743" s="9" t="n">
        <f aca="false">K1743-L1743</f>
        <v>14.679</v>
      </c>
      <c r="N1743" s="11" t="n">
        <f aca="false">IF(K1743=0,0,M1743/K1743)</f>
        <v>0.582985821517932</v>
      </c>
      <c r="O1743" s="9" t="n">
        <f aca="false">(G1743*H1743)-K1743</f>
        <v>10.791</v>
      </c>
      <c r="P1743" s="8" t="s">
        <v>21</v>
      </c>
    </row>
    <row r="1744" customFormat="false" ht="15" hidden="false" customHeight="false" outlineLevel="0" collapsed="false">
      <c r="A1744" s="2" t="n">
        <v>46070</v>
      </c>
      <c r="B1744" s="3" t="s">
        <v>16</v>
      </c>
      <c r="C1744" s="3" t="s">
        <v>17</v>
      </c>
      <c r="D1744" s="3" t="s">
        <v>53</v>
      </c>
      <c r="E1744" s="3" t="s">
        <v>54</v>
      </c>
      <c r="F1744" s="3" t="s">
        <v>50</v>
      </c>
      <c r="G1744" s="3" t="n">
        <v>2</v>
      </c>
      <c r="H1744" s="4" t="n">
        <v>22.99</v>
      </c>
      <c r="I1744" s="4" t="n">
        <v>8</v>
      </c>
      <c r="J1744" s="5" t="n">
        <v>0.05</v>
      </c>
      <c r="K1744" s="4" t="n">
        <f aca="false">G1744*H1744*(1-J1744)</f>
        <v>43.681</v>
      </c>
      <c r="L1744" s="4" t="n">
        <f aca="false">G1744*I1744</f>
        <v>16</v>
      </c>
      <c r="M1744" s="4" t="n">
        <f aca="false">K1744-L1744</f>
        <v>27.681</v>
      </c>
      <c r="N1744" s="6" t="n">
        <f aca="false">IF(K1744=0,0,M1744/K1744)</f>
        <v>0.633708019505048</v>
      </c>
      <c r="O1744" s="4" t="n">
        <f aca="false">(G1744*H1744)-K1744</f>
        <v>2.299</v>
      </c>
      <c r="P1744" s="3" t="s">
        <v>21</v>
      </c>
    </row>
    <row r="1745" customFormat="false" ht="15" hidden="false" customHeight="false" outlineLevel="0" collapsed="false">
      <c r="A1745" s="7" t="n">
        <v>46076</v>
      </c>
      <c r="B1745" s="8" t="s">
        <v>58</v>
      </c>
      <c r="C1745" s="8" t="s">
        <v>58</v>
      </c>
      <c r="D1745" s="8" t="s">
        <v>84</v>
      </c>
      <c r="E1745" s="8" t="s">
        <v>85</v>
      </c>
      <c r="F1745" s="8" t="s">
        <v>20</v>
      </c>
      <c r="G1745" s="8" t="n">
        <v>4</v>
      </c>
      <c r="H1745" s="9" t="n">
        <v>34.99</v>
      </c>
      <c r="I1745" s="9" t="n">
        <v>13</v>
      </c>
      <c r="J1745" s="10" t="n">
        <v>0.15</v>
      </c>
      <c r="K1745" s="9" t="n">
        <f aca="false">G1745*H1745*(1-J1745)</f>
        <v>118.966</v>
      </c>
      <c r="L1745" s="9" t="n">
        <f aca="false">G1745*I1745</f>
        <v>52</v>
      </c>
      <c r="M1745" s="9" t="n">
        <f aca="false">K1745-L1745</f>
        <v>66.966</v>
      </c>
      <c r="N1745" s="11" t="n">
        <f aca="false">IF(K1745=0,0,M1745/K1745)</f>
        <v>0.562900324462452</v>
      </c>
      <c r="O1745" s="9" t="n">
        <f aca="false">(G1745*H1745)-K1745</f>
        <v>20.994</v>
      </c>
      <c r="P1745" s="8" t="s">
        <v>21</v>
      </c>
    </row>
    <row r="1746" customFormat="false" ht="15" hidden="false" customHeight="false" outlineLevel="0" collapsed="false">
      <c r="A1746" s="2" t="n">
        <v>46111</v>
      </c>
      <c r="B1746" s="3" t="s">
        <v>64</v>
      </c>
      <c r="C1746" s="3" t="s">
        <v>65</v>
      </c>
      <c r="D1746" s="3" t="s">
        <v>76</v>
      </c>
      <c r="E1746" s="3" t="s">
        <v>77</v>
      </c>
      <c r="F1746" s="3" t="s">
        <v>34</v>
      </c>
      <c r="G1746" s="3" t="n">
        <v>4</v>
      </c>
      <c r="H1746" s="4" t="n">
        <v>49.99</v>
      </c>
      <c r="I1746" s="4" t="n">
        <v>14</v>
      </c>
      <c r="J1746" s="5" t="n">
        <v>0.6</v>
      </c>
      <c r="K1746" s="4" t="n">
        <f aca="false">G1746*H1746*(1-J1746)</f>
        <v>79.984</v>
      </c>
      <c r="L1746" s="4" t="n">
        <f aca="false">G1746*I1746</f>
        <v>56</v>
      </c>
      <c r="M1746" s="4" t="n">
        <f aca="false">K1746-L1746</f>
        <v>23.984</v>
      </c>
      <c r="N1746" s="6" t="n">
        <f aca="false">IF(K1746=0,0,M1746/K1746)</f>
        <v>0.299859971994399</v>
      </c>
      <c r="O1746" s="4" t="n">
        <f aca="false">(G1746*H1746)-K1746</f>
        <v>119.976</v>
      </c>
      <c r="P1746" s="14" t="s">
        <v>97</v>
      </c>
    </row>
    <row r="1747" customFormat="false" ht="15" hidden="false" customHeight="false" outlineLevel="0" collapsed="false">
      <c r="A1747" s="7" t="n">
        <v>46028</v>
      </c>
      <c r="B1747" s="8" t="s">
        <v>41</v>
      </c>
      <c r="C1747" s="8" t="s">
        <v>28</v>
      </c>
      <c r="D1747" s="8" t="s">
        <v>74</v>
      </c>
      <c r="E1747" s="8" t="s">
        <v>75</v>
      </c>
      <c r="F1747" s="8" t="s">
        <v>40</v>
      </c>
      <c r="G1747" s="8" t="n">
        <v>2</v>
      </c>
      <c r="H1747" s="9" t="n">
        <v>29.99</v>
      </c>
      <c r="I1747" s="9" t="n">
        <v>13</v>
      </c>
      <c r="J1747" s="10" t="n">
        <v>0.05</v>
      </c>
      <c r="K1747" s="9" t="n">
        <f aca="false">G1747*H1747*(1-J1747)</f>
        <v>56.981</v>
      </c>
      <c r="L1747" s="9" t="n">
        <f aca="false">G1747*I1747</f>
        <v>26</v>
      </c>
      <c r="M1747" s="9" t="n">
        <f aca="false">K1747-L1747</f>
        <v>30.981</v>
      </c>
      <c r="N1747" s="11" t="n">
        <f aca="false">IF(K1747=0,0,M1747/K1747)</f>
        <v>0.54370755164002</v>
      </c>
      <c r="O1747" s="9" t="n">
        <f aca="false">(G1747*H1747)-K1747</f>
        <v>2.999</v>
      </c>
      <c r="P1747" s="8" t="s">
        <v>21</v>
      </c>
    </row>
    <row r="1748" customFormat="false" ht="15" hidden="false" customHeight="false" outlineLevel="0" collapsed="false">
      <c r="A1748" s="2" t="n">
        <v>46105</v>
      </c>
      <c r="B1748" s="3" t="s">
        <v>22</v>
      </c>
      <c r="C1748" s="3" t="s">
        <v>23</v>
      </c>
      <c r="D1748" s="3" t="s">
        <v>32</v>
      </c>
      <c r="E1748" s="3" t="s">
        <v>33</v>
      </c>
      <c r="F1748" s="3" t="s">
        <v>34</v>
      </c>
      <c r="G1748" s="3" t="n">
        <v>27</v>
      </c>
      <c r="H1748" s="4" t="n">
        <v>18.99</v>
      </c>
      <c r="I1748" s="4" t="n">
        <v>6</v>
      </c>
      <c r="J1748" s="5" t="n">
        <v>0.15</v>
      </c>
      <c r="K1748" s="4" t="n">
        <f aca="false">G1748*H1748*(1-J1748)</f>
        <v>435.8205</v>
      </c>
      <c r="L1748" s="4" t="n">
        <f aca="false">G1748*I1748</f>
        <v>162</v>
      </c>
      <c r="M1748" s="4" t="n">
        <f aca="false">K1748-L1748</f>
        <v>273.8205</v>
      </c>
      <c r="N1748" s="6" t="n">
        <f aca="false">IF(K1748=0,0,M1748/K1748)</f>
        <v>0.628287333890902</v>
      </c>
      <c r="O1748" s="4" t="n">
        <f aca="false">(G1748*H1748)-K1748</f>
        <v>76.9095</v>
      </c>
      <c r="P1748" s="3" t="s">
        <v>21</v>
      </c>
    </row>
    <row r="1749" customFormat="false" ht="15" hidden="false" customHeight="false" outlineLevel="0" collapsed="false">
      <c r="A1749" s="7" t="n">
        <v>46053</v>
      </c>
      <c r="B1749" s="8" t="s">
        <v>64</v>
      </c>
      <c r="C1749" s="8" t="s">
        <v>65</v>
      </c>
      <c r="D1749" s="8" t="s">
        <v>68</v>
      </c>
      <c r="E1749" s="8" t="s">
        <v>69</v>
      </c>
      <c r="F1749" s="8" t="s">
        <v>40</v>
      </c>
      <c r="G1749" s="8" t="n">
        <v>7</v>
      </c>
      <c r="H1749" s="9" t="n">
        <v>24.99</v>
      </c>
      <c r="I1749" s="9" t="n">
        <v>9</v>
      </c>
      <c r="J1749" s="10" t="n">
        <v>0.1</v>
      </c>
      <c r="K1749" s="9" t="n">
        <f aca="false">G1749*H1749*(1-J1749)</f>
        <v>157.437</v>
      </c>
      <c r="L1749" s="9" t="n">
        <f aca="false">G1749*I1749</f>
        <v>63</v>
      </c>
      <c r="M1749" s="9" t="n">
        <f aca="false">K1749-L1749</f>
        <v>94.437</v>
      </c>
      <c r="N1749" s="11" t="n">
        <f aca="false">IF(K1749=0,0,M1749/K1749)</f>
        <v>0.59983993597439</v>
      </c>
      <c r="O1749" s="9" t="n">
        <f aca="false">(G1749*H1749)-K1749</f>
        <v>17.493</v>
      </c>
      <c r="P1749" s="8" t="s">
        <v>21</v>
      </c>
    </row>
    <row r="1750" customFormat="false" ht="15" hidden="false" customHeight="false" outlineLevel="0" collapsed="false">
      <c r="A1750" s="2" t="n">
        <v>46082</v>
      </c>
      <c r="B1750" s="3" t="s">
        <v>16</v>
      </c>
      <c r="C1750" s="3" t="s">
        <v>17</v>
      </c>
      <c r="D1750" s="3" t="s">
        <v>51</v>
      </c>
      <c r="E1750" s="3" t="s">
        <v>52</v>
      </c>
      <c r="F1750" s="3" t="s">
        <v>50</v>
      </c>
      <c r="G1750" s="3" t="n">
        <v>1</v>
      </c>
      <c r="H1750" s="4" t="n">
        <v>19.99</v>
      </c>
      <c r="I1750" s="4" t="n">
        <v>7</v>
      </c>
      <c r="J1750" s="5" t="n">
        <v>0.15</v>
      </c>
      <c r="K1750" s="4" t="n">
        <f aca="false">G1750*H1750*(1-J1750)</f>
        <v>16.9915</v>
      </c>
      <c r="L1750" s="4" t="n">
        <f aca="false">G1750*I1750</f>
        <v>7</v>
      </c>
      <c r="M1750" s="4" t="n">
        <f aca="false">K1750-L1750</f>
        <v>9.9915</v>
      </c>
      <c r="N1750" s="6" t="n">
        <f aca="false">IF(K1750=0,0,M1750/K1750)</f>
        <v>0.588029308772033</v>
      </c>
      <c r="O1750" s="4" t="n">
        <f aca="false">(G1750*H1750)-K1750</f>
        <v>2.9985</v>
      </c>
      <c r="P1750" s="3" t="s">
        <v>21</v>
      </c>
    </row>
    <row r="1751" customFormat="false" ht="15" hidden="false" customHeight="false" outlineLevel="0" collapsed="false">
      <c r="A1751" s="7" t="n">
        <v>46057</v>
      </c>
      <c r="B1751" s="8" t="s">
        <v>41</v>
      </c>
      <c r="C1751" s="8" t="s">
        <v>28</v>
      </c>
      <c r="D1751" s="8" t="s">
        <v>44</v>
      </c>
      <c r="E1751" s="8" t="s">
        <v>45</v>
      </c>
      <c r="F1751" s="8" t="s">
        <v>40</v>
      </c>
      <c r="G1751" s="8" t="n">
        <v>10</v>
      </c>
      <c r="H1751" s="9" t="n">
        <v>29.99</v>
      </c>
      <c r="I1751" s="9" t="n">
        <v>11</v>
      </c>
      <c r="J1751" s="10" t="n">
        <v>0.1</v>
      </c>
      <c r="K1751" s="9" t="n">
        <f aca="false">G1751*H1751*(1-J1751)</f>
        <v>269.91</v>
      </c>
      <c r="L1751" s="9" t="n">
        <f aca="false">G1751*I1751</f>
        <v>110</v>
      </c>
      <c r="M1751" s="9" t="n">
        <f aca="false">K1751-L1751</f>
        <v>159.91</v>
      </c>
      <c r="N1751" s="11" t="n">
        <f aca="false">IF(K1751=0,0,M1751/K1751)</f>
        <v>0.592456744840873</v>
      </c>
      <c r="O1751" s="9" t="n">
        <f aca="false">(G1751*H1751)-K1751</f>
        <v>29.99</v>
      </c>
      <c r="P1751" s="8" t="s">
        <v>21</v>
      </c>
    </row>
    <row r="1752" customFormat="false" ht="15" hidden="false" customHeight="false" outlineLevel="0" collapsed="false">
      <c r="A1752" s="2" t="n">
        <v>46092</v>
      </c>
      <c r="B1752" s="3" t="s">
        <v>41</v>
      </c>
      <c r="C1752" s="3" t="s">
        <v>28</v>
      </c>
      <c r="D1752" s="3" t="s">
        <v>48</v>
      </c>
      <c r="E1752" s="3" t="s">
        <v>49</v>
      </c>
      <c r="F1752" s="3" t="s">
        <v>50</v>
      </c>
      <c r="G1752" s="3" t="n">
        <v>24</v>
      </c>
      <c r="H1752" s="4" t="n">
        <v>54.99</v>
      </c>
      <c r="I1752" s="4" t="n">
        <v>20</v>
      </c>
      <c r="J1752" s="5" t="n">
        <v>0.15</v>
      </c>
      <c r="K1752" s="4" t="n">
        <f aca="false">G1752*H1752*(1-J1752)</f>
        <v>1121.796</v>
      </c>
      <c r="L1752" s="4" t="n">
        <f aca="false">G1752*I1752</f>
        <v>480</v>
      </c>
      <c r="M1752" s="4" t="n">
        <f aca="false">K1752-L1752</f>
        <v>641.796</v>
      </c>
      <c r="N1752" s="6" t="n">
        <f aca="false">IF(K1752=0,0,M1752/K1752)</f>
        <v>0.572114716044629</v>
      </c>
      <c r="O1752" s="4" t="n">
        <f aca="false">(G1752*H1752)-K1752</f>
        <v>197.964</v>
      </c>
      <c r="P1752" s="3" t="s">
        <v>21</v>
      </c>
    </row>
    <row r="1753" customFormat="false" ht="15" hidden="false" customHeight="false" outlineLevel="0" collapsed="false">
      <c r="A1753" s="7" t="n">
        <v>46075</v>
      </c>
      <c r="B1753" s="8" t="s">
        <v>41</v>
      </c>
      <c r="C1753" s="8" t="s">
        <v>28</v>
      </c>
      <c r="D1753" s="8" t="s">
        <v>44</v>
      </c>
      <c r="E1753" s="8" t="s">
        <v>45</v>
      </c>
      <c r="F1753" s="8" t="s">
        <v>40</v>
      </c>
      <c r="G1753" s="8" t="n">
        <v>15</v>
      </c>
      <c r="H1753" s="9" t="n">
        <v>29.99</v>
      </c>
      <c r="I1753" s="9" t="n">
        <v>11</v>
      </c>
      <c r="J1753" s="10" t="n">
        <v>0.1</v>
      </c>
      <c r="K1753" s="9" t="n">
        <f aca="false">G1753*H1753*(1-J1753)</f>
        <v>404.865</v>
      </c>
      <c r="L1753" s="9" t="n">
        <f aca="false">G1753*I1753</f>
        <v>165</v>
      </c>
      <c r="M1753" s="9" t="n">
        <f aca="false">K1753-L1753</f>
        <v>239.865</v>
      </c>
      <c r="N1753" s="11" t="n">
        <f aca="false">IF(K1753=0,0,M1753/K1753)</f>
        <v>0.592456744840873</v>
      </c>
      <c r="O1753" s="9" t="n">
        <f aca="false">(G1753*H1753)-K1753</f>
        <v>44.985</v>
      </c>
      <c r="P1753" s="8" t="s">
        <v>21</v>
      </c>
    </row>
    <row r="1754" customFormat="false" ht="15" hidden="false" customHeight="false" outlineLevel="0" collapsed="false">
      <c r="A1754" s="2" t="n">
        <v>46098</v>
      </c>
      <c r="B1754" s="3" t="s">
        <v>37</v>
      </c>
      <c r="C1754" s="3" t="s">
        <v>17</v>
      </c>
      <c r="D1754" s="3" t="s">
        <v>95</v>
      </c>
      <c r="E1754" s="3" t="s">
        <v>96</v>
      </c>
      <c r="F1754" s="3" t="s">
        <v>50</v>
      </c>
      <c r="G1754" s="3" t="n">
        <v>4</v>
      </c>
      <c r="H1754" s="4" t="n">
        <v>34.99</v>
      </c>
      <c r="I1754" s="4" t="n">
        <v>12</v>
      </c>
      <c r="J1754" s="5" t="n">
        <v>0.2</v>
      </c>
      <c r="K1754" s="4" t="n">
        <f aca="false">G1754*H1754*(1-J1754)</f>
        <v>111.968</v>
      </c>
      <c r="L1754" s="4" t="n">
        <f aca="false">G1754*I1754</f>
        <v>48</v>
      </c>
      <c r="M1754" s="4" t="n">
        <f aca="false">K1754-L1754</f>
        <v>63.968</v>
      </c>
      <c r="N1754" s="6" t="n">
        <f aca="false">IF(K1754=0,0,M1754/K1754)</f>
        <v>0.571306087453558</v>
      </c>
      <c r="O1754" s="4" t="n">
        <f aca="false">(G1754*H1754)-K1754</f>
        <v>27.992</v>
      </c>
      <c r="P1754" s="3" t="s">
        <v>21</v>
      </c>
    </row>
    <row r="1755" customFormat="false" ht="15" hidden="false" customHeight="false" outlineLevel="0" collapsed="false">
      <c r="A1755" s="7" t="n">
        <v>46113</v>
      </c>
      <c r="B1755" s="8" t="s">
        <v>31</v>
      </c>
      <c r="C1755" s="8" t="s">
        <v>23</v>
      </c>
      <c r="D1755" s="8" t="s">
        <v>35</v>
      </c>
      <c r="E1755" s="8" t="s">
        <v>36</v>
      </c>
      <c r="F1755" s="8" t="s">
        <v>26</v>
      </c>
      <c r="G1755" s="8" t="n">
        <v>14</v>
      </c>
      <c r="H1755" s="9" t="n">
        <v>69.99</v>
      </c>
      <c r="I1755" s="9" t="n">
        <v>30</v>
      </c>
      <c r="J1755" s="10" t="n">
        <v>0</v>
      </c>
      <c r="K1755" s="9" t="n">
        <f aca="false">G1755*H1755*(1-J1755)</f>
        <v>979.86</v>
      </c>
      <c r="L1755" s="9" t="n">
        <f aca="false">G1755*I1755</f>
        <v>420</v>
      </c>
      <c r="M1755" s="9" t="n">
        <f aca="false">K1755-L1755</f>
        <v>559.86</v>
      </c>
      <c r="N1755" s="11" t="n">
        <f aca="false">IF(K1755=0,0,M1755/K1755)</f>
        <v>0.57136733819117</v>
      </c>
      <c r="O1755" s="9" t="n">
        <f aca="false">(G1755*H1755)-K1755</f>
        <v>0</v>
      </c>
      <c r="P1755" s="8" t="s">
        <v>21</v>
      </c>
    </row>
    <row r="1756" customFormat="false" ht="15" hidden="false" customHeight="false" outlineLevel="0" collapsed="false">
      <c r="A1756" s="2" t="n">
        <v>46037</v>
      </c>
      <c r="B1756" s="3" t="s">
        <v>64</v>
      </c>
      <c r="C1756" s="3" t="s">
        <v>65</v>
      </c>
      <c r="D1756" s="3" t="s">
        <v>53</v>
      </c>
      <c r="E1756" s="3" t="s">
        <v>54</v>
      </c>
      <c r="F1756" s="3" t="s">
        <v>50</v>
      </c>
      <c r="G1756" s="3" t="n">
        <v>2</v>
      </c>
      <c r="H1756" s="4" t="n">
        <v>22.99</v>
      </c>
      <c r="I1756" s="4" t="n">
        <v>8</v>
      </c>
      <c r="J1756" s="5" t="n">
        <v>0</v>
      </c>
      <c r="K1756" s="4" t="n">
        <f aca="false">G1756*H1756*(1-J1756)</f>
        <v>45.98</v>
      </c>
      <c r="L1756" s="4" t="n">
        <f aca="false">G1756*I1756</f>
        <v>16</v>
      </c>
      <c r="M1756" s="4" t="n">
        <f aca="false">K1756-L1756</f>
        <v>29.98</v>
      </c>
      <c r="N1756" s="6" t="n">
        <f aca="false">IF(K1756=0,0,M1756/K1756)</f>
        <v>0.652022618529796</v>
      </c>
      <c r="O1756" s="4" t="n">
        <f aca="false">(G1756*H1756)-K1756</f>
        <v>0</v>
      </c>
      <c r="P1756" s="3" t="s">
        <v>21</v>
      </c>
    </row>
    <row r="1757" customFormat="false" ht="15" hidden="false" customHeight="false" outlineLevel="0" collapsed="false">
      <c r="A1757" s="7" t="n">
        <v>46102</v>
      </c>
      <c r="B1757" s="8" t="s">
        <v>27</v>
      </c>
      <c r="C1757" s="8" t="s">
        <v>28</v>
      </c>
      <c r="D1757" s="8" t="s">
        <v>86</v>
      </c>
      <c r="E1757" s="8" t="s">
        <v>87</v>
      </c>
      <c r="F1757" s="8" t="s">
        <v>40</v>
      </c>
      <c r="G1757" s="8" t="n">
        <v>17</v>
      </c>
      <c r="H1757" s="9" t="n">
        <v>16.99</v>
      </c>
      <c r="I1757" s="9" t="n">
        <v>5.5</v>
      </c>
      <c r="J1757" s="10" t="n">
        <v>0.2</v>
      </c>
      <c r="K1757" s="9" t="n">
        <f aca="false">G1757*H1757*(1-J1757)</f>
        <v>231.064</v>
      </c>
      <c r="L1757" s="9" t="n">
        <f aca="false">G1757*I1757</f>
        <v>93.5</v>
      </c>
      <c r="M1757" s="9" t="n">
        <f aca="false">K1757-L1757</f>
        <v>137.564</v>
      </c>
      <c r="N1757" s="11" t="n">
        <f aca="false">IF(K1757=0,0,M1757/K1757)</f>
        <v>0.595350206003532</v>
      </c>
      <c r="O1757" s="9" t="n">
        <f aca="false">(G1757*H1757)-K1757</f>
        <v>57.766</v>
      </c>
      <c r="P1757" s="8" t="s">
        <v>21</v>
      </c>
    </row>
    <row r="1758" customFormat="false" ht="15" hidden="false" customHeight="false" outlineLevel="0" collapsed="false">
      <c r="A1758" s="2" t="n">
        <v>46059</v>
      </c>
      <c r="B1758" s="3" t="s">
        <v>16</v>
      </c>
      <c r="C1758" s="3" t="s">
        <v>17</v>
      </c>
      <c r="D1758" s="3" t="s">
        <v>70</v>
      </c>
      <c r="E1758" s="3" t="s">
        <v>71</v>
      </c>
      <c r="F1758" s="3" t="s">
        <v>20</v>
      </c>
      <c r="G1758" s="3" t="n">
        <v>1</v>
      </c>
      <c r="H1758" s="4" t="n">
        <v>49.99</v>
      </c>
      <c r="I1758" s="4" t="n">
        <v>19</v>
      </c>
      <c r="J1758" s="5" t="n">
        <v>0</v>
      </c>
      <c r="K1758" s="4" t="n">
        <f aca="false">G1758*H1758*(1-J1758)</f>
        <v>49.99</v>
      </c>
      <c r="L1758" s="4" t="n">
        <f aca="false">G1758*I1758</f>
        <v>19</v>
      </c>
      <c r="M1758" s="4" t="n">
        <f aca="false">K1758-L1758</f>
        <v>30.99</v>
      </c>
      <c r="N1758" s="6" t="n">
        <f aca="false">IF(K1758=0,0,M1758/K1758)</f>
        <v>0.619923984796959</v>
      </c>
      <c r="O1758" s="4" t="n">
        <f aca="false">(G1758*H1758)-K1758</f>
        <v>0</v>
      </c>
      <c r="P1758" s="3" t="s">
        <v>21</v>
      </c>
    </row>
    <row r="1759" customFormat="false" ht="15" hidden="false" customHeight="false" outlineLevel="0" collapsed="false">
      <c r="A1759" s="7" t="n">
        <v>46127</v>
      </c>
      <c r="B1759" s="8" t="s">
        <v>64</v>
      </c>
      <c r="C1759" s="8" t="s">
        <v>65</v>
      </c>
      <c r="D1759" s="8" t="s">
        <v>72</v>
      </c>
      <c r="E1759" s="8" t="s">
        <v>73</v>
      </c>
      <c r="F1759" s="8" t="s">
        <v>57</v>
      </c>
      <c r="G1759" s="8" t="n">
        <v>22</v>
      </c>
      <c r="H1759" s="9" t="n">
        <v>19.99</v>
      </c>
      <c r="I1759" s="9" t="n">
        <v>7</v>
      </c>
      <c r="J1759" s="10" t="n">
        <v>0.15</v>
      </c>
      <c r="K1759" s="9" t="n">
        <f aca="false">G1759*H1759*(1-J1759)</f>
        <v>373.813</v>
      </c>
      <c r="L1759" s="9" t="n">
        <f aca="false">G1759*I1759</f>
        <v>154</v>
      </c>
      <c r="M1759" s="9" t="n">
        <f aca="false">K1759-L1759</f>
        <v>219.813</v>
      </c>
      <c r="N1759" s="11" t="n">
        <f aca="false">IF(K1759=0,0,M1759/K1759)</f>
        <v>0.588029308772033</v>
      </c>
      <c r="O1759" s="9" t="n">
        <f aca="false">(G1759*H1759)-K1759</f>
        <v>65.967</v>
      </c>
      <c r="P1759" s="8" t="s">
        <v>21</v>
      </c>
    </row>
    <row r="1760" customFormat="false" ht="15" hidden="false" customHeight="false" outlineLevel="0" collapsed="false">
      <c r="A1760" s="2" t="n">
        <v>46114</v>
      </c>
      <c r="B1760" s="3" t="s">
        <v>22</v>
      </c>
      <c r="C1760" s="3" t="s">
        <v>23</v>
      </c>
      <c r="D1760" s="3" t="s">
        <v>84</v>
      </c>
      <c r="E1760" s="3" t="s">
        <v>85</v>
      </c>
      <c r="F1760" s="3" t="s">
        <v>20</v>
      </c>
      <c r="G1760" s="3" t="n">
        <v>4</v>
      </c>
      <c r="H1760" s="4" t="n">
        <v>34.99</v>
      </c>
      <c r="I1760" s="4" t="n">
        <v>13</v>
      </c>
      <c r="J1760" s="5" t="n">
        <v>0.15</v>
      </c>
      <c r="K1760" s="4" t="n">
        <f aca="false">G1760*H1760*(1-J1760)</f>
        <v>118.966</v>
      </c>
      <c r="L1760" s="4" t="n">
        <f aca="false">G1760*I1760</f>
        <v>52</v>
      </c>
      <c r="M1760" s="4" t="n">
        <f aca="false">K1760-L1760</f>
        <v>66.966</v>
      </c>
      <c r="N1760" s="6" t="n">
        <f aca="false">IF(K1760=0,0,M1760/K1760)</f>
        <v>0.562900324462452</v>
      </c>
      <c r="O1760" s="4" t="n">
        <f aca="false">(G1760*H1760)-K1760</f>
        <v>20.994</v>
      </c>
      <c r="P1760" s="3" t="s">
        <v>21</v>
      </c>
    </row>
    <row r="1761" customFormat="false" ht="15" hidden="false" customHeight="false" outlineLevel="0" collapsed="false">
      <c r="A1761" s="7" t="n">
        <v>46075</v>
      </c>
      <c r="B1761" s="8" t="s">
        <v>64</v>
      </c>
      <c r="C1761" s="8" t="s">
        <v>65</v>
      </c>
      <c r="D1761" s="8" t="s">
        <v>72</v>
      </c>
      <c r="E1761" s="8" t="s">
        <v>73</v>
      </c>
      <c r="F1761" s="8" t="s">
        <v>57</v>
      </c>
      <c r="G1761" s="8" t="n">
        <v>17</v>
      </c>
      <c r="H1761" s="9" t="n">
        <v>19.99</v>
      </c>
      <c r="I1761" s="9" t="n">
        <v>7</v>
      </c>
      <c r="J1761" s="10" t="n">
        <v>0</v>
      </c>
      <c r="K1761" s="9" t="n">
        <f aca="false">G1761*H1761*(1-J1761)</f>
        <v>339.83</v>
      </c>
      <c r="L1761" s="9" t="n">
        <f aca="false">G1761*I1761</f>
        <v>119</v>
      </c>
      <c r="M1761" s="9" t="n">
        <f aca="false">K1761-L1761</f>
        <v>220.83</v>
      </c>
      <c r="N1761" s="11" t="n">
        <f aca="false">IF(K1761=0,0,M1761/K1761)</f>
        <v>0.649824912456228</v>
      </c>
      <c r="O1761" s="9" t="n">
        <f aca="false">(G1761*H1761)-K1761</f>
        <v>0</v>
      </c>
      <c r="P1761" s="8" t="s">
        <v>21</v>
      </c>
    </row>
    <row r="1762" customFormat="false" ht="15" hidden="false" customHeight="false" outlineLevel="0" collapsed="false">
      <c r="A1762" s="2" t="n">
        <v>46105</v>
      </c>
      <c r="B1762" s="3" t="s">
        <v>16</v>
      </c>
      <c r="C1762" s="3" t="s">
        <v>17</v>
      </c>
      <c r="D1762" s="3" t="s">
        <v>66</v>
      </c>
      <c r="E1762" s="3" t="s">
        <v>67</v>
      </c>
      <c r="F1762" s="3" t="s">
        <v>57</v>
      </c>
      <c r="G1762" s="3" t="n">
        <v>5</v>
      </c>
      <c r="H1762" s="4" t="n">
        <v>14.99</v>
      </c>
      <c r="I1762" s="4" t="n">
        <v>5.5</v>
      </c>
      <c r="J1762" s="5" t="n">
        <v>0.3</v>
      </c>
      <c r="K1762" s="4" t="n">
        <f aca="false">G1762*H1762*(1-J1762)</f>
        <v>52.465</v>
      </c>
      <c r="L1762" s="4" t="n">
        <f aca="false">G1762*I1762</f>
        <v>27.5</v>
      </c>
      <c r="M1762" s="4" t="n">
        <f aca="false">K1762-L1762</f>
        <v>24.965</v>
      </c>
      <c r="N1762" s="6" t="n">
        <f aca="false">IF(K1762=0,0,M1762/K1762)</f>
        <v>0.475841036881731</v>
      </c>
      <c r="O1762" s="4" t="n">
        <f aca="false">(G1762*H1762)-K1762</f>
        <v>22.485</v>
      </c>
      <c r="P1762" s="3" t="s">
        <v>21</v>
      </c>
    </row>
    <row r="1763" customFormat="false" ht="15" hidden="false" customHeight="false" outlineLevel="0" collapsed="false">
      <c r="A1763" s="7" t="n">
        <v>46094</v>
      </c>
      <c r="B1763" s="8" t="s">
        <v>41</v>
      </c>
      <c r="C1763" s="8" t="s">
        <v>28</v>
      </c>
      <c r="D1763" s="8" t="s">
        <v>76</v>
      </c>
      <c r="E1763" s="8" t="s">
        <v>77</v>
      </c>
      <c r="F1763" s="8" t="s">
        <v>34</v>
      </c>
      <c r="G1763" s="8" t="n">
        <v>4</v>
      </c>
      <c r="H1763" s="9" t="n">
        <v>49.99</v>
      </c>
      <c r="I1763" s="9" t="n">
        <v>14</v>
      </c>
      <c r="J1763" s="10" t="n">
        <v>0.1</v>
      </c>
      <c r="K1763" s="9" t="n">
        <f aca="false">G1763*H1763*(1-J1763)</f>
        <v>179.964</v>
      </c>
      <c r="L1763" s="9" t="n">
        <f aca="false">G1763*I1763</f>
        <v>56</v>
      </c>
      <c r="M1763" s="9" t="n">
        <f aca="false">K1763-L1763</f>
        <v>123.964</v>
      </c>
      <c r="N1763" s="11" t="n">
        <f aca="false">IF(K1763=0,0,M1763/K1763)</f>
        <v>0.688826654219733</v>
      </c>
      <c r="O1763" s="9" t="n">
        <f aca="false">(G1763*H1763)-K1763</f>
        <v>19.996</v>
      </c>
      <c r="P1763" s="8" t="s">
        <v>21</v>
      </c>
    </row>
    <row r="1764" customFormat="false" ht="15" hidden="false" customHeight="false" outlineLevel="0" collapsed="false">
      <c r="A1764" s="2" t="n">
        <v>46097</v>
      </c>
      <c r="B1764" s="3" t="s">
        <v>31</v>
      </c>
      <c r="C1764" s="3" t="s">
        <v>23</v>
      </c>
      <c r="D1764" s="3" t="s">
        <v>68</v>
      </c>
      <c r="E1764" s="3" t="s">
        <v>69</v>
      </c>
      <c r="F1764" s="3" t="s">
        <v>40</v>
      </c>
      <c r="G1764" s="3" t="n">
        <v>25</v>
      </c>
      <c r="H1764" s="4" t="n">
        <v>24.99</v>
      </c>
      <c r="I1764" s="4" t="n">
        <v>9</v>
      </c>
      <c r="J1764" s="5" t="n">
        <v>0</v>
      </c>
      <c r="K1764" s="4" t="n">
        <f aca="false">G1764*H1764*(1-J1764)</f>
        <v>624.75</v>
      </c>
      <c r="L1764" s="4" t="n">
        <f aca="false">G1764*I1764</f>
        <v>225</v>
      </c>
      <c r="M1764" s="4" t="n">
        <f aca="false">K1764-L1764</f>
        <v>399.75</v>
      </c>
      <c r="N1764" s="6" t="n">
        <f aca="false">IF(K1764=0,0,M1764/K1764)</f>
        <v>0.639855942376951</v>
      </c>
      <c r="O1764" s="4" t="n">
        <f aca="false">(G1764*H1764)-K1764</f>
        <v>0</v>
      </c>
      <c r="P1764" s="3" t="s">
        <v>21</v>
      </c>
    </row>
    <row r="1765" customFormat="false" ht="15" hidden="false" customHeight="false" outlineLevel="0" collapsed="false">
      <c r="A1765" s="7" t="n">
        <v>46068</v>
      </c>
      <c r="B1765" s="8" t="s">
        <v>22</v>
      </c>
      <c r="C1765" s="8" t="s">
        <v>23</v>
      </c>
      <c r="D1765" s="8" t="s">
        <v>51</v>
      </c>
      <c r="E1765" s="8" t="s">
        <v>52</v>
      </c>
      <c r="F1765" s="8" t="s">
        <v>50</v>
      </c>
      <c r="G1765" s="8" t="n">
        <v>8</v>
      </c>
      <c r="H1765" s="9" t="n">
        <v>19.99</v>
      </c>
      <c r="I1765" s="9" t="n">
        <v>7</v>
      </c>
      <c r="J1765" s="10" t="n">
        <v>0.3</v>
      </c>
      <c r="K1765" s="9" t="n">
        <f aca="false">G1765*H1765*(1-J1765)</f>
        <v>111.944</v>
      </c>
      <c r="L1765" s="9" t="n">
        <f aca="false">G1765*I1765</f>
        <v>56</v>
      </c>
      <c r="M1765" s="9" t="n">
        <f aca="false">K1765-L1765</f>
        <v>55.944</v>
      </c>
      <c r="N1765" s="11" t="n">
        <f aca="false">IF(K1765=0,0,M1765/K1765)</f>
        <v>0.499749874937469</v>
      </c>
      <c r="O1765" s="9" t="n">
        <f aca="false">(G1765*H1765)-K1765</f>
        <v>47.976</v>
      </c>
      <c r="P1765" s="8" t="s">
        <v>21</v>
      </c>
    </row>
    <row r="1766" customFormat="false" ht="15" hidden="false" customHeight="false" outlineLevel="0" collapsed="false">
      <c r="A1766" s="2" t="n">
        <v>46042</v>
      </c>
      <c r="B1766" s="3" t="s">
        <v>58</v>
      </c>
      <c r="C1766" s="3" t="s">
        <v>58</v>
      </c>
      <c r="D1766" s="3" t="s">
        <v>78</v>
      </c>
      <c r="E1766" s="3" t="s">
        <v>79</v>
      </c>
      <c r="F1766" s="3" t="s">
        <v>20</v>
      </c>
      <c r="G1766" s="3" t="n">
        <v>5</v>
      </c>
      <c r="H1766" s="4" t="n">
        <v>39.99</v>
      </c>
      <c r="I1766" s="4" t="n">
        <v>16</v>
      </c>
      <c r="J1766" s="5" t="n">
        <v>0.2</v>
      </c>
      <c r="K1766" s="4" t="n">
        <f aca="false">G1766*H1766*(1-J1766)</f>
        <v>159.96</v>
      </c>
      <c r="L1766" s="4" t="n">
        <f aca="false">G1766*I1766</f>
        <v>80</v>
      </c>
      <c r="M1766" s="4" t="n">
        <f aca="false">K1766-L1766</f>
        <v>79.96</v>
      </c>
      <c r="N1766" s="6" t="n">
        <f aca="false">IF(K1766=0,0,M1766/K1766)</f>
        <v>0.499874968742186</v>
      </c>
      <c r="O1766" s="4" t="n">
        <f aca="false">(G1766*H1766)-K1766</f>
        <v>39.99</v>
      </c>
      <c r="P1766" s="3" t="s">
        <v>21</v>
      </c>
    </row>
    <row r="1767" customFormat="false" ht="15" hidden="false" customHeight="false" outlineLevel="0" collapsed="false">
      <c r="A1767" s="7" t="n">
        <v>46056</v>
      </c>
      <c r="B1767" s="8" t="s">
        <v>22</v>
      </c>
      <c r="C1767" s="8" t="s">
        <v>23</v>
      </c>
      <c r="D1767" s="8" t="s">
        <v>95</v>
      </c>
      <c r="E1767" s="8" t="s">
        <v>96</v>
      </c>
      <c r="F1767" s="8" t="s">
        <v>50</v>
      </c>
      <c r="G1767" s="8" t="n">
        <v>21</v>
      </c>
      <c r="H1767" s="9" t="n">
        <v>34.99</v>
      </c>
      <c r="I1767" s="9" t="n">
        <v>12</v>
      </c>
      <c r="J1767" s="10" t="n">
        <v>0</v>
      </c>
      <c r="K1767" s="9" t="n">
        <f aca="false">G1767*H1767*(1-J1767)</f>
        <v>734.79</v>
      </c>
      <c r="L1767" s="9" t="n">
        <f aca="false">G1767*I1767</f>
        <v>252</v>
      </c>
      <c r="M1767" s="9" t="n">
        <f aca="false">K1767-L1767</f>
        <v>482.79</v>
      </c>
      <c r="N1767" s="11" t="n">
        <f aca="false">IF(K1767=0,0,M1767/K1767)</f>
        <v>0.657044869962847</v>
      </c>
      <c r="O1767" s="9" t="n">
        <f aca="false">(G1767*H1767)-K1767</f>
        <v>0</v>
      </c>
      <c r="P1767" s="8" t="s">
        <v>21</v>
      </c>
    </row>
    <row r="1768" customFormat="false" ht="15" hidden="false" customHeight="false" outlineLevel="0" collapsed="false">
      <c r="A1768" s="2" t="n">
        <v>46028</v>
      </c>
      <c r="B1768" s="3" t="s">
        <v>37</v>
      </c>
      <c r="C1768" s="3" t="s">
        <v>17</v>
      </c>
      <c r="D1768" s="3" t="s">
        <v>59</v>
      </c>
      <c r="E1768" s="3" t="s">
        <v>60</v>
      </c>
      <c r="F1768" s="3" t="s">
        <v>50</v>
      </c>
      <c r="G1768" s="3" t="n">
        <v>20</v>
      </c>
      <c r="H1768" s="4" t="n">
        <v>24.99</v>
      </c>
      <c r="I1768" s="4" t="n">
        <v>8.5</v>
      </c>
      <c r="J1768" s="5" t="n">
        <v>0</v>
      </c>
      <c r="K1768" s="4" t="n">
        <f aca="false">G1768*H1768*(1-J1768)</f>
        <v>499.8</v>
      </c>
      <c r="L1768" s="4" t="n">
        <f aca="false">G1768*I1768</f>
        <v>170</v>
      </c>
      <c r="M1768" s="4" t="n">
        <f aca="false">K1768-L1768</f>
        <v>329.8</v>
      </c>
      <c r="N1768" s="6" t="n">
        <f aca="false">IF(K1768=0,0,M1768/K1768)</f>
        <v>0.659863945578231</v>
      </c>
      <c r="O1768" s="4" t="n">
        <f aca="false">(G1768*H1768)-K1768</f>
        <v>0</v>
      </c>
      <c r="P1768" s="3" t="s">
        <v>21</v>
      </c>
    </row>
    <row r="1769" customFormat="false" ht="15" hidden="false" customHeight="false" outlineLevel="0" collapsed="false">
      <c r="A1769" s="7" t="n">
        <v>46034</v>
      </c>
      <c r="B1769" s="8" t="s">
        <v>58</v>
      </c>
      <c r="C1769" s="8" t="s">
        <v>58</v>
      </c>
      <c r="D1769" s="8" t="s">
        <v>51</v>
      </c>
      <c r="E1769" s="8" t="s">
        <v>52</v>
      </c>
      <c r="F1769" s="8" t="s">
        <v>50</v>
      </c>
      <c r="G1769" s="8" t="n">
        <v>14</v>
      </c>
      <c r="H1769" s="9" t="n">
        <v>19.99</v>
      </c>
      <c r="I1769" s="9" t="n">
        <v>7</v>
      </c>
      <c r="J1769" s="10" t="n">
        <v>0.1</v>
      </c>
      <c r="K1769" s="9" t="n">
        <f aca="false">G1769*H1769*(1-J1769)</f>
        <v>251.874</v>
      </c>
      <c r="L1769" s="9" t="n">
        <f aca="false">G1769*I1769</f>
        <v>98</v>
      </c>
      <c r="M1769" s="9" t="n">
        <f aca="false">K1769-L1769</f>
        <v>153.874</v>
      </c>
      <c r="N1769" s="11" t="n">
        <f aca="false">IF(K1769=0,0,M1769/K1769)</f>
        <v>0.610916569395809</v>
      </c>
      <c r="O1769" s="9" t="n">
        <f aca="false">(G1769*H1769)-K1769</f>
        <v>27.986</v>
      </c>
      <c r="P1769" s="8" t="s">
        <v>21</v>
      </c>
    </row>
    <row r="1770" customFormat="false" ht="15" hidden="false" customHeight="false" outlineLevel="0" collapsed="false">
      <c r="A1770" s="2" t="n">
        <v>46127</v>
      </c>
      <c r="B1770" s="3" t="s">
        <v>37</v>
      </c>
      <c r="C1770" s="3" t="s">
        <v>17</v>
      </c>
      <c r="D1770" s="3" t="s">
        <v>68</v>
      </c>
      <c r="E1770" s="3" t="s">
        <v>69</v>
      </c>
      <c r="F1770" s="3" t="s">
        <v>40</v>
      </c>
      <c r="G1770" s="3" t="n">
        <v>15</v>
      </c>
      <c r="H1770" s="4" t="n">
        <v>24.99</v>
      </c>
      <c r="I1770" s="4" t="n">
        <v>9</v>
      </c>
      <c r="J1770" s="5" t="n">
        <v>0.1</v>
      </c>
      <c r="K1770" s="4" t="n">
        <f aca="false">G1770*H1770*(1-J1770)</f>
        <v>337.365</v>
      </c>
      <c r="L1770" s="4" t="n">
        <f aca="false">G1770*I1770</f>
        <v>135</v>
      </c>
      <c r="M1770" s="4" t="n">
        <f aca="false">K1770-L1770</f>
        <v>202.365</v>
      </c>
      <c r="N1770" s="6" t="n">
        <f aca="false">IF(K1770=0,0,M1770/K1770)</f>
        <v>0.59983993597439</v>
      </c>
      <c r="O1770" s="4" t="n">
        <f aca="false">(G1770*H1770)-K1770</f>
        <v>37.485</v>
      </c>
      <c r="P1770" s="3" t="s">
        <v>21</v>
      </c>
    </row>
    <row r="1771" customFormat="false" ht="15" hidden="false" customHeight="false" outlineLevel="0" collapsed="false">
      <c r="A1771" s="7" t="n">
        <v>46129</v>
      </c>
      <c r="B1771" s="8" t="s">
        <v>27</v>
      </c>
      <c r="C1771" s="8" t="s">
        <v>28</v>
      </c>
      <c r="D1771" s="8" t="s">
        <v>78</v>
      </c>
      <c r="E1771" s="8" t="s">
        <v>79</v>
      </c>
      <c r="F1771" s="8" t="s">
        <v>20</v>
      </c>
      <c r="G1771" s="8" t="n">
        <v>1</v>
      </c>
      <c r="H1771" s="9" t="n">
        <v>42.99</v>
      </c>
      <c r="I1771" s="9" t="n">
        <v>16</v>
      </c>
      <c r="J1771" s="10" t="n">
        <v>0.1</v>
      </c>
      <c r="K1771" s="9" t="n">
        <f aca="false">G1771*H1771*(1-J1771)</f>
        <v>38.691</v>
      </c>
      <c r="L1771" s="9" t="n">
        <f aca="false">G1771*I1771</f>
        <v>16</v>
      </c>
      <c r="M1771" s="9" t="n">
        <f aca="false">K1771-L1771</f>
        <v>22.691</v>
      </c>
      <c r="N1771" s="11" t="n">
        <f aca="false">IF(K1771=0,0,M1771/K1771)</f>
        <v>0.586467137060298</v>
      </c>
      <c r="O1771" s="9" t="n">
        <f aca="false">(G1771*H1771)-K1771</f>
        <v>4.299</v>
      </c>
      <c r="P1771" s="8" t="s">
        <v>21</v>
      </c>
    </row>
    <row r="1772" customFormat="false" ht="15" hidden="false" customHeight="false" outlineLevel="0" collapsed="false">
      <c r="A1772" s="2" t="n">
        <v>46028</v>
      </c>
      <c r="B1772" s="3" t="s">
        <v>41</v>
      </c>
      <c r="C1772" s="3" t="s">
        <v>28</v>
      </c>
      <c r="D1772" s="3" t="s">
        <v>46</v>
      </c>
      <c r="E1772" s="3" t="s">
        <v>47</v>
      </c>
      <c r="F1772" s="3" t="s">
        <v>20</v>
      </c>
      <c r="G1772" s="3" t="n">
        <v>23</v>
      </c>
      <c r="H1772" s="4" t="n">
        <v>44.99</v>
      </c>
      <c r="I1772" s="4" t="n">
        <v>18</v>
      </c>
      <c r="J1772" s="5" t="n">
        <v>0.2</v>
      </c>
      <c r="K1772" s="4" t="n">
        <f aca="false">G1772*H1772*(1-J1772)</f>
        <v>827.816</v>
      </c>
      <c r="L1772" s="4" t="n">
        <f aca="false">G1772*I1772</f>
        <v>414</v>
      </c>
      <c r="M1772" s="4" t="n">
        <f aca="false">K1772-L1772</f>
        <v>413.816</v>
      </c>
      <c r="N1772" s="6" t="n">
        <f aca="false">IF(K1772=0,0,M1772/K1772)</f>
        <v>0.499888864192043</v>
      </c>
      <c r="O1772" s="4" t="n">
        <f aca="false">(G1772*H1772)-K1772</f>
        <v>206.954</v>
      </c>
      <c r="P1772" s="3" t="s">
        <v>21</v>
      </c>
    </row>
    <row r="1773" customFormat="false" ht="15" hidden="false" customHeight="false" outlineLevel="0" collapsed="false">
      <c r="A1773" s="7" t="n">
        <v>46101</v>
      </c>
      <c r="B1773" s="8" t="s">
        <v>16</v>
      </c>
      <c r="C1773" s="8" t="s">
        <v>17</v>
      </c>
      <c r="D1773" s="8" t="s">
        <v>88</v>
      </c>
      <c r="E1773" s="8" t="s">
        <v>89</v>
      </c>
      <c r="F1773" s="8" t="s">
        <v>57</v>
      </c>
      <c r="G1773" s="8" t="n">
        <v>18</v>
      </c>
      <c r="H1773" s="9" t="n">
        <v>12.99</v>
      </c>
      <c r="I1773" s="9" t="n">
        <v>4.5</v>
      </c>
      <c r="J1773" s="10" t="n">
        <v>0</v>
      </c>
      <c r="K1773" s="9" t="n">
        <f aca="false">G1773*H1773*(1-J1773)</f>
        <v>233.82</v>
      </c>
      <c r="L1773" s="9" t="n">
        <f aca="false">G1773*I1773</f>
        <v>81</v>
      </c>
      <c r="M1773" s="9" t="n">
        <f aca="false">K1773-L1773</f>
        <v>152.82</v>
      </c>
      <c r="N1773" s="11" t="n">
        <f aca="false">IF(K1773=0,0,M1773/K1773)</f>
        <v>0.653579676674365</v>
      </c>
      <c r="O1773" s="9" t="n">
        <f aca="false">(G1773*H1773)-K1773</f>
        <v>0</v>
      </c>
      <c r="P1773" s="8" t="s">
        <v>21</v>
      </c>
    </row>
    <row r="1774" customFormat="false" ht="15" hidden="false" customHeight="false" outlineLevel="0" collapsed="false">
      <c r="A1774" s="2" t="n">
        <v>46087</v>
      </c>
      <c r="B1774" s="3" t="s">
        <v>58</v>
      </c>
      <c r="C1774" s="3" t="s">
        <v>58</v>
      </c>
      <c r="D1774" s="3" t="s">
        <v>53</v>
      </c>
      <c r="E1774" s="3" t="s">
        <v>54</v>
      </c>
      <c r="F1774" s="3" t="s">
        <v>50</v>
      </c>
      <c r="G1774" s="3" t="n">
        <v>3</v>
      </c>
      <c r="H1774" s="4" t="n">
        <v>22.99</v>
      </c>
      <c r="I1774" s="4" t="n">
        <v>8</v>
      </c>
      <c r="J1774" s="5" t="n">
        <v>0.25</v>
      </c>
      <c r="K1774" s="4" t="n">
        <f aca="false">G1774*H1774*(1-J1774)</f>
        <v>51.7275</v>
      </c>
      <c r="L1774" s="4" t="n">
        <f aca="false">G1774*I1774</f>
        <v>24</v>
      </c>
      <c r="M1774" s="4" t="n">
        <f aca="false">K1774-L1774</f>
        <v>27.7275</v>
      </c>
      <c r="N1774" s="6" t="n">
        <f aca="false">IF(K1774=0,0,M1774/K1774)</f>
        <v>0.536030158039727</v>
      </c>
      <c r="O1774" s="4" t="n">
        <f aca="false">(G1774*H1774)-K1774</f>
        <v>17.2425</v>
      </c>
      <c r="P1774" s="3" t="s">
        <v>21</v>
      </c>
    </row>
    <row r="1775" customFormat="false" ht="15" hidden="false" customHeight="false" outlineLevel="0" collapsed="false">
      <c r="A1775" s="7" t="n">
        <v>46078</v>
      </c>
      <c r="B1775" s="8" t="s">
        <v>64</v>
      </c>
      <c r="C1775" s="8" t="s">
        <v>65</v>
      </c>
      <c r="D1775" s="8" t="s">
        <v>84</v>
      </c>
      <c r="E1775" s="8" t="s">
        <v>85</v>
      </c>
      <c r="F1775" s="8" t="s">
        <v>20</v>
      </c>
      <c r="G1775" s="8" t="n">
        <v>6</v>
      </c>
      <c r="H1775" s="9" t="n">
        <v>39.44</v>
      </c>
      <c r="I1775" s="9" t="n">
        <v>13</v>
      </c>
      <c r="J1775" s="10" t="n">
        <v>0</v>
      </c>
      <c r="K1775" s="9" t="n">
        <f aca="false">G1775*H1775*(1-J1775)</f>
        <v>236.64</v>
      </c>
      <c r="L1775" s="9" t="n">
        <f aca="false">G1775*I1775</f>
        <v>78</v>
      </c>
      <c r="M1775" s="9" t="n">
        <f aca="false">K1775-L1775</f>
        <v>158.64</v>
      </c>
      <c r="N1775" s="11" t="n">
        <f aca="false">IF(K1775=0,0,M1775/K1775)</f>
        <v>0.670385395537525</v>
      </c>
      <c r="O1775" s="9" t="n">
        <f aca="false">(G1775*H1775)-K1775</f>
        <v>0</v>
      </c>
      <c r="P1775" s="12" t="s">
        <v>63</v>
      </c>
    </row>
    <row r="1776" customFormat="false" ht="15" hidden="false" customHeight="false" outlineLevel="0" collapsed="false">
      <c r="A1776" s="2" t="n">
        <v>46125</v>
      </c>
      <c r="B1776" s="3" t="s">
        <v>22</v>
      </c>
      <c r="C1776" s="3" t="s">
        <v>23</v>
      </c>
      <c r="D1776" s="3" t="s">
        <v>35</v>
      </c>
      <c r="E1776" s="3" t="s">
        <v>36</v>
      </c>
      <c r="F1776" s="3" t="s">
        <v>26</v>
      </c>
      <c r="G1776" s="3" t="n">
        <v>21</v>
      </c>
      <c r="H1776" s="4" t="n">
        <v>69.99</v>
      </c>
      <c r="I1776" s="4" t="n">
        <v>30</v>
      </c>
      <c r="J1776" s="5" t="n">
        <v>0.25</v>
      </c>
      <c r="K1776" s="4" t="n">
        <f aca="false">G1776*H1776*(1-J1776)</f>
        <v>1102.3425</v>
      </c>
      <c r="L1776" s="4" t="n">
        <f aca="false">G1776*I1776</f>
        <v>630</v>
      </c>
      <c r="M1776" s="4" t="n">
        <f aca="false">K1776-L1776</f>
        <v>472.3425</v>
      </c>
      <c r="N1776" s="6" t="n">
        <f aca="false">IF(K1776=0,0,M1776/K1776)</f>
        <v>0.428489784254894</v>
      </c>
      <c r="O1776" s="4" t="n">
        <f aca="false">(G1776*H1776)-K1776</f>
        <v>367.4475</v>
      </c>
      <c r="P1776" s="3" t="s">
        <v>21</v>
      </c>
    </row>
    <row r="1777" customFormat="false" ht="15" hidden="false" customHeight="false" outlineLevel="0" collapsed="false">
      <c r="A1777" s="7" t="n">
        <v>46041</v>
      </c>
      <c r="B1777" s="8" t="s">
        <v>16</v>
      </c>
      <c r="C1777" s="8" t="s">
        <v>17</v>
      </c>
      <c r="D1777" s="8" t="s">
        <v>66</v>
      </c>
      <c r="E1777" s="8" t="s">
        <v>67</v>
      </c>
      <c r="F1777" s="8" t="s">
        <v>57</v>
      </c>
      <c r="G1777" s="8" t="n">
        <v>26</v>
      </c>
      <c r="H1777" s="9" t="n">
        <v>14.99</v>
      </c>
      <c r="I1777" s="9" t="n">
        <v>5.5</v>
      </c>
      <c r="J1777" s="10" t="n">
        <v>0</v>
      </c>
      <c r="K1777" s="9" t="n">
        <f aca="false">G1777*H1777*(1-J1777)</f>
        <v>389.74</v>
      </c>
      <c r="L1777" s="9" t="n">
        <f aca="false">G1777*I1777</f>
        <v>143</v>
      </c>
      <c r="M1777" s="9" t="n">
        <f aca="false">K1777-L1777</f>
        <v>246.74</v>
      </c>
      <c r="N1777" s="11" t="n">
        <f aca="false">IF(K1777=0,0,M1777/K1777)</f>
        <v>0.633088725817211</v>
      </c>
      <c r="O1777" s="9" t="n">
        <f aca="false">(G1777*H1777)-K1777</f>
        <v>0</v>
      </c>
      <c r="P1777" s="8" t="s">
        <v>21</v>
      </c>
    </row>
    <row r="1778" customFormat="false" ht="15" hidden="false" customHeight="false" outlineLevel="0" collapsed="false">
      <c r="A1778" s="2" t="n">
        <v>46089</v>
      </c>
      <c r="B1778" s="3" t="s">
        <v>41</v>
      </c>
      <c r="C1778" s="3" t="s">
        <v>28</v>
      </c>
      <c r="D1778" s="3" t="s">
        <v>74</v>
      </c>
      <c r="E1778" s="3" t="s">
        <v>75</v>
      </c>
      <c r="F1778" s="3" t="s">
        <v>40</v>
      </c>
      <c r="G1778" s="3" t="n">
        <v>16</v>
      </c>
      <c r="H1778" s="4" t="n">
        <v>29.99</v>
      </c>
      <c r="I1778" s="4" t="n">
        <v>13</v>
      </c>
      <c r="J1778" s="5" t="n">
        <v>0.05</v>
      </c>
      <c r="K1778" s="4" t="n">
        <f aca="false">G1778*H1778*(1-J1778)</f>
        <v>455.848</v>
      </c>
      <c r="L1778" s="4" t="n">
        <f aca="false">G1778*I1778</f>
        <v>208</v>
      </c>
      <c r="M1778" s="4" t="n">
        <f aca="false">K1778-L1778</f>
        <v>247.848</v>
      </c>
      <c r="N1778" s="6" t="n">
        <f aca="false">IF(K1778=0,0,M1778/K1778)</f>
        <v>0.54370755164002</v>
      </c>
      <c r="O1778" s="4" t="n">
        <f aca="false">(G1778*H1778)-K1778</f>
        <v>23.992</v>
      </c>
      <c r="P1778" s="3" t="s">
        <v>21</v>
      </c>
    </row>
    <row r="1779" customFormat="false" ht="15" hidden="false" customHeight="false" outlineLevel="0" collapsed="false">
      <c r="A1779" s="7" t="n">
        <v>46106</v>
      </c>
      <c r="B1779" s="8" t="s">
        <v>27</v>
      </c>
      <c r="C1779" s="8" t="s">
        <v>28</v>
      </c>
      <c r="D1779" s="8" t="s">
        <v>48</v>
      </c>
      <c r="E1779" s="8" t="s">
        <v>49</v>
      </c>
      <c r="F1779" s="8" t="s">
        <v>50</v>
      </c>
      <c r="G1779" s="8" t="n">
        <v>9</v>
      </c>
      <c r="H1779" s="9" t="n">
        <v>59.99</v>
      </c>
      <c r="I1779" s="9" t="n">
        <v>20</v>
      </c>
      <c r="J1779" s="10" t="n">
        <v>0.05</v>
      </c>
      <c r="K1779" s="9" t="n">
        <f aca="false">G1779*H1779*(1-J1779)</f>
        <v>512.9145</v>
      </c>
      <c r="L1779" s="9" t="n">
        <f aca="false">G1779*I1779</f>
        <v>180</v>
      </c>
      <c r="M1779" s="9" t="n">
        <f aca="false">K1779-L1779</f>
        <v>332.9145</v>
      </c>
      <c r="N1779" s="11" t="n">
        <f aca="false">IF(K1779=0,0,M1779/K1779)</f>
        <v>0.649064317737167</v>
      </c>
      <c r="O1779" s="9" t="n">
        <f aca="false">(G1779*H1779)-K1779</f>
        <v>26.9955</v>
      </c>
      <c r="P1779" s="8" t="s">
        <v>21</v>
      </c>
    </row>
    <row r="1780" customFormat="false" ht="15" hidden="false" customHeight="false" outlineLevel="0" collapsed="false">
      <c r="A1780" s="2" t="n">
        <v>46064</v>
      </c>
      <c r="B1780" s="3" t="s">
        <v>22</v>
      </c>
      <c r="C1780" s="3" t="s">
        <v>23</v>
      </c>
      <c r="D1780" s="3" t="s">
        <v>68</v>
      </c>
      <c r="E1780" s="3" t="s">
        <v>69</v>
      </c>
      <c r="F1780" s="3" t="s">
        <v>40</v>
      </c>
      <c r="G1780" s="3" t="n">
        <v>6</v>
      </c>
      <c r="H1780" s="4" t="n">
        <v>24.99</v>
      </c>
      <c r="I1780" s="4" t="n">
        <v>9</v>
      </c>
      <c r="J1780" s="5" t="n">
        <v>0.1</v>
      </c>
      <c r="K1780" s="4" t="n">
        <f aca="false">G1780*H1780*(1-J1780)</f>
        <v>134.946</v>
      </c>
      <c r="L1780" s="4" t="n">
        <f aca="false">G1780*I1780</f>
        <v>54</v>
      </c>
      <c r="M1780" s="4" t="n">
        <f aca="false">K1780-L1780</f>
        <v>80.946</v>
      </c>
      <c r="N1780" s="6" t="n">
        <f aca="false">IF(K1780=0,0,M1780/K1780)</f>
        <v>0.59983993597439</v>
      </c>
      <c r="O1780" s="4" t="n">
        <f aca="false">(G1780*H1780)-K1780</f>
        <v>14.994</v>
      </c>
      <c r="P1780" s="3" t="s">
        <v>21</v>
      </c>
    </row>
    <row r="1781" customFormat="false" ht="15" hidden="false" customHeight="false" outlineLevel="0" collapsed="false">
      <c r="A1781" s="7" t="n">
        <v>46051</v>
      </c>
      <c r="B1781" s="8" t="s">
        <v>22</v>
      </c>
      <c r="C1781" s="8" t="s">
        <v>23</v>
      </c>
      <c r="D1781" s="8" t="s">
        <v>53</v>
      </c>
      <c r="E1781" s="8" t="s">
        <v>54</v>
      </c>
      <c r="F1781" s="8" t="s">
        <v>50</v>
      </c>
      <c r="G1781" s="8" t="n">
        <v>4</v>
      </c>
      <c r="H1781" s="9" t="n">
        <v>22.99</v>
      </c>
      <c r="I1781" s="9" t="n">
        <v>8</v>
      </c>
      <c r="J1781" s="10" t="n">
        <v>0.3</v>
      </c>
      <c r="K1781" s="9" t="n">
        <f aca="false">G1781*H1781*(1-J1781)</f>
        <v>64.372</v>
      </c>
      <c r="L1781" s="9" t="n">
        <f aca="false">G1781*I1781</f>
        <v>32</v>
      </c>
      <c r="M1781" s="9" t="n">
        <f aca="false">K1781-L1781</f>
        <v>32.372</v>
      </c>
      <c r="N1781" s="11" t="n">
        <f aca="false">IF(K1781=0,0,M1781/K1781)</f>
        <v>0.502889455042565</v>
      </c>
      <c r="O1781" s="9" t="n">
        <f aca="false">(G1781*H1781)-K1781</f>
        <v>27.588</v>
      </c>
      <c r="P1781" s="8" t="s">
        <v>21</v>
      </c>
    </row>
    <row r="1782" customFormat="false" ht="15" hidden="false" customHeight="false" outlineLevel="0" collapsed="false">
      <c r="A1782" s="2" t="n">
        <v>46042</v>
      </c>
      <c r="B1782" s="3" t="s">
        <v>58</v>
      </c>
      <c r="C1782" s="3" t="s">
        <v>58</v>
      </c>
      <c r="D1782" s="3" t="s">
        <v>72</v>
      </c>
      <c r="E1782" s="3" t="s">
        <v>73</v>
      </c>
      <c r="F1782" s="3" t="s">
        <v>57</v>
      </c>
      <c r="G1782" s="3" t="n">
        <v>10</v>
      </c>
      <c r="H1782" s="4" t="n">
        <v>19.99</v>
      </c>
      <c r="I1782" s="4" t="n">
        <v>7</v>
      </c>
      <c r="J1782" s="5" t="n">
        <v>0.1</v>
      </c>
      <c r="K1782" s="4" t="n">
        <f aca="false">G1782*H1782*(1-J1782)</f>
        <v>179.91</v>
      </c>
      <c r="L1782" s="4" t="n">
        <f aca="false">G1782*I1782</f>
        <v>70</v>
      </c>
      <c r="M1782" s="4" t="n">
        <f aca="false">K1782-L1782</f>
        <v>109.91</v>
      </c>
      <c r="N1782" s="6" t="n">
        <f aca="false">IF(K1782=0,0,M1782/K1782)</f>
        <v>0.610916569395809</v>
      </c>
      <c r="O1782" s="4" t="n">
        <f aca="false">(G1782*H1782)-K1782</f>
        <v>19.99</v>
      </c>
      <c r="P1782" s="3" t="s">
        <v>21</v>
      </c>
    </row>
    <row r="1783" customFormat="false" ht="15" hidden="false" customHeight="false" outlineLevel="0" collapsed="false">
      <c r="A1783" s="7" t="n">
        <v>46092</v>
      </c>
      <c r="B1783" s="8" t="s">
        <v>16</v>
      </c>
      <c r="C1783" s="8" t="s">
        <v>17</v>
      </c>
      <c r="D1783" s="8" t="s">
        <v>66</v>
      </c>
      <c r="E1783" s="8" t="s">
        <v>67</v>
      </c>
      <c r="F1783" s="8" t="s">
        <v>57</v>
      </c>
      <c r="G1783" s="8" t="n">
        <v>12</v>
      </c>
      <c r="H1783" s="9" t="n">
        <v>14.99</v>
      </c>
      <c r="I1783" s="9" t="n">
        <v>5.5</v>
      </c>
      <c r="J1783" s="10" t="n">
        <v>0.1</v>
      </c>
      <c r="K1783" s="9" t="n">
        <f aca="false">G1783*H1783*(1-J1783)</f>
        <v>161.892</v>
      </c>
      <c r="L1783" s="9" t="n">
        <f aca="false">G1783*I1783</f>
        <v>66</v>
      </c>
      <c r="M1783" s="9" t="n">
        <f aca="false">K1783-L1783</f>
        <v>95.892</v>
      </c>
      <c r="N1783" s="11" t="n">
        <f aca="false">IF(K1783=0,0,M1783/K1783)</f>
        <v>0.592320806463568</v>
      </c>
      <c r="O1783" s="9" t="n">
        <f aca="false">(G1783*H1783)-K1783</f>
        <v>17.988</v>
      </c>
      <c r="P1783" s="8" t="s">
        <v>21</v>
      </c>
    </row>
    <row r="1784" customFormat="false" ht="15" hidden="false" customHeight="false" outlineLevel="0" collapsed="false">
      <c r="A1784" s="2" t="n">
        <v>46098</v>
      </c>
      <c r="B1784" s="3" t="s">
        <v>41</v>
      </c>
      <c r="C1784" s="3" t="s">
        <v>28</v>
      </c>
      <c r="D1784" s="3" t="s">
        <v>51</v>
      </c>
      <c r="E1784" s="3" t="s">
        <v>52</v>
      </c>
      <c r="F1784" s="3" t="s">
        <v>50</v>
      </c>
      <c r="G1784" s="3" t="n">
        <v>6</v>
      </c>
      <c r="H1784" s="4" t="n">
        <v>19.99</v>
      </c>
      <c r="I1784" s="4" t="n">
        <v>7</v>
      </c>
      <c r="J1784" s="5" t="n">
        <v>0.05</v>
      </c>
      <c r="K1784" s="4" t="n">
        <f aca="false">G1784*H1784*(1-J1784)</f>
        <v>113.943</v>
      </c>
      <c r="L1784" s="4" t="n">
        <f aca="false">G1784*I1784</f>
        <v>42</v>
      </c>
      <c r="M1784" s="4" t="n">
        <f aca="false">K1784-L1784</f>
        <v>71.943</v>
      </c>
      <c r="N1784" s="6" t="n">
        <f aca="false">IF(K1784=0,0,M1784/K1784)</f>
        <v>0.631394644690766</v>
      </c>
      <c r="O1784" s="4" t="n">
        <f aca="false">(G1784*H1784)-K1784</f>
        <v>5.997</v>
      </c>
      <c r="P1784" s="3" t="s">
        <v>21</v>
      </c>
    </row>
    <row r="1785" customFormat="false" ht="15" hidden="false" customHeight="false" outlineLevel="0" collapsed="false">
      <c r="A1785" s="7" t="n">
        <v>46079</v>
      </c>
      <c r="B1785" s="8" t="s">
        <v>37</v>
      </c>
      <c r="C1785" s="8" t="s">
        <v>17</v>
      </c>
      <c r="D1785" s="8" t="s">
        <v>70</v>
      </c>
      <c r="E1785" s="8" t="s">
        <v>71</v>
      </c>
      <c r="F1785" s="8" t="s">
        <v>20</v>
      </c>
      <c r="G1785" s="8" t="n">
        <v>2</v>
      </c>
      <c r="H1785" s="9" t="n">
        <v>49.99</v>
      </c>
      <c r="I1785" s="9" t="n">
        <v>19</v>
      </c>
      <c r="J1785" s="10" t="n">
        <v>0</v>
      </c>
      <c r="K1785" s="9" t="n">
        <f aca="false">G1785*H1785*(1-J1785)</f>
        <v>99.98</v>
      </c>
      <c r="L1785" s="9" t="n">
        <f aca="false">G1785*I1785</f>
        <v>38</v>
      </c>
      <c r="M1785" s="9" t="n">
        <f aca="false">K1785-L1785</f>
        <v>61.98</v>
      </c>
      <c r="N1785" s="11" t="n">
        <f aca="false">IF(K1785=0,0,M1785/K1785)</f>
        <v>0.619923984796959</v>
      </c>
      <c r="O1785" s="9" t="n">
        <f aca="false">(G1785*H1785)-K1785</f>
        <v>0</v>
      </c>
      <c r="P1785" s="8" t="s">
        <v>21</v>
      </c>
    </row>
    <row r="1786" customFormat="false" ht="15" hidden="false" customHeight="false" outlineLevel="0" collapsed="false">
      <c r="A1786" s="2" t="n">
        <v>46083</v>
      </c>
      <c r="B1786" s="3" t="s">
        <v>22</v>
      </c>
      <c r="C1786" s="3" t="s">
        <v>23</v>
      </c>
      <c r="D1786" s="3" t="s">
        <v>90</v>
      </c>
      <c r="E1786" s="3" t="s">
        <v>91</v>
      </c>
      <c r="F1786" s="3" t="s">
        <v>26</v>
      </c>
      <c r="G1786" s="3" t="n">
        <v>26</v>
      </c>
      <c r="H1786" s="4" t="n">
        <v>29.99</v>
      </c>
      <c r="I1786" s="4" t="n">
        <v>11</v>
      </c>
      <c r="J1786" s="5" t="n">
        <v>0.1</v>
      </c>
      <c r="K1786" s="4" t="n">
        <f aca="false">G1786*H1786*(1-J1786)</f>
        <v>701.766</v>
      </c>
      <c r="L1786" s="4" t="n">
        <f aca="false">G1786*I1786</f>
        <v>286</v>
      </c>
      <c r="M1786" s="4" t="n">
        <f aca="false">K1786-L1786</f>
        <v>415.766</v>
      </c>
      <c r="N1786" s="6" t="n">
        <f aca="false">IF(K1786=0,0,M1786/K1786)</f>
        <v>0.592456744840873</v>
      </c>
      <c r="O1786" s="4" t="n">
        <f aca="false">(G1786*H1786)-K1786</f>
        <v>77.9739999999999</v>
      </c>
      <c r="P1786" s="3" t="s">
        <v>21</v>
      </c>
    </row>
    <row r="1787" customFormat="false" ht="15" hidden="false" customHeight="false" outlineLevel="0" collapsed="false">
      <c r="A1787" s="7" t="n">
        <v>46065</v>
      </c>
      <c r="B1787" s="8" t="s">
        <v>31</v>
      </c>
      <c r="C1787" s="8" t="s">
        <v>23</v>
      </c>
      <c r="D1787" s="8" t="s">
        <v>46</v>
      </c>
      <c r="E1787" s="8" t="s">
        <v>47</v>
      </c>
      <c r="F1787" s="8" t="s">
        <v>20</v>
      </c>
      <c r="G1787" s="8" t="n">
        <v>29</v>
      </c>
      <c r="H1787" s="9" t="n">
        <v>44.99</v>
      </c>
      <c r="I1787" s="9" t="n">
        <v>18</v>
      </c>
      <c r="J1787" s="10" t="n">
        <v>0.05</v>
      </c>
      <c r="K1787" s="9" t="n">
        <f aca="false">G1787*H1787*(1-J1787)</f>
        <v>1239.4745</v>
      </c>
      <c r="L1787" s="9" t="n">
        <f aca="false">G1787*I1787</f>
        <v>522</v>
      </c>
      <c r="M1787" s="9" t="n">
        <f aca="false">K1787-L1787</f>
        <v>717.4745</v>
      </c>
      <c r="N1787" s="11" t="n">
        <f aca="false">IF(K1787=0,0,M1787/K1787)</f>
        <v>0.578853780372246</v>
      </c>
      <c r="O1787" s="9" t="n">
        <f aca="false">(G1787*H1787)-K1787</f>
        <v>65.2355</v>
      </c>
      <c r="P1787" s="8" t="s">
        <v>21</v>
      </c>
    </row>
    <row r="1788" customFormat="false" ht="15" hidden="false" customHeight="false" outlineLevel="0" collapsed="false">
      <c r="A1788" s="2" t="n">
        <v>46046</v>
      </c>
      <c r="B1788" s="3" t="s">
        <v>16</v>
      </c>
      <c r="C1788" s="3" t="s">
        <v>17</v>
      </c>
      <c r="D1788" s="3" t="s">
        <v>59</v>
      </c>
      <c r="E1788" s="3" t="s">
        <v>60</v>
      </c>
      <c r="F1788" s="3" t="s">
        <v>50</v>
      </c>
      <c r="G1788" s="3" t="n">
        <v>14</v>
      </c>
      <c r="H1788" s="4" t="n">
        <v>24.99</v>
      </c>
      <c r="I1788" s="4" t="n">
        <v>8.5</v>
      </c>
      <c r="J1788" s="5" t="n">
        <v>0.1</v>
      </c>
      <c r="K1788" s="4" t="n">
        <f aca="false">G1788*H1788*(1-J1788)</f>
        <v>314.874</v>
      </c>
      <c r="L1788" s="4" t="n">
        <f aca="false">G1788*I1788</f>
        <v>119</v>
      </c>
      <c r="M1788" s="4" t="n">
        <f aca="false">K1788-L1788</f>
        <v>195.874</v>
      </c>
      <c r="N1788" s="6" t="n">
        <f aca="false">IF(K1788=0,0,M1788/K1788)</f>
        <v>0.622071050642479</v>
      </c>
      <c r="O1788" s="4" t="n">
        <f aca="false">(G1788*H1788)-K1788</f>
        <v>34.986</v>
      </c>
      <c r="P1788" s="3" t="s">
        <v>21</v>
      </c>
    </row>
    <row r="1789" customFormat="false" ht="15" hidden="false" customHeight="false" outlineLevel="0" collapsed="false">
      <c r="A1789" s="7" t="n">
        <v>46083</v>
      </c>
      <c r="B1789" s="8" t="s">
        <v>58</v>
      </c>
      <c r="C1789" s="8" t="s">
        <v>58</v>
      </c>
      <c r="D1789" s="8" t="s">
        <v>38</v>
      </c>
      <c r="E1789" s="8" t="s">
        <v>39</v>
      </c>
      <c r="F1789" s="8" t="s">
        <v>40</v>
      </c>
      <c r="G1789" s="8" t="n">
        <v>9</v>
      </c>
      <c r="H1789" s="9" t="n">
        <v>12.99</v>
      </c>
      <c r="I1789" s="9" t="n">
        <v>4</v>
      </c>
      <c r="J1789" s="10" t="n">
        <v>0</v>
      </c>
      <c r="K1789" s="9" t="n">
        <f aca="false">G1789*H1789*(1-J1789)</f>
        <v>116.91</v>
      </c>
      <c r="L1789" s="9" t="n">
        <f aca="false">G1789*I1789</f>
        <v>36</v>
      </c>
      <c r="M1789" s="9" t="n">
        <f aca="false">K1789-L1789</f>
        <v>80.91</v>
      </c>
      <c r="N1789" s="11" t="n">
        <f aca="false">IF(K1789=0,0,M1789/K1789)</f>
        <v>0.692070823710547</v>
      </c>
      <c r="O1789" s="9" t="n">
        <f aca="false">(G1789*H1789)-K1789</f>
        <v>0</v>
      </c>
      <c r="P1789" s="8" t="s">
        <v>21</v>
      </c>
    </row>
    <row r="1790" customFormat="false" ht="15" hidden="false" customHeight="false" outlineLevel="0" collapsed="false">
      <c r="A1790" s="2" t="n">
        <v>46076</v>
      </c>
      <c r="B1790" s="3" t="s">
        <v>22</v>
      </c>
      <c r="C1790" s="3" t="s">
        <v>23</v>
      </c>
      <c r="D1790" s="3" t="s">
        <v>68</v>
      </c>
      <c r="E1790" s="3" t="s">
        <v>69</v>
      </c>
      <c r="F1790" s="3" t="s">
        <v>40</v>
      </c>
      <c r="G1790" s="3" t="n">
        <v>25</v>
      </c>
      <c r="H1790" s="4" t="n">
        <v>24.99</v>
      </c>
      <c r="I1790" s="4" t="n">
        <v>9</v>
      </c>
      <c r="J1790" s="5" t="n">
        <v>0</v>
      </c>
      <c r="K1790" s="4" t="n">
        <f aca="false">G1790*H1790*(1-J1790)</f>
        <v>624.75</v>
      </c>
      <c r="L1790" s="4" t="n">
        <f aca="false">G1790*I1790</f>
        <v>225</v>
      </c>
      <c r="M1790" s="4" t="n">
        <f aca="false">K1790-L1790</f>
        <v>399.75</v>
      </c>
      <c r="N1790" s="6" t="n">
        <f aca="false">IF(K1790=0,0,M1790/K1790)</f>
        <v>0.639855942376951</v>
      </c>
      <c r="O1790" s="4" t="n">
        <f aca="false">(G1790*H1790)-K1790</f>
        <v>0</v>
      </c>
      <c r="P1790" s="3" t="s">
        <v>21</v>
      </c>
    </row>
    <row r="1791" customFormat="false" ht="15" hidden="false" customHeight="false" outlineLevel="0" collapsed="false">
      <c r="A1791" s="7" t="n">
        <v>46110</v>
      </c>
      <c r="B1791" s="8" t="s">
        <v>16</v>
      </c>
      <c r="C1791" s="8" t="s">
        <v>17</v>
      </c>
      <c r="D1791" s="8" t="s">
        <v>53</v>
      </c>
      <c r="E1791" s="8" t="s">
        <v>54</v>
      </c>
      <c r="F1791" s="8" t="s">
        <v>50</v>
      </c>
      <c r="G1791" s="8" t="n">
        <v>4</v>
      </c>
      <c r="H1791" s="9" t="n">
        <v>22.99</v>
      </c>
      <c r="I1791" s="9" t="n">
        <v>8</v>
      </c>
      <c r="J1791" s="10" t="n">
        <v>0.2</v>
      </c>
      <c r="K1791" s="9" t="n">
        <f aca="false">G1791*H1791*(1-J1791)</f>
        <v>73.568</v>
      </c>
      <c r="L1791" s="9" t="n">
        <f aca="false">G1791*I1791</f>
        <v>32</v>
      </c>
      <c r="M1791" s="9" t="n">
        <f aca="false">K1791-L1791</f>
        <v>41.568</v>
      </c>
      <c r="N1791" s="11" t="n">
        <f aca="false">IF(K1791=0,0,M1791/K1791)</f>
        <v>0.565028273162245</v>
      </c>
      <c r="O1791" s="9" t="n">
        <f aca="false">(G1791*H1791)-K1791</f>
        <v>18.392</v>
      </c>
      <c r="P1791" s="8" t="s">
        <v>21</v>
      </c>
    </row>
    <row r="1792" customFormat="false" ht="15" hidden="false" customHeight="false" outlineLevel="0" collapsed="false">
      <c r="A1792" s="2" t="n">
        <v>46058</v>
      </c>
      <c r="B1792" s="3" t="s">
        <v>64</v>
      </c>
      <c r="C1792" s="3" t="s">
        <v>65</v>
      </c>
      <c r="D1792" s="3" t="s">
        <v>48</v>
      </c>
      <c r="E1792" s="3" t="s">
        <v>49</v>
      </c>
      <c r="F1792" s="3" t="s">
        <v>50</v>
      </c>
      <c r="G1792" s="3" t="n">
        <v>10</v>
      </c>
      <c r="H1792" s="4" t="n">
        <v>54.99</v>
      </c>
      <c r="I1792" s="4" t="n">
        <v>20</v>
      </c>
      <c r="J1792" s="5" t="n">
        <v>0.15</v>
      </c>
      <c r="K1792" s="4" t="n">
        <f aca="false">G1792*H1792*(1-J1792)</f>
        <v>467.415</v>
      </c>
      <c r="L1792" s="4" t="n">
        <f aca="false">G1792*I1792</f>
        <v>200</v>
      </c>
      <c r="M1792" s="4" t="n">
        <f aca="false">K1792-L1792</f>
        <v>267.415</v>
      </c>
      <c r="N1792" s="6" t="n">
        <f aca="false">IF(K1792=0,0,M1792/K1792)</f>
        <v>0.572114716044628</v>
      </c>
      <c r="O1792" s="4" t="n">
        <f aca="false">(G1792*H1792)-K1792</f>
        <v>82.485</v>
      </c>
      <c r="P1792" s="3" t="s">
        <v>21</v>
      </c>
    </row>
    <row r="1793" customFormat="false" ht="15" hidden="false" customHeight="false" outlineLevel="0" collapsed="false">
      <c r="A1793" s="7" t="n">
        <v>46037</v>
      </c>
      <c r="B1793" s="8" t="s">
        <v>16</v>
      </c>
      <c r="C1793" s="8" t="s">
        <v>17</v>
      </c>
      <c r="D1793" s="8" t="s">
        <v>38</v>
      </c>
      <c r="E1793" s="8" t="s">
        <v>39</v>
      </c>
      <c r="F1793" s="8" t="s">
        <v>40</v>
      </c>
      <c r="G1793" s="8" t="n">
        <v>1</v>
      </c>
      <c r="H1793" s="9" t="n">
        <v>12.99</v>
      </c>
      <c r="I1793" s="9" t="n">
        <v>4</v>
      </c>
      <c r="J1793" s="10" t="n">
        <v>0.15</v>
      </c>
      <c r="K1793" s="9" t="n">
        <f aca="false">G1793*H1793*(1-J1793)</f>
        <v>11.0415</v>
      </c>
      <c r="L1793" s="9" t="n">
        <f aca="false">G1793*I1793</f>
        <v>4</v>
      </c>
      <c r="M1793" s="9" t="n">
        <f aca="false">K1793-L1793</f>
        <v>7.0415</v>
      </c>
      <c r="N1793" s="11" t="n">
        <f aca="false">IF(K1793=0,0,M1793/K1793)</f>
        <v>0.637730380835937</v>
      </c>
      <c r="O1793" s="9" t="n">
        <f aca="false">(G1793*H1793)-K1793</f>
        <v>1.9485</v>
      </c>
      <c r="P1793" s="8" t="s">
        <v>21</v>
      </c>
    </row>
    <row r="1794" customFormat="false" ht="15" hidden="false" customHeight="false" outlineLevel="0" collapsed="false">
      <c r="A1794" s="2" t="n">
        <v>46040</v>
      </c>
      <c r="B1794" s="3" t="s">
        <v>22</v>
      </c>
      <c r="C1794" s="3" t="s">
        <v>23</v>
      </c>
      <c r="D1794" s="3" t="s">
        <v>93</v>
      </c>
      <c r="E1794" s="3" t="s">
        <v>94</v>
      </c>
      <c r="F1794" s="3" t="s">
        <v>34</v>
      </c>
      <c r="G1794" s="3" t="n">
        <v>13</v>
      </c>
      <c r="H1794" s="4" t="n">
        <v>29.99</v>
      </c>
      <c r="I1794" s="4" t="n">
        <v>9</v>
      </c>
      <c r="J1794" s="5" t="n">
        <v>0.2</v>
      </c>
      <c r="K1794" s="4" t="n">
        <f aca="false">G1794*H1794*(1-J1794)</f>
        <v>311.896</v>
      </c>
      <c r="L1794" s="4" t="n">
        <f aca="false">G1794*I1794</f>
        <v>117</v>
      </c>
      <c r="M1794" s="4" t="n">
        <f aca="false">K1794-L1794</f>
        <v>194.896</v>
      </c>
      <c r="N1794" s="6" t="n">
        <f aca="false">IF(K1794=0,0,M1794/K1794)</f>
        <v>0.62487495831944</v>
      </c>
      <c r="O1794" s="4" t="n">
        <f aca="false">(G1794*H1794)-K1794</f>
        <v>77.974</v>
      </c>
      <c r="P1794" s="3" t="s">
        <v>21</v>
      </c>
    </row>
    <row r="1795" customFormat="false" ht="15" hidden="false" customHeight="false" outlineLevel="0" collapsed="false">
      <c r="A1795" s="7" t="n">
        <v>46046</v>
      </c>
      <c r="B1795" s="8" t="s">
        <v>31</v>
      </c>
      <c r="C1795" s="8" t="s">
        <v>23</v>
      </c>
      <c r="D1795" s="8" t="s">
        <v>32</v>
      </c>
      <c r="E1795" s="8" t="s">
        <v>33</v>
      </c>
      <c r="F1795" s="8" t="s">
        <v>34</v>
      </c>
      <c r="G1795" s="8" t="n">
        <v>23</v>
      </c>
      <c r="H1795" s="9" t="n">
        <v>18.99</v>
      </c>
      <c r="I1795" s="9" t="n">
        <v>6</v>
      </c>
      <c r="J1795" s="10" t="n">
        <v>0.2</v>
      </c>
      <c r="K1795" s="9" t="n">
        <f aca="false">G1795*H1795*(1-J1795)</f>
        <v>349.416</v>
      </c>
      <c r="L1795" s="9" t="n">
        <f aca="false">G1795*I1795</f>
        <v>138</v>
      </c>
      <c r="M1795" s="9" t="n">
        <f aca="false">K1795-L1795</f>
        <v>211.416</v>
      </c>
      <c r="N1795" s="11" t="n">
        <f aca="false">IF(K1795=0,0,M1795/K1795)</f>
        <v>0.605055292259084</v>
      </c>
      <c r="O1795" s="9" t="n">
        <f aca="false">(G1795*H1795)-K1795</f>
        <v>87.354</v>
      </c>
      <c r="P1795" s="8" t="s">
        <v>21</v>
      </c>
    </row>
    <row r="1796" customFormat="false" ht="15" hidden="false" customHeight="false" outlineLevel="0" collapsed="false">
      <c r="A1796" s="2" t="n">
        <v>46032</v>
      </c>
      <c r="B1796" s="3" t="s">
        <v>22</v>
      </c>
      <c r="C1796" s="3" t="s">
        <v>23</v>
      </c>
      <c r="D1796" s="3" t="s">
        <v>48</v>
      </c>
      <c r="E1796" s="3" t="s">
        <v>49</v>
      </c>
      <c r="F1796" s="3" t="s">
        <v>50</v>
      </c>
      <c r="G1796" s="3" t="n">
        <v>20</v>
      </c>
      <c r="H1796" s="4" t="n">
        <v>54.99</v>
      </c>
      <c r="I1796" s="4" t="n">
        <v>20</v>
      </c>
      <c r="J1796" s="5" t="n">
        <v>0</v>
      </c>
      <c r="K1796" s="4" t="n">
        <f aca="false">G1796*H1796*(1-J1796)</f>
        <v>1099.8</v>
      </c>
      <c r="L1796" s="4" t="n">
        <f aca="false">G1796*I1796</f>
        <v>400</v>
      </c>
      <c r="M1796" s="4" t="n">
        <f aca="false">K1796-L1796</f>
        <v>699.8</v>
      </c>
      <c r="N1796" s="6" t="n">
        <f aca="false">IF(K1796=0,0,M1796/K1796)</f>
        <v>0.636297508637934</v>
      </c>
      <c r="O1796" s="4" t="n">
        <f aca="false">(G1796*H1796)-K1796</f>
        <v>0</v>
      </c>
      <c r="P1796" s="3" t="s">
        <v>21</v>
      </c>
    </row>
    <row r="1797" customFormat="false" ht="15" hidden="false" customHeight="false" outlineLevel="0" collapsed="false">
      <c r="A1797" s="7" t="n">
        <v>46045</v>
      </c>
      <c r="B1797" s="8" t="s">
        <v>64</v>
      </c>
      <c r="C1797" s="8" t="s">
        <v>65</v>
      </c>
      <c r="D1797" s="8" t="s">
        <v>44</v>
      </c>
      <c r="E1797" s="8" t="s">
        <v>45</v>
      </c>
      <c r="F1797" s="8" t="s">
        <v>40</v>
      </c>
      <c r="G1797" s="8" t="n">
        <v>14</v>
      </c>
      <c r="H1797" s="9" t="n">
        <v>29.99</v>
      </c>
      <c r="I1797" s="9" t="n">
        <v>11</v>
      </c>
      <c r="J1797" s="10" t="n">
        <v>0.2</v>
      </c>
      <c r="K1797" s="9" t="n">
        <f aca="false">G1797*H1797*(1-J1797)</f>
        <v>335.888</v>
      </c>
      <c r="L1797" s="9" t="n">
        <f aca="false">G1797*I1797</f>
        <v>154</v>
      </c>
      <c r="M1797" s="9" t="n">
        <f aca="false">K1797-L1797</f>
        <v>181.888</v>
      </c>
      <c r="N1797" s="11" t="n">
        <f aca="false">IF(K1797=0,0,M1797/K1797)</f>
        <v>0.541513837945982</v>
      </c>
      <c r="O1797" s="9" t="n">
        <f aca="false">(G1797*H1797)-K1797</f>
        <v>83.972</v>
      </c>
      <c r="P1797" s="8" t="s">
        <v>21</v>
      </c>
    </row>
    <row r="1798" customFormat="false" ht="15" hidden="false" customHeight="false" outlineLevel="0" collapsed="false">
      <c r="A1798" s="2" t="n">
        <v>46121</v>
      </c>
      <c r="B1798" s="3" t="s">
        <v>58</v>
      </c>
      <c r="C1798" s="3" t="s">
        <v>58</v>
      </c>
      <c r="D1798" s="3" t="s">
        <v>46</v>
      </c>
      <c r="E1798" s="3" t="s">
        <v>47</v>
      </c>
      <c r="F1798" s="3" t="s">
        <v>20</v>
      </c>
      <c r="G1798" s="3" t="n">
        <v>4</v>
      </c>
      <c r="H1798" s="4" t="n">
        <v>44.99</v>
      </c>
      <c r="I1798" s="4" t="n">
        <v>18</v>
      </c>
      <c r="J1798" s="5" t="n">
        <v>0.05</v>
      </c>
      <c r="K1798" s="4" t="n">
        <f aca="false">G1798*H1798*(1-J1798)</f>
        <v>170.962</v>
      </c>
      <c r="L1798" s="4" t="n">
        <f aca="false">G1798*I1798</f>
        <v>72</v>
      </c>
      <c r="M1798" s="4" t="n">
        <f aca="false">K1798-L1798</f>
        <v>98.962</v>
      </c>
      <c r="N1798" s="6" t="n">
        <f aca="false">IF(K1798=0,0,M1798/K1798)</f>
        <v>0.578853780372246</v>
      </c>
      <c r="O1798" s="4" t="n">
        <f aca="false">(G1798*H1798)-K1798</f>
        <v>8.99800000000002</v>
      </c>
      <c r="P1798" s="3" t="s">
        <v>21</v>
      </c>
    </row>
    <row r="1799" customFormat="false" ht="15" hidden="false" customHeight="false" outlineLevel="0" collapsed="false">
      <c r="A1799" s="7" t="n">
        <v>46028</v>
      </c>
      <c r="B1799" s="8" t="s">
        <v>37</v>
      </c>
      <c r="C1799" s="8" t="s">
        <v>17</v>
      </c>
      <c r="D1799" s="8" t="s">
        <v>46</v>
      </c>
      <c r="E1799" s="8" t="s">
        <v>47</v>
      </c>
      <c r="F1799" s="8" t="s">
        <v>20</v>
      </c>
      <c r="G1799" s="8" t="n">
        <v>2</v>
      </c>
      <c r="H1799" s="9" t="n">
        <v>44.99</v>
      </c>
      <c r="I1799" s="9" t="n">
        <v>18</v>
      </c>
      <c r="J1799" s="10" t="n">
        <v>0.3</v>
      </c>
      <c r="K1799" s="9" t="n">
        <f aca="false">G1799*H1799*(1-J1799)</f>
        <v>62.986</v>
      </c>
      <c r="L1799" s="9" t="n">
        <f aca="false">G1799*I1799</f>
        <v>36</v>
      </c>
      <c r="M1799" s="9" t="n">
        <f aca="false">K1799-L1799</f>
        <v>26.986</v>
      </c>
      <c r="N1799" s="11" t="n">
        <f aca="false">IF(K1799=0,0,M1799/K1799)</f>
        <v>0.428444416219477</v>
      </c>
      <c r="O1799" s="9" t="n">
        <f aca="false">(G1799*H1799)-K1799</f>
        <v>26.994</v>
      </c>
      <c r="P1799" s="8" t="s">
        <v>21</v>
      </c>
    </row>
    <row r="1800" customFormat="false" ht="15" hidden="false" customHeight="false" outlineLevel="0" collapsed="false">
      <c r="A1800" s="2" t="n">
        <v>46060</v>
      </c>
      <c r="B1800" s="3" t="s">
        <v>16</v>
      </c>
      <c r="C1800" s="3" t="s">
        <v>17</v>
      </c>
      <c r="D1800" s="3" t="s">
        <v>78</v>
      </c>
      <c r="E1800" s="3" t="s">
        <v>79</v>
      </c>
      <c r="F1800" s="3" t="s">
        <v>20</v>
      </c>
      <c r="G1800" s="3" t="n">
        <v>23</v>
      </c>
      <c r="H1800" s="4" t="n">
        <v>39.99</v>
      </c>
      <c r="I1800" s="4" t="n">
        <v>16</v>
      </c>
      <c r="J1800" s="5" t="n">
        <v>0.25</v>
      </c>
      <c r="K1800" s="4" t="n">
        <f aca="false">G1800*H1800*(1-J1800)</f>
        <v>689.8275</v>
      </c>
      <c r="L1800" s="4" t="n">
        <f aca="false">G1800*I1800</f>
        <v>368</v>
      </c>
      <c r="M1800" s="4" t="n">
        <f aca="false">K1800-L1800</f>
        <v>321.8275</v>
      </c>
      <c r="N1800" s="6" t="n">
        <f aca="false">IF(K1800=0,0,M1800/K1800)</f>
        <v>0.466533299991665</v>
      </c>
      <c r="O1800" s="4" t="n">
        <f aca="false">(G1800*H1800)-K1800</f>
        <v>229.9425</v>
      </c>
      <c r="P1800" s="3" t="s">
        <v>21</v>
      </c>
    </row>
    <row r="1801" customFormat="false" ht="15" hidden="false" customHeight="false" outlineLevel="0" collapsed="false">
      <c r="A1801" s="7" t="n">
        <v>46043</v>
      </c>
      <c r="B1801" s="8" t="s">
        <v>16</v>
      </c>
      <c r="C1801" s="8" t="s">
        <v>17</v>
      </c>
      <c r="D1801" s="8" t="s">
        <v>86</v>
      </c>
      <c r="E1801" s="8" t="s">
        <v>87</v>
      </c>
      <c r="F1801" s="8" t="s">
        <v>40</v>
      </c>
      <c r="G1801" s="8" t="n">
        <v>14</v>
      </c>
      <c r="H1801" s="9" t="n">
        <v>16.99</v>
      </c>
      <c r="I1801" s="9" t="n">
        <v>5.5</v>
      </c>
      <c r="J1801" s="10" t="n">
        <v>0</v>
      </c>
      <c r="K1801" s="9" t="n">
        <f aca="false">G1801*H1801*(1-J1801)</f>
        <v>237.86</v>
      </c>
      <c r="L1801" s="9" t="n">
        <f aca="false">G1801*I1801</f>
        <v>77</v>
      </c>
      <c r="M1801" s="9" t="n">
        <f aca="false">K1801-L1801</f>
        <v>160.86</v>
      </c>
      <c r="N1801" s="11" t="n">
        <f aca="false">IF(K1801=0,0,M1801/K1801)</f>
        <v>0.676280164802825</v>
      </c>
      <c r="O1801" s="9" t="n">
        <f aca="false">(G1801*H1801)-K1801</f>
        <v>0</v>
      </c>
      <c r="P1801" s="8" t="s">
        <v>21</v>
      </c>
    </row>
    <row r="1802" customFormat="false" ht="15" hidden="false" customHeight="false" outlineLevel="0" collapsed="false">
      <c r="A1802" s="2" t="n">
        <v>46091</v>
      </c>
      <c r="B1802" s="3" t="s">
        <v>31</v>
      </c>
      <c r="C1802" s="3" t="s">
        <v>23</v>
      </c>
      <c r="D1802" s="3" t="s">
        <v>66</v>
      </c>
      <c r="E1802" s="3" t="s">
        <v>67</v>
      </c>
      <c r="F1802" s="3" t="s">
        <v>57</v>
      </c>
      <c r="G1802" s="3" t="n">
        <v>15</v>
      </c>
      <c r="H1802" s="4" t="n">
        <v>14.99</v>
      </c>
      <c r="I1802" s="4" t="n">
        <v>5.5</v>
      </c>
      <c r="J1802" s="5" t="n">
        <v>0.2</v>
      </c>
      <c r="K1802" s="4" t="n">
        <f aca="false">G1802*H1802*(1-J1802)</f>
        <v>179.88</v>
      </c>
      <c r="L1802" s="4" t="n">
        <f aca="false">G1802*I1802</f>
        <v>82.5</v>
      </c>
      <c r="M1802" s="4" t="n">
        <f aca="false">K1802-L1802</f>
        <v>97.38</v>
      </c>
      <c r="N1802" s="6" t="n">
        <f aca="false">IF(K1802=0,0,M1802/K1802)</f>
        <v>0.541360907271514</v>
      </c>
      <c r="O1802" s="4" t="n">
        <f aca="false">(G1802*H1802)-K1802</f>
        <v>44.97</v>
      </c>
      <c r="P1802" s="3" t="s">
        <v>21</v>
      </c>
    </row>
    <row r="1803" customFormat="false" ht="15" hidden="false" customHeight="false" outlineLevel="0" collapsed="false">
      <c r="A1803" s="7" t="n">
        <v>46103</v>
      </c>
      <c r="B1803" s="8" t="s">
        <v>64</v>
      </c>
      <c r="C1803" s="8" t="s">
        <v>65</v>
      </c>
      <c r="D1803" s="8" t="s">
        <v>29</v>
      </c>
      <c r="E1803" s="8" t="s">
        <v>30</v>
      </c>
      <c r="F1803" s="8" t="s">
        <v>20</v>
      </c>
      <c r="G1803" s="8" t="n">
        <v>20</v>
      </c>
      <c r="H1803" s="9" t="n">
        <v>79.99</v>
      </c>
      <c r="I1803" s="9" t="n">
        <v>42</v>
      </c>
      <c r="J1803" s="10" t="n">
        <v>0</v>
      </c>
      <c r="K1803" s="9" t="n">
        <f aca="false">G1803*H1803*(1-J1803)</f>
        <v>1599.8</v>
      </c>
      <c r="L1803" s="9" t="n">
        <f aca="false">G1803*I1803</f>
        <v>840</v>
      </c>
      <c r="M1803" s="9" t="n">
        <f aca="false">K1803-L1803</f>
        <v>759.8</v>
      </c>
      <c r="N1803" s="11" t="n">
        <f aca="false">IF(K1803=0,0,M1803/K1803)</f>
        <v>0.474934366795849</v>
      </c>
      <c r="O1803" s="9" t="n">
        <f aca="false">(G1803*H1803)-K1803</f>
        <v>0</v>
      </c>
      <c r="P1803" s="8" t="s">
        <v>21</v>
      </c>
    </row>
    <row r="1804" customFormat="false" ht="15" hidden="false" customHeight="false" outlineLevel="0" collapsed="false">
      <c r="A1804" s="2" t="n">
        <v>46080</v>
      </c>
      <c r="B1804" s="3" t="s">
        <v>41</v>
      </c>
      <c r="C1804" s="3" t="s">
        <v>28</v>
      </c>
      <c r="D1804" s="3" t="s">
        <v>82</v>
      </c>
      <c r="E1804" s="3" t="s">
        <v>83</v>
      </c>
      <c r="F1804" s="3" t="s">
        <v>26</v>
      </c>
      <c r="G1804" s="3" t="n">
        <v>24</v>
      </c>
      <c r="H1804" s="4" t="n">
        <v>44.99</v>
      </c>
      <c r="I1804" s="4" t="n">
        <v>18</v>
      </c>
      <c r="J1804" s="5" t="n">
        <v>0.05</v>
      </c>
      <c r="K1804" s="4" t="n">
        <f aca="false">G1804*H1804*(1-J1804)</f>
        <v>1025.772</v>
      </c>
      <c r="L1804" s="4" t="n">
        <f aca="false">G1804*I1804</f>
        <v>432</v>
      </c>
      <c r="M1804" s="4" t="n">
        <f aca="false">K1804-L1804</f>
        <v>593.772</v>
      </c>
      <c r="N1804" s="6" t="n">
        <f aca="false">IF(K1804=0,0,M1804/K1804)</f>
        <v>0.578853780372246</v>
      </c>
      <c r="O1804" s="4" t="n">
        <f aca="false">(G1804*H1804)-K1804</f>
        <v>53.9880000000001</v>
      </c>
      <c r="P1804" s="3" t="s">
        <v>21</v>
      </c>
    </row>
    <row r="1805" customFormat="false" ht="15" hidden="false" customHeight="false" outlineLevel="0" collapsed="false">
      <c r="A1805" s="7" t="n">
        <v>46078</v>
      </c>
      <c r="B1805" s="8" t="s">
        <v>64</v>
      </c>
      <c r="C1805" s="8" t="s">
        <v>65</v>
      </c>
      <c r="D1805" s="8" t="s">
        <v>18</v>
      </c>
      <c r="E1805" s="8" t="s">
        <v>19</v>
      </c>
      <c r="F1805" s="8" t="s">
        <v>20</v>
      </c>
      <c r="G1805" s="8" t="n">
        <v>24</v>
      </c>
      <c r="H1805" s="9" t="n">
        <v>26.99</v>
      </c>
      <c r="I1805" s="9" t="n">
        <v>10.5</v>
      </c>
      <c r="J1805" s="10" t="n">
        <v>0.25</v>
      </c>
      <c r="K1805" s="9" t="n">
        <f aca="false">G1805*H1805*(1-J1805)</f>
        <v>485.82</v>
      </c>
      <c r="L1805" s="9" t="n">
        <f aca="false">G1805*I1805</f>
        <v>252</v>
      </c>
      <c r="M1805" s="9" t="n">
        <f aca="false">K1805-L1805</f>
        <v>233.82</v>
      </c>
      <c r="N1805" s="11" t="n">
        <f aca="false">IF(K1805=0,0,M1805/K1805)</f>
        <v>0.481289366432012</v>
      </c>
      <c r="O1805" s="9" t="n">
        <f aca="false">(G1805*H1805)-K1805</f>
        <v>161.94</v>
      </c>
      <c r="P1805" s="8" t="s">
        <v>21</v>
      </c>
    </row>
    <row r="1806" customFormat="false" ht="15" hidden="false" customHeight="false" outlineLevel="0" collapsed="false">
      <c r="A1806" s="2" t="n">
        <v>46050</v>
      </c>
      <c r="B1806" s="3" t="s">
        <v>37</v>
      </c>
      <c r="C1806" s="3" t="s">
        <v>17</v>
      </c>
      <c r="D1806" s="3" t="s">
        <v>44</v>
      </c>
      <c r="E1806" s="3" t="s">
        <v>45</v>
      </c>
      <c r="F1806" s="3" t="s">
        <v>40</v>
      </c>
      <c r="G1806" s="3" t="n">
        <v>18</v>
      </c>
      <c r="H1806" s="4" t="n">
        <v>29.99</v>
      </c>
      <c r="I1806" s="4" t="n">
        <v>11</v>
      </c>
      <c r="J1806" s="5" t="n">
        <v>0.05</v>
      </c>
      <c r="K1806" s="4" t="n">
        <f aca="false">G1806*H1806*(1-J1806)</f>
        <v>512.829</v>
      </c>
      <c r="L1806" s="4" t="n">
        <f aca="false">G1806*I1806</f>
        <v>198</v>
      </c>
      <c r="M1806" s="4" t="n">
        <f aca="false">K1806-L1806</f>
        <v>314.829</v>
      </c>
      <c r="N1806" s="6" t="n">
        <f aca="false">IF(K1806=0,0,M1806/K1806)</f>
        <v>0.613906389849248</v>
      </c>
      <c r="O1806" s="4" t="n">
        <f aca="false">(G1806*H1806)-K1806</f>
        <v>26.991</v>
      </c>
      <c r="P1806" s="3" t="s">
        <v>21</v>
      </c>
    </row>
    <row r="1807" customFormat="false" ht="15" hidden="false" customHeight="false" outlineLevel="0" collapsed="false">
      <c r="A1807" s="7" t="n">
        <v>46076</v>
      </c>
      <c r="B1807" s="8" t="s">
        <v>22</v>
      </c>
      <c r="C1807" s="8" t="s">
        <v>23</v>
      </c>
      <c r="D1807" s="8" t="s">
        <v>55</v>
      </c>
      <c r="E1807" s="8" t="s">
        <v>56</v>
      </c>
      <c r="F1807" s="8" t="s">
        <v>57</v>
      </c>
      <c r="G1807" s="8" t="n">
        <v>24</v>
      </c>
      <c r="H1807" s="9" t="n">
        <v>29.99</v>
      </c>
      <c r="I1807" s="9" t="n">
        <v>11</v>
      </c>
      <c r="J1807" s="10" t="n">
        <v>0.25</v>
      </c>
      <c r="K1807" s="9" t="n">
        <f aca="false">G1807*H1807*(1-J1807)</f>
        <v>539.82</v>
      </c>
      <c r="L1807" s="9" t="n">
        <f aca="false">G1807*I1807</f>
        <v>264</v>
      </c>
      <c r="M1807" s="9" t="n">
        <f aca="false">K1807-L1807</f>
        <v>275.82</v>
      </c>
      <c r="N1807" s="11" t="n">
        <f aca="false">IF(K1807=0,0,M1807/K1807)</f>
        <v>0.510948093809047</v>
      </c>
      <c r="O1807" s="9" t="n">
        <f aca="false">(G1807*H1807)-K1807</f>
        <v>179.94</v>
      </c>
      <c r="P1807" s="8" t="s">
        <v>21</v>
      </c>
    </row>
    <row r="1808" customFormat="false" ht="15" hidden="false" customHeight="false" outlineLevel="0" collapsed="false">
      <c r="A1808" s="2" t="n">
        <v>46096</v>
      </c>
      <c r="B1808" s="3" t="s">
        <v>41</v>
      </c>
      <c r="C1808" s="3" t="s">
        <v>28</v>
      </c>
      <c r="D1808" s="3" t="s">
        <v>53</v>
      </c>
      <c r="E1808" s="3" t="s">
        <v>54</v>
      </c>
      <c r="F1808" s="3" t="s">
        <v>50</v>
      </c>
      <c r="G1808" s="3" t="n">
        <v>26</v>
      </c>
      <c r="H1808" s="4" t="n">
        <v>22.99</v>
      </c>
      <c r="I1808" s="4" t="n">
        <v>8</v>
      </c>
      <c r="J1808" s="5" t="n">
        <v>0.2</v>
      </c>
      <c r="K1808" s="4" t="n">
        <f aca="false">G1808*H1808*(1-J1808)</f>
        <v>478.192</v>
      </c>
      <c r="L1808" s="4" t="n">
        <f aca="false">G1808*I1808</f>
        <v>208</v>
      </c>
      <c r="M1808" s="4" t="n">
        <f aca="false">K1808-L1808</f>
        <v>270.192</v>
      </c>
      <c r="N1808" s="6" t="n">
        <f aca="false">IF(K1808=0,0,M1808/K1808)</f>
        <v>0.565028273162245</v>
      </c>
      <c r="O1808" s="4" t="n">
        <f aca="false">(G1808*H1808)-K1808</f>
        <v>119.548</v>
      </c>
      <c r="P1808" s="3" t="s">
        <v>21</v>
      </c>
    </row>
    <row r="1809" customFormat="false" ht="15" hidden="false" customHeight="false" outlineLevel="0" collapsed="false">
      <c r="A1809" s="7" t="n">
        <v>46072</v>
      </c>
      <c r="B1809" s="8" t="s">
        <v>58</v>
      </c>
      <c r="C1809" s="8" t="s">
        <v>58</v>
      </c>
      <c r="D1809" s="8" t="s">
        <v>38</v>
      </c>
      <c r="E1809" s="8" t="s">
        <v>39</v>
      </c>
      <c r="F1809" s="8" t="s">
        <v>40</v>
      </c>
      <c r="G1809" s="8" t="n">
        <v>15</v>
      </c>
      <c r="H1809" s="9" t="n">
        <v>12.99</v>
      </c>
      <c r="I1809" s="9" t="n">
        <v>4</v>
      </c>
      <c r="J1809" s="10" t="n">
        <v>0</v>
      </c>
      <c r="K1809" s="9" t="n">
        <f aca="false">G1809*H1809*(1-J1809)</f>
        <v>194.85</v>
      </c>
      <c r="L1809" s="9" t="n">
        <f aca="false">G1809*I1809</f>
        <v>60</v>
      </c>
      <c r="M1809" s="9" t="n">
        <f aca="false">K1809-L1809</f>
        <v>134.85</v>
      </c>
      <c r="N1809" s="11" t="n">
        <f aca="false">IF(K1809=0,0,M1809/K1809)</f>
        <v>0.692070823710547</v>
      </c>
      <c r="O1809" s="9" t="n">
        <f aca="false">(G1809*H1809)-K1809</f>
        <v>0</v>
      </c>
      <c r="P1809" s="8" t="s">
        <v>21</v>
      </c>
    </row>
    <row r="1810" customFormat="false" ht="15" hidden="false" customHeight="false" outlineLevel="0" collapsed="false">
      <c r="A1810" s="2" t="n">
        <v>46092</v>
      </c>
      <c r="B1810" s="3" t="s">
        <v>31</v>
      </c>
      <c r="C1810" s="3" t="s">
        <v>23</v>
      </c>
      <c r="D1810" s="3" t="s">
        <v>80</v>
      </c>
      <c r="E1810" s="3" t="s">
        <v>81</v>
      </c>
      <c r="F1810" s="3" t="s">
        <v>57</v>
      </c>
      <c r="G1810" s="3" t="n">
        <v>3</v>
      </c>
      <c r="H1810" s="4" t="n">
        <v>17.99</v>
      </c>
      <c r="I1810" s="4" t="n">
        <v>6.5</v>
      </c>
      <c r="J1810" s="5" t="n">
        <v>0</v>
      </c>
      <c r="K1810" s="4" t="n">
        <f aca="false">G1810*H1810*(1-J1810)</f>
        <v>53.97</v>
      </c>
      <c r="L1810" s="4" t="n">
        <f aca="false">G1810*I1810</f>
        <v>19.5</v>
      </c>
      <c r="M1810" s="4" t="n">
        <f aca="false">K1810-L1810</f>
        <v>34.47</v>
      </c>
      <c r="N1810" s="6" t="n">
        <f aca="false">IF(K1810=0,0,M1810/K1810)</f>
        <v>0.638688160088938</v>
      </c>
      <c r="O1810" s="4" t="n">
        <f aca="false">(G1810*H1810)-K1810</f>
        <v>0</v>
      </c>
      <c r="P1810" s="3" t="s">
        <v>21</v>
      </c>
    </row>
    <row r="1811" customFormat="false" ht="15" hidden="false" customHeight="false" outlineLevel="0" collapsed="false">
      <c r="A1811" s="7" t="n">
        <v>46104</v>
      </c>
      <c r="B1811" s="8" t="s">
        <v>16</v>
      </c>
      <c r="C1811" s="8" t="s">
        <v>17</v>
      </c>
      <c r="D1811" s="8" t="s">
        <v>42</v>
      </c>
      <c r="E1811" s="8" t="s">
        <v>43</v>
      </c>
      <c r="F1811" s="8" t="s">
        <v>34</v>
      </c>
      <c r="G1811" s="8" t="n">
        <v>5</v>
      </c>
      <c r="H1811" s="9" t="n">
        <v>11.99</v>
      </c>
      <c r="I1811" s="9" t="n">
        <v>3.5</v>
      </c>
      <c r="J1811" s="10" t="n">
        <v>0.1</v>
      </c>
      <c r="K1811" s="9" t="n">
        <f aca="false">G1811*H1811*(1-J1811)</f>
        <v>53.955</v>
      </c>
      <c r="L1811" s="9" t="n">
        <f aca="false">G1811*I1811</f>
        <v>17.5</v>
      </c>
      <c r="M1811" s="9" t="n">
        <f aca="false">K1811-L1811</f>
        <v>36.455</v>
      </c>
      <c r="N1811" s="11" t="n">
        <f aca="false">IF(K1811=0,0,M1811/K1811)</f>
        <v>0.675655638958391</v>
      </c>
      <c r="O1811" s="9" t="n">
        <f aca="false">(G1811*H1811)-K1811</f>
        <v>5.995</v>
      </c>
      <c r="P1811" s="8" t="s">
        <v>21</v>
      </c>
    </row>
    <row r="1812" customFormat="false" ht="15" hidden="false" customHeight="false" outlineLevel="0" collapsed="false">
      <c r="A1812" s="2" t="n">
        <v>46063</v>
      </c>
      <c r="B1812" s="3" t="s">
        <v>27</v>
      </c>
      <c r="C1812" s="3" t="s">
        <v>28</v>
      </c>
      <c r="D1812" s="3" t="s">
        <v>61</v>
      </c>
      <c r="E1812" s="3" t="s">
        <v>62</v>
      </c>
      <c r="F1812" s="3" t="s">
        <v>34</v>
      </c>
      <c r="G1812" s="3" t="n">
        <v>9</v>
      </c>
      <c r="H1812" s="4" t="n">
        <v>14.99</v>
      </c>
      <c r="I1812" s="4" t="n">
        <v>4.5</v>
      </c>
      <c r="J1812" s="5" t="n">
        <v>0.25</v>
      </c>
      <c r="K1812" s="4" t="n">
        <f aca="false">G1812*H1812*(1-J1812)</f>
        <v>101.1825</v>
      </c>
      <c r="L1812" s="4" t="n">
        <f aca="false">G1812*I1812</f>
        <v>40.5</v>
      </c>
      <c r="M1812" s="4" t="n">
        <f aca="false">K1812-L1812</f>
        <v>60.6825</v>
      </c>
      <c r="N1812" s="6" t="n">
        <f aca="false">IF(K1812=0,0,M1812/K1812)</f>
        <v>0.599733155436958</v>
      </c>
      <c r="O1812" s="4" t="n">
        <f aca="false">(G1812*H1812)-K1812</f>
        <v>33.7275</v>
      </c>
      <c r="P1812" s="3" t="s">
        <v>21</v>
      </c>
    </row>
    <row r="1813" customFormat="false" ht="15" hidden="false" customHeight="false" outlineLevel="0" collapsed="false">
      <c r="A1813" s="7" t="n">
        <v>46121</v>
      </c>
      <c r="B1813" s="8" t="s">
        <v>64</v>
      </c>
      <c r="C1813" s="8" t="s">
        <v>65</v>
      </c>
      <c r="D1813" s="8" t="s">
        <v>48</v>
      </c>
      <c r="E1813" s="8" t="s">
        <v>49</v>
      </c>
      <c r="F1813" s="8" t="s">
        <v>50</v>
      </c>
      <c r="G1813" s="8" t="n">
        <v>30</v>
      </c>
      <c r="H1813" s="9" t="n">
        <v>59.99</v>
      </c>
      <c r="I1813" s="9" t="n">
        <v>20</v>
      </c>
      <c r="J1813" s="10" t="n">
        <v>0.2</v>
      </c>
      <c r="K1813" s="9" t="n">
        <f aca="false">G1813*H1813*(1-J1813)</f>
        <v>1439.76</v>
      </c>
      <c r="L1813" s="9" t="n">
        <f aca="false">G1813*I1813</f>
        <v>600</v>
      </c>
      <c r="M1813" s="9" t="n">
        <f aca="false">K1813-L1813</f>
        <v>839.76</v>
      </c>
      <c r="N1813" s="11" t="n">
        <f aca="false">IF(K1813=0,0,M1813/K1813)</f>
        <v>0.583263877312886</v>
      </c>
      <c r="O1813" s="9" t="n">
        <f aca="false">(G1813*H1813)-K1813</f>
        <v>359.94</v>
      </c>
      <c r="P1813" s="8" t="s">
        <v>21</v>
      </c>
    </row>
    <row r="1814" customFormat="false" ht="15" hidden="false" customHeight="false" outlineLevel="0" collapsed="false">
      <c r="A1814" s="2" t="n">
        <v>46092</v>
      </c>
      <c r="B1814" s="3" t="s">
        <v>64</v>
      </c>
      <c r="C1814" s="3" t="s">
        <v>65</v>
      </c>
      <c r="D1814" s="3" t="s">
        <v>46</v>
      </c>
      <c r="E1814" s="3" t="s">
        <v>47</v>
      </c>
      <c r="F1814" s="3" t="s">
        <v>20</v>
      </c>
      <c r="G1814" s="3" t="n">
        <v>27</v>
      </c>
      <c r="H1814" s="4" t="n">
        <v>44.99</v>
      </c>
      <c r="I1814" s="4" t="n">
        <v>18</v>
      </c>
      <c r="J1814" s="5" t="n">
        <v>0.15</v>
      </c>
      <c r="K1814" s="4" t="n">
        <f aca="false">G1814*H1814*(1-J1814)</f>
        <v>1032.5205</v>
      </c>
      <c r="L1814" s="4" t="n">
        <f aca="false">G1814*I1814</f>
        <v>486</v>
      </c>
      <c r="M1814" s="4" t="n">
        <f aca="false">K1814-L1814</f>
        <v>546.5205</v>
      </c>
      <c r="N1814" s="6" t="n">
        <f aca="false">IF(K1814=0,0,M1814/K1814)</f>
        <v>0.529307166298393</v>
      </c>
      <c r="O1814" s="4" t="n">
        <f aca="false">(G1814*H1814)-K1814</f>
        <v>182.2095</v>
      </c>
      <c r="P1814" s="3" t="s">
        <v>21</v>
      </c>
    </row>
    <row r="1815" customFormat="false" ht="15" hidden="false" customHeight="false" outlineLevel="0" collapsed="false">
      <c r="A1815" s="7" t="n">
        <v>46025</v>
      </c>
      <c r="B1815" s="8" t="s">
        <v>41</v>
      </c>
      <c r="C1815" s="8" t="s">
        <v>28</v>
      </c>
      <c r="D1815" s="8" t="s">
        <v>32</v>
      </c>
      <c r="E1815" s="8" t="s">
        <v>33</v>
      </c>
      <c r="F1815" s="8" t="s">
        <v>34</v>
      </c>
      <c r="G1815" s="8" t="n">
        <v>4</v>
      </c>
      <c r="H1815" s="9" t="n">
        <v>18.99</v>
      </c>
      <c r="I1815" s="9" t="n">
        <v>6</v>
      </c>
      <c r="J1815" s="10" t="n">
        <v>0.3</v>
      </c>
      <c r="K1815" s="9" t="n">
        <f aca="false">G1815*H1815*(1-J1815)</f>
        <v>53.172</v>
      </c>
      <c r="L1815" s="9" t="n">
        <f aca="false">G1815*I1815</f>
        <v>24</v>
      </c>
      <c r="M1815" s="9" t="n">
        <f aca="false">K1815-L1815</f>
        <v>29.172</v>
      </c>
      <c r="N1815" s="11" t="n">
        <f aca="false">IF(K1815=0,0,M1815/K1815)</f>
        <v>0.548634619724667</v>
      </c>
      <c r="O1815" s="9" t="n">
        <f aca="false">(G1815*H1815)-K1815</f>
        <v>22.788</v>
      </c>
      <c r="P1815" s="8" t="s">
        <v>21</v>
      </c>
    </row>
    <row r="1816" customFormat="false" ht="15" hidden="false" customHeight="false" outlineLevel="0" collapsed="false">
      <c r="A1816" s="2" t="n">
        <v>46091</v>
      </c>
      <c r="B1816" s="3" t="s">
        <v>37</v>
      </c>
      <c r="C1816" s="3" t="s">
        <v>17</v>
      </c>
      <c r="D1816" s="3" t="s">
        <v>68</v>
      </c>
      <c r="E1816" s="3" t="s">
        <v>69</v>
      </c>
      <c r="F1816" s="3" t="s">
        <v>40</v>
      </c>
      <c r="G1816" s="3" t="n">
        <v>1</v>
      </c>
      <c r="H1816" s="4" t="n">
        <v>6.79</v>
      </c>
      <c r="I1816" s="4" t="n">
        <v>9</v>
      </c>
      <c r="J1816" s="5" t="n">
        <v>0</v>
      </c>
      <c r="K1816" s="4" t="n">
        <f aca="false">G1816*H1816*(1-J1816)</f>
        <v>6.79</v>
      </c>
      <c r="L1816" s="4" t="n">
        <f aca="false">G1816*I1816</f>
        <v>9</v>
      </c>
      <c r="M1816" s="4" t="n">
        <f aca="false">K1816-L1816</f>
        <v>-2.21</v>
      </c>
      <c r="N1816" s="6" t="n">
        <f aca="false">IF(K1816=0,0,M1816/K1816)</f>
        <v>-0.325478645066274</v>
      </c>
      <c r="O1816" s="4" t="n">
        <f aca="false">(G1816*H1816)-K1816</f>
        <v>0</v>
      </c>
      <c r="P1816" s="15" t="s">
        <v>98</v>
      </c>
    </row>
    <row r="1817" customFormat="false" ht="15" hidden="false" customHeight="false" outlineLevel="0" collapsed="false">
      <c r="A1817" s="7" t="n">
        <v>46120</v>
      </c>
      <c r="B1817" s="8" t="s">
        <v>31</v>
      </c>
      <c r="C1817" s="8" t="s">
        <v>23</v>
      </c>
      <c r="D1817" s="8" t="s">
        <v>88</v>
      </c>
      <c r="E1817" s="8" t="s">
        <v>89</v>
      </c>
      <c r="F1817" s="8" t="s">
        <v>57</v>
      </c>
      <c r="G1817" s="8" t="n">
        <v>6</v>
      </c>
      <c r="H1817" s="9" t="n">
        <v>14.99</v>
      </c>
      <c r="I1817" s="9" t="n">
        <v>4.5</v>
      </c>
      <c r="J1817" s="10" t="n">
        <v>0.1</v>
      </c>
      <c r="K1817" s="9" t="n">
        <f aca="false">G1817*H1817*(1-J1817)</f>
        <v>80.946</v>
      </c>
      <c r="L1817" s="9" t="n">
        <f aca="false">G1817*I1817</f>
        <v>27</v>
      </c>
      <c r="M1817" s="9" t="n">
        <f aca="false">K1817-L1817</f>
        <v>53.946</v>
      </c>
      <c r="N1817" s="11" t="n">
        <f aca="false">IF(K1817=0,0,M1817/K1817)</f>
        <v>0.666444296197465</v>
      </c>
      <c r="O1817" s="9" t="n">
        <f aca="false">(G1817*H1817)-K1817</f>
        <v>8.994</v>
      </c>
      <c r="P1817" s="8" t="s">
        <v>21</v>
      </c>
    </row>
    <row r="1818" customFormat="false" ht="15" hidden="false" customHeight="false" outlineLevel="0" collapsed="false">
      <c r="A1818" s="2" t="n">
        <v>46050</v>
      </c>
      <c r="B1818" s="3" t="s">
        <v>31</v>
      </c>
      <c r="C1818" s="3" t="s">
        <v>23</v>
      </c>
      <c r="D1818" s="3" t="s">
        <v>88</v>
      </c>
      <c r="E1818" s="3" t="s">
        <v>89</v>
      </c>
      <c r="F1818" s="3" t="s">
        <v>57</v>
      </c>
      <c r="G1818" s="3" t="n">
        <v>24</v>
      </c>
      <c r="H1818" s="4" t="n">
        <v>12.99</v>
      </c>
      <c r="I1818" s="4" t="n">
        <v>4.5</v>
      </c>
      <c r="J1818" s="5" t="n">
        <v>0.2</v>
      </c>
      <c r="K1818" s="4" t="n">
        <f aca="false">G1818*H1818*(1-J1818)</f>
        <v>249.408</v>
      </c>
      <c r="L1818" s="4" t="n">
        <f aca="false">G1818*I1818</f>
        <v>108</v>
      </c>
      <c r="M1818" s="4" t="n">
        <f aca="false">K1818-L1818</f>
        <v>141.408</v>
      </c>
      <c r="N1818" s="6" t="n">
        <f aca="false">IF(K1818=0,0,M1818/K1818)</f>
        <v>0.566974595842956</v>
      </c>
      <c r="O1818" s="4" t="n">
        <f aca="false">(G1818*H1818)-K1818</f>
        <v>62.352</v>
      </c>
      <c r="P1818" s="3" t="s">
        <v>21</v>
      </c>
    </row>
    <row r="1819" customFormat="false" ht="15" hidden="false" customHeight="false" outlineLevel="0" collapsed="false">
      <c r="A1819" s="7" t="n">
        <v>46033</v>
      </c>
      <c r="B1819" s="8" t="s">
        <v>58</v>
      </c>
      <c r="C1819" s="8" t="s">
        <v>58</v>
      </c>
      <c r="D1819" s="8" t="s">
        <v>53</v>
      </c>
      <c r="E1819" s="8" t="s">
        <v>54</v>
      </c>
      <c r="F1819" s="8" t="s">
        <v>50</v>
      </c>
      <c r="G1819" s="8" t="n">
        <v>26</v>
      </c>
      <c r="H1819" s="9" t="n">
        <v>22.99</v>
      </c>
      <c r="I1819" s="9" t="n">
        <v>8</v>
      </c>
      <c r="J1819" s="10" t="n">
        <v>0.25</v>
      </c>
      <c r="K1819" s="9" t="n">
        <f aca="false">G1819*H1819*(1-J1819)</f>
        <v>448.305</v>
      </c>
      <c r="L1819" s="9" t="n">
        <f aca="false">G1819*I1819</f>
        <v>208</v>
      </c>
      <c r="M1819" s="9" t="n">
        <f aca="false">K1819-L1819</f>
        <v>240.305</v>
      </c>
      <c r="N1819" s="11" t="n">
        <f aca="false">IF(K1819=0,0,M1819/K1819)</f>
        <v>0.536030158039727</v>
      </c>
      <c r="O1819" s="9" t="n">
        <f aca="false">(G1819*H1819)-K1819</f>
        <v>149.435</v>
      </c>
      <c r="P1819" s="8" t="s">
        <v>21</v>
      </c>
    </row>
    <row r="1820" customFormat="false" ht="15" hidden="false" customHeight="false" outlineLevel="0" collapsed="false">
      <c r="A1820" s="2" t="n">
        <v>46131</v>
      </c>
      <c r="B1820" s="3" t="s">
        <v>16</v>
      </c>
      <c r="C1820" s="3" t="s">
        <v>17</v>
      </c>
      <c r="D1820" s="3" t="s">
        <v>46</v>
      </c>
      <c r="E1820" s="3" t="s">
        <v>47</v>
      </c>
      <c r="F1820" s="3" t="s">
        <v>20</v>
      </c>
      <c r="G1820" s="3" t="n">
        <v>6</v>
      </c>
      <c r="H1820" s="4" t="n">
        <v>44.99</v>
      </c>
      <c r="I1820" s="4" t="n">
        <v>18</v>
      </c>
      <c r="J1820" s="5" t="n">
        <v>0.45</v>
      </c>
      <c r="K1820" s="4" t="n">
        <f aca="false">G1820*H1820*(1-J1820)</f>
        <v>148.467</v>
      </c>
      <c r="L1820" s="4" t="n">
        <f aca="false">G1820*I1820</f>
        <v>108</v>
      </c>
      <c r="M1820" s="4" t="n">
        <f aca="false">K1820-L1820</f>
        <v>40.467</v>
      </c>
      <c r="N1820" s="6" t="n">
        <f aca="false">IF(K1820=0,0,M1820/K1820)</f>
        <v>0.272565620642971</v>
      </c>
      <c r="O1820" s="4" t="n">
        <f aca="false">(G1820*H1820)-K1820</f>
        <v>121.473</v>
      </c>
      <c r="P1820" s="14" t="s">
        <v>97</v>
      </c>
    </row>
    <row r="1821" customFormat="false" ht="15" hidden="false" customHeight="false" outlineLevel="0" collapsed="false">
      <c r="A1821" s="7" t="n">
        <v>46033</v>
      </c>
      <c r="B1821" s="8" t="s">
        <v>31</v>
      </c>
      <c r="C1821" s="8" t="s">
        <v>23</v>
      </c>
      <c r="D1821" s="8" t="s">
        <v>61</v>
      </c>
      <c r="E1821" s="8" t="s">
        <v>62</v>
      </c>
      <c r="F1821" s="8" t="s">
        <v>34</v>
      </c>
      <c r="G1821" s="8" t="n">
        <v>24</v>
      </c>
      <c r="H1821" s="9" t="n">
        <v>14.99</v>
      </c>
      <c r="I1821" s="9" t="n">
        <v>4.5</v>
      </c>
      <c r="J1821" s="10" t="n">
        <v>0.1</v>
      </c>
      <c r="K1821" s="9" t="n">
        <f aca="false">G1821*H1821*(1-J1821)</f>
        <v>323.784</v>
      </c>
      <c r="L1821" s="9" t="n">
        <f aca="false">G1821*I1821</f>
        <v>108</v>
      </c>
      <c r="M1821" s="9" t="n">
        <f aca="false">K1821-L1821</f>
        <v>215.784</v>
      </c>
      <c r="N1821" s="11" t="n">
        <f aca="false">IF(K1821=0,0,M1821/K1821)</f>
        <v>0.666444296197465</v>
      </c>
      <c r="O1821" s="9" t="n">
        <f aca="false">(G1821*H1821)-K1821</f>
        <v>35.976</v>
      </c>
      <c r="P1821" s="8" t="s">
        <v>21</v>
      </c>
    </row>
    <row r="1822" customFormat="false" ht="15" hidden="false" customHeight="false" outlineLevel="0" collapsed="false">
      <c r="A1822" s="2" t="n">
        <v>46122</v>
      </c>
      <c r="B1822" s="3" t="s">
        <v>41</v>
      </c>
      <c r="C1822" s="3" t="s">
        <v>28</v>
      </c>
      <c r="D1822" s="3" t="s">
        <v>51</v>
      </c>
      <c r="E1822" s="3" t="s">
        <v>52</v>
      </c>
      <c r="F1822" s="3" t="s">
        <v>50</v>
      </c>
      <c r="G1822" s="3" t="n">
        <v>24</v>
      </c>
      <c r="H1822" s="4" t="n">
        <v>19.99</v>
      </c>
      <c r="I1822" s="4" t="n">
        <v>7</v>
      </c>
      <c r="J1822" s="5" t="n">
        <v>0.3</v>
      </c>
      <c r="K1822" s="4" t="n">
        <f aca="false">G1822*H1822*(1-J1822)</f>
        <v>335.832</v>
      </c>
      <c r="L1822" s="4" t="n">
        <f aca="false">G1822*I1822</f>
        <v>168</v>
      </c>
      <c r="M1822" s="4" t="n">
        <f aca="false">K1822-L1822</f>
        <v>167.832</v>
      </c>
      <c r="N1822" s="6" t="n">
        <f aca="false">IF(K1822=0,0,M1822/K1822)</f>
        <v>0.499749874937469</v>
      </c>
      <c r="O1822" s="4" t="n">
        <f aca="false">(G1822*H1822)-K1822</f>
        <v>143.928</v>
      </c>
      <c r="P1822" s="3" t="s">
        <v>21</v>
      </c>
    </row>
    <row r="1823" customFormat="false" ht="15" hidden="false" customHeight="false" outlineLevel="0" collapsed="false">
      <c r="A1823" s="7" t="n">
        <v>46087</v>
      </c>
      <c r="B1823" s="8" t="s">
        <v>37</v>
      </c>
      <c r="C1823" s="8" t="s">
        <v>17</v>
      </c>
      <c r="D1823" s="8" t="s">
        <v>70</v>
      </c>
      <c r="E1823" s="8" t="s">
        <v>71</v>
      </c>
      <c r="F1823" s="8" t="s">
        <v>20</v>
      </c>
      <c r="G1823" s="8" t="n">
        <v>22</v>
      </c>
      <c r="H1823" s="9" t="n">
        <v>49.99</v>
      </c>
      <c r="I1823" s="9" t="n">
        <v>19</v>
      </c>
      <c r="J1823" s="10" t="n">
        <v>0.15</v>
      </c>
      <c r="K1823" s="9" t="n">
        <f aca="false">G1823*H1823*(1-J1823)</f>
        <v>934.813</v>
      </c>
      <c r="L1823" s="9" t="n">
        <f aca="false">G1823*I1823</f>
        <v>418</v>
      </c>
      <c r="M1823" s="9" t="n">
        <f aca="false">K1823-L1823</f>
        <v>516.813</v>
      </c>
      <c r="N1823" s="11" t="n">
        <f aca="false">IF(K1823=0,0,M1823/K1823)</f>
        <v>0.552851746819952</v>
      </c>
      <c r="O1823" s="9" t="n">
        <f aca="false">(G1823*H1823)-K1823</f>
        <v>164.967</v>
      </c>
      <c r="P1823" s="8" t="s">
        <v>21</v>
      </c>
    </row>
    <row r="1824" customFormat="false" ht="15" hidden="false" customHeight="false" outlineLevel="0" collapsed="false">
      <c r="A1824" s="2" t="n">
        <v>46069</v>
      </c>
      <c r="B1824" s="3" t="s">
        <v>41</v>
      </c>
      <c r="C1824" s="3" t="s">
        <v>28</v>
      </c>
      <c r="D1824" s="3" t="s">
        <v>24</v>
      </c>
      <c r="E1824" s="3" t="s">
        <v>25</v>
      </c>
      <c r="F1824" s="3" t="s">
        <v>26</v>
      </c>
      <c r="G1824" s="3" t="n">
        <v>11</v>
      </c>
      <c r="H1824" s="4" t="n">
        <v>54.99</v>
      </c>
      <c r="I1824" s="4" t="n">
        <v>24</v>
      </c>
      <c r="J1824" s="5" t="n">
        <v>0.1</v>
      </c>
      <c r="K1824" s="4" t="n">
        <f aca="false">G1824*H1824*(1-J1824)</f>
        <v>544.401</v>
      </c>
      <c r="L1824" s="4" t="n">
        <f aca="false">G1824*I1824</f>
        <v>264</v>
      </c>
      <c r="M1824" s="4" t="n">
        <f aca="false">K1824-L1824</f>
        <v>280.401</v>
      </c>
      <c r="N1824" s="6" t="n">
        <f aca="false">IF(K1824=0,0,M1824/K1824)</f>
        <v>0.515063344850579</v>
      </c>
      <c r="O1824" s="4" t="n">
        <f aca="false">(G1824*H1824)-K1824</f>
        <v>60.489</v>
      </c>
      <c r="P1824" s="3" t="s">
        <v>21</v>
      </c>
    </row>
    <row r="1825" customFormat="false" ht="15" hidden="false" customHeight="false" outlineLevel="0" collapsed="false">
      <c r="A1825" s="7" t="n">
        <v>46060</v>
      </c>
      <c r="B1825" s="8" t="s">
        <v>27</v>
      </c>
      <c r="C1825" s="8" t="s">
        <v>28</v>
      </c>
      <c r="D1825" s="8" t="s">
        <v>68</v>
      </c>
      <c r="E1825" s="8" t="s">
        <v>69</v>
      </c>
      <c r="F1825" s="8" t="s">
        <v>40</v>
      </c>
      <c r="G1825" s="8" t="n">
        <v>17</v>
      </c>
      <c r="H1825" s="9" t="n">
        <v>24.99</v>
      </c>
      <c r="I1825" s="9" t="n">
        <v>9</v>
      </c>
      <c r="J1825" s="10" t="n">
        <v>0.3</v>
      </c>
      <c r="K1825" s="9" t="n">
        <f aca="false">G1825*H1825*(1-J1825)</f>
        <v>297.381</v>
      </c>
      <c r="L1825" s="9" t="n">
        <f aca="false">G1825*I1825</f>
        <v>153</v>
      </c>
      <c r="M1825" s="9" t="n">
        <f aca="false">K1825-L1825</f>
        <v>144.381</v>
      </c>
      <c r="N1825" s="11" t="n">
        <f aca="false">IF(K1825=0,0,M1825/K1825)</f>
        <v>0.48550848910993</v>
      </c>
      <c r="O1825" s="9" t="n">
        <f aca="false">(G1825*H1825)-K1825</f>
        <v>127.449</v>
      </c>
      <c r="P1825" s="8" t="s">
        <v>21</v>
      </c>
    </row>
    <row r="1826" customFormat="false" ht="15" hidden="false" customHeight="false" outlineLevel="0" collapsed="false">
      <c r="A1826" s="2" t="n">
        <v>46075</v>
      </c>
      <c r="B1826" s="3" t="s">
        <v>58</v>
      </c>
      <c r="C1826" s="3" t="s">
        <v>58</v>
      </c>
      <c r="D1826" s="3" t="s">
        <v>66</v>
      </c>
      <c r="E1826" s="3" t="s">
        <v>67</v>
      </c>
      <c r="F1826" s="3" t="s">
        <v>57</v>
      </c>
      <c r="G1826" s="3" t="n">
        <v>21</v>
      </c>
      <c r="H1826" s="4" t="n">
        <v>14.99</v>
      </c>
      <c r="I1826" s="4" t="n">
        <v>5.5</v>
      </c>
      <c r="J1826" s="5" t="n">
        <v>0</v>
      </c>
      <c r="K1826" s="4" t="n">
        <f aca="false">G1826*H1826*(1-J1826)</f>
        <v>314.79</v>
      </c>
      <c r="L1826" s="4" t="n">
        <f aca="false">G1826*I1826</f>
        <v>115.5</v>
      </c>
      <c r="M1826" s="4" t="n">
        <f aca="false">K1826-L1826</f>
        <v>199.29</v>
      </c>
      <c r="N1826" s="6" t="n">
        <f aca="false">IF(K1826=0,0,M1826/K1826)</f>
        <v>0.633088725817212</v>
      </c>
      <c r="O1826" s="4" t="n">
        <f aca="false">(G1826*H1826)-K1826</f>
        <v>0</v>
      </c>
      <c r="P1826" s="3" t="s">
        <v>21</v>
      </c>
    </row>
    <row r="1827" customFormat="false" ht="15" hidden="false" customHeight="false" outlineLevel="0" collapsed="false">
      <c r="A1827" s="7" t="n">
        <v>46122</v>
      </c>
      <c r="B1827" s="8" t="s">
        <v>37</v>
      </c>
      <c r="C1827" s="8" t="s">
        <v>17</v>
      </c>
      <c r="D1827" s="8" t="s">
        <v>55</v>
      </c>
      <c r="E1827" s="8" t="s">
        <v>56</v>
      </c>
      <c r="F1827" s="8" t="s">
        <v>57</v>
      </c>
      <c r="G1827" s="8" t="n">
        <v>19</v>
      </c>
      <c r="H1827" s="9" t="n">
        <v>29.99</v>
      </c>
      <c r="I1827" s="9" t="n">
        <v>11</v>
      </c>
      <c r="J1827" s="10" t="n">
        <v>0</v>
      </c>
      <c r="K1827" s="9" t="n">
        <f aca="false">G1827*H1827*(1-J1827)</f>
        <v>569.81</v>
      </c>
      <c r="L1827" s="9" t="n">
        <f aca="false">G1827*I1827</f>
        <v>209</v>
      </c>
      <c r="M1827" s="9" t="n">
        <f aca="false">K1827-L1827</f>
        <v>360.81</v>
      </c>
      <c r="N1827" s="11" t="n">
        <f aca="false">IF(K1827=0,0,M1827/K1827)</f>
        <v>0.633211070356786</v>
      </c>
      <c r="O1827" s="9" t="n">
        <f aca="false">(G1827*H1827)-K1827</f>
        <v>0</v>
      </c>
      <c r="P1827" s="8" t="s">
        <v>21</v>
      </c>
    </row>
    <row r="1828" customFormat="false" ht="15" hidden="false" customHeight="false" outlineLevel="0" collapsed="false">
      <c r="A1828" s="2" t="n">
        <v>46112</v>
      </c>
      <c r="B1828" s="3" t="s">
        <v>16</v>
      </c>
      <c r="C1828" s="3" t="s">
        <v>17</v>
      </c>
      <c r="D1828" s="3" t="s">
        <v>82</v>
      </c>
      <c r="E1828" s="3" t="s">
        <v>83</v>
      </c>
      <c r="F1828" s="3" t="s">
        <v>26</v>
      </c>
      <c r="G1828" s="3" t="n">
        <v>5</v>
      </c>
      <c r="H1828" s="4" t="n">
        <v>44.99</v>
      </c>
      <c r="I1828" s="4" t="n">
        <v>18</v>
      </c>
      <c r="J1828" s="5" t="n">
        <v>0.1</v>
      </c>
      <c r="K1828" s="4" t="n">
        <f aca="false">G1828*H1828*(1-J1828)</f>
        <v>202.455</v>
      </c>
      <c r="L1828" s="4" t="n">
        <f aca="false">G1828*I1828</f>
        <v>90</v>
      </c>
      <c r="M1828" s="4" t="n">
        <f aca="false">K1828-L1828</f>
        <v>112.455</v>
      </c>
      <c r="N1828" s="6" t="n">
        <f aca="false">IF(K1828=0,0,M1828/K1828)</f>
        <v>0.555456768170705</v>
      </c>
      <c r="O1828" s="4" t="n">
        <f aca="false">(G1828*H1828)-K1828</f>
        <v>22.495</v>
      </c>
      <c r="P1828" s="3" t="s">
        <v>21</v>
      </c>
    </row>
    <row r="1829" customFormat="false" ht="15" hidden="false" customHeight="false" outlineLevel="0" collapsed="false">
      <c r="A1829" s="7" t="n">
        <v>46025</v>
      </c>
      <c r="B1829" s="8" t="s">
        <v>22</v>
      </c>
      <c r="C1829" s="8" t="s">
        <v>23</v>
      </c>
      <c r="D1829" s="8" t="s">
        <v>38</v>
      </c>
      <c r="E1829" s="8" t="s">
        <v>39</v>
      </c>
      <c r="F1829" s="8" t="s">
        <v>40</v>
      </c>
      <c r="G1829" s="8" t="n">
        <v>12</v>
      </c>
      <c r="H1829" s="9" t="n">
        <v>12.99</v>
      </c>
      <c r="I1829" s="9" t="n">
        <v>4</v>
      </c>
      <c r="J1829" s="10" t="n">
        <v>0.05</v>
      </c>
      <c r="K1829" s="9" t="n">
        <f aca="false">G1829*H1829*(1-J1829)</f>
        <v>148.086</v>
      </c>
      <c r="L1829" s="9" t="n">
        <f aca="false">G1829*I1829</f>
        <v>48</v>
      </c>
      <c r="M1829" s="9" t="n">
        <f aca="false">K1829-L1829</f>
        <v>100.086</v>
      </c>
      <c r="N1829" s="11" t="n">
        <f aca="false">IF(K1829=0,0,M1829/K1829)</f>
        <v>0.67586402495847</v>
      </c>
      <c r="O1829" s="9" t="n">
        <f aca="false">(G1829*H1829)-K1829</f>
        <v>7.79400000000001</v>
      </c>
      <c r="P1829" s="8" t="s">
        <v>21</v>
      </c>
    </row>
    <row r="1830" customFormat="false" ht="15" hidden="false" customHeight="false" outlineLevel="0" collapsed="false">
      <c r="A1830" s="2" t="n">
        <v>46045</v>
      </c>
      <c r="B1830" s="3" t="s">
        <v>41</v>
      </c>
      <c r="C1830" s="3" t="s">
        <v>28</v>
      </c>
      <c r="D1830" s="3" t="s">
        <v>74</v>
      </c>
      <c r="E1830" s="3" t="s">
        <v>75</v>
      </c>
      <c r="F1830" s="3" t="s">
        <v>40</v>
      </c>
      <c r="G1830" s="3" t="n">
        <v>30</v>
      </c>
      <c r="H1830" s="4" t="n">
        <v>29.99</v>
      </c>
      <c r="I1830" s="4" t="n">
        <v>13</v>
      </c>
      <c r="J1830" s="5" t="n">
        <v>0.1</v>
      </c>
      <c r="K1830" s="4" t="n">
        <f aca="false">G1830*H1830*(1-J1830)</f>
        <v>809.73</v>
      </c>
      <c r="L1830" s="4" t="n">
        <f aca="false">G1830*I1830</f>
        <v>390</v>
      </c>
      <c r="M1830" s="4" t="n">
        <f aca="false">K1830-L1830</f>
        <v>419.73</v>
      </c>
      <c r="N1830" s="6" t="n">
        <f aca="false">IF(K1830=0,0,M1830/K1830)</f>
        <v>0.518357971175577</v>
      </c>
      <c r="O1830" s="4" t="n">
        <f aca="false">(G1830*H1830)-K1830</f>
        <v>89.97</v>
      </c>
      <c r="P1830" s="3" t="s">
        <v>21</v>
      </c>
    </row>
    <row r="1831" customFormat="false" ht="15" hidden="false" customHeight="false" outlineLevel="0" collapsed="false">
      <c r="A1831" s="7" t="n">
        <v>46069</v>
      </c>
      <c r="B1831" s="8" t="s">
        <v>64</v>
      </c>
      <c r="C1831" s="8" t="s">
        <v>65</v>
      </c>
      <c r="D1831" s="8" t="s">
        <v>82</v>
      </c>
      <c r="E1831" s="8" t="s">
        <v>83</v>
      </c>
      <c r="F1831" s="8" t="s">
        <v>26</v>
      </c>
      <c r="G1831" s="8" t="n">
        <v>29</v>
      </c>
      <c r="H1831" s="9" t="n">
        <v>44.99</v>
      </c>
      <c r="I1831" s="9" t="n">
        <v>18</v>
      </c>
      <c r="J1831" s="10" t="n">
        <v>0.25</v>
      </c>
      <c r="K1831" s="9" t="n">
        <f aca="false">G1831*H1831*(1-J1831)</f>
        <v>978.5325</v>
      </c>
      <c r="L1831" s="9" t="n">
        <f aca="false">G1831*I1831</f>
        <v>522</v>
      </c>
      <c r="M1831" s="9" t="n">
        <f aca="false">K1831-L1831</f>
        <v>456.5325</v>
      </c>
      <c r="N1831" s="11" t="n">
        <f aca="false">IF(K1831=0,0,M1831/K1831)</f>
        <v>0.466548121804846</v>
      </c>
      <c r="O1831" s="9" t="n">
        <f aca="false">(G1831*H1831)-K1831</f>
        <v>326.1775</v>
      </c>
      <c r="P1831" s="8" t="s">
        <v>21</v>
      </c>
    </row>
    <row r="1832" customFormat="false" ht="15" hidden="false" customHeight="false" outlineLevel="0" collapsed="false">
      <c r="A1832" s="2" t="n">
        <v>46045</v>
      </c>
      <c r="B1832" s="3" t="s">
        <v>16</v>
      </c>
      <c r="C1832" s="3" t="s">
        <v>17</v>
      </c>
      <c r="D1832" s="3" t="s">
        <v>44</v>
      </c>
      <c r="E1832" s="3" t="s">
        <v>45</v>
      </c>
      <c r="F1832" s="3" t="s">
        <v>40</v>
      </c>
      <c r="G1832" s="3" t="n">
        <v>2</v>
      </c>
      <c r="H1832" s="4" t="n">
        <v>35.71</v>
      </c>
      <c r="I1832" s="4" t="n">
        <v>11</v>
      </c>
      <c r="J1832" s="5" t="n">
        <v>0</v>
      </c>
      <c r="K1832" s="4" t="n">
        <f aca="false">G1832*H1832*(1-J1832)</f>
        <v>71.42</v>
      </c>
      <c r="L1832" s="4" t="n">
        <f aca="false">G1832*I1832</f>
        <v>22</v>
      </c>
      <c r="M1832" s="4" t="n">
        <f aca="false">K1832-L1832</f>
        <v>49.42</v>
      </c>
      <c r="N1832" s="6" t="n">
        <f aca="false">IF(K1832=0,0,M1832/K1832)</f>
        <v>0.691963035564268</v>
      </c>
      <c r="O1832" s="4" t="n">
        <f aca="false">(G1832*H1832)-K1832</f>
        <v>0</v>
      </c>
      <c r="P1832" s="12" t="s">
        <v>63</v>
      </c>
    </row>
    <row r="1833" customFormat="false" ht="15" hidden="false" customHeight="false" outlineLevel="0" collapsed="false">
      <c r="A1833" s="7" t="n">
        <v>46041</v>
      </c>
      <c r="B1833" s="8" t="s">
        <v>41</v>
      </c>
      <c r="C1833" s="8" t="s">
        <v>28</v>
      </c>
      <c r="D1833" s="8" t="s">
        <v>68</v>
      </c>
      <c r="E1833" s="8" t="s">
        <v>69</v>
      </c>
      <c r="F1833" s="8" t="s">
        <v>40</v>
      </c>
      <c r="G1833" s="8" t="n">
        <v>23</v>
      </c>
      <c r="H1833" s="9" t="n">
        <v>24.99</v>
      </c>
      <c r="I1833" s="9" t="n">
        <v>9</v>
      </c>
      <c r="J1833" s="10" t="n">
        <v>0.1</v>
      </c>
      <c r="K1833" s="9" t="n">
        <f aca="false">G1833*H1833*(1-J1833)</f>
        <v>517.293</v>
      </c>
      <c r="L1833" s="9" t="n">
        <f aca="false">G1833*I1833</f>
        <v>207</v>
      </c>
      <c r="M1833" s="9" t="n">
        <f aca="false">K1833-L1833</f>
        <v>310.293</v>
      </c>
      <c r="N1833" s="11" t="n">
        <f aca="false">IF(K1833=0,0,M1833/K1833)</f>
        <v>0.59983993597439</v>
      </c>
      <c r="O1833" s="9" t="n">
        <f aca="false">(G1833*H1833)-K1833</f>
        <v>57.477</v>
      </c>
      <c r="P1833" s="8" t="s">
        <v>21</v>
      </c>
    </row>
    <row r="1834" customFormat="false" ht="15" hidden="false" customHeight="false" outlineLevel="0" collapsed="false">
      <c r="A1834" s="2" t="n">
        <v>46024</v>
      </c>
      <c r="B1834" s="3" t="s">
        <v>37</v>
      </c>
      <c r="C1834" s="3" t="s">
        <v>17</v>
      </c>
      <c r="D1834" s="3" t="s">
        <v>55</v>
      </c>
      <c r="E1834" s="3" t="s">
        <v>56</v>
      </c>
      <c r="F1834" s="3" t="s">
        <v>57</v>
      </c>
      <c r="G1834" s="3" t="n">
        <v>15</v>
      </c>
      <c r="H1834" s="4" t="n">
        <v>29.99</v>
      </c>
      <c r="I1834" s="4" t="n">
        <v>11</v>
      </c>
      <c r="J1834" s="5" t="n">
        <v>0.1</v>
      </c>
      <c r="K1834" s="4" t="n">
        <f aca="false">G1834*H1834*(1-J1834)</f>
        <v>404.865</v>
      </c>
      <c r="L1834" s="4" t="n">
        <f aca="false">G1834*I1834</f>
        <v>165</v>
      </c>
      <c r="M1834" s="4" t="n">
        <f aca="false">K1834-L1834</f>
        <v>239.865</v>
      </c>
      <c r="N1834" s="6" t="n">
        <f aca="false">IF(K1834=0,0,M1834/K1834)</f>
        <v>0.592456744840873</v>
      </c>
      <c r="O1834" s="4" t="n">
        <f aca="false">(G1834*H1834)-K1834</f>
        <v>44.985</v>
      </c>
      <c r="P1834" s="3" t="s">
        <v>21</v>
      </c>
    </row>
    <row r="1835" customFormat="false" ht="15" hidden="false" customHeight="false" outlineLevel="0" collapsed="false">
      <c r="A1835" s="7" t="n">
        <v>46102</v>
      </c>
      <c r="B1835" s="8" t="s">
        <v>27</v>
      </c>
      <c r="C1835" s="8" t="s">
        <v>28</v>
      </c>
      <c r="D1835" s="8" t="s">
        <v>86</v>
      </c>
      <c r="E1835" s="8" t="s">
        <v>87</v>
      </c>
      <c r="F1835" s="8" t="s">
        <v>40</v>
      </c>
      <c r="G1835" s="8" t="n">
        <v>24</v>
      </c>
      <c r="H1835" s="9" t="n">
        <v>16.99</v>
      </c>
      <c r="I1835" s="9" t="n">
        <v>5.5</v>
      </c>
      <c r="J1835" s="10" t="n">
        <v>0</v>
      </c>
      <c r="K1835" s="9" t="n">
        <f aca="false">G1835*H1835*(1-J1835)</f>
        <v>407.76</v>
      </c>
      <c r="L1835" s="9" t="n">
        <f aca="false">G1835*I1835</f>
        <v>132</v>
      </c>
      <c r="M1835" s="9" t="n">
        <f aca="false">K1835-L1835</f>
        <v>275.76</v>
      </c>
      <c r="N1835" s="11" t="n">
        <f aca="false">IF(K1835=0,0,M1835/K1835)</f>
        <v>0.676280164802825</v>
      </c>
      <c r="O1835" s="9" t="n">
        <f aca="false">(G1835*H1835)-K1835</f>
        <v>0</v>
      </c>
      <c r="P1835" s="8" t="s">
        <v>21</v>
      </c>
    </row>
    <row r="1836" customFormat="false" ht="15" hidden="false" customHeight="false" outlineLevel="0" collapsed="false">
      <c r="A1836" s="2" t="n">
        <v>46113</v>
      </c>
      <c r="B1836" s="3" t="s">
        <v>64</v>
      </c>
      <c r="C1836" s="3" t="s">
        <v>65</v>
      </c>
      <c r="D1836" s="3" t="s">
        <v>93</v>
      </c>
      <c r="E1836" s="3" t="s">
        <v>94</v>
      </c>
      <c r="F1836" s="3" t="s">
        <v>34</v>
      </c>
      <c r="G1836" s="3" t="n">
        <v>10</v>
      </c>
      <c r="H1836" s="4" t="n">
        <v>29.99</v>
      </c>
      <c r="I1836" s="4" t="n">
        <v>9</v>
      </c>
      <c r="J1836" s="5" t="n">
        <v>0.55</v>
      </c>
      <c r="K1836" s="4" t="n">
        <f aca="false">G1836*H1836*(1-J1836)</f>
        <v>134.955</v>
      </c>
      <c r="L1836" s="4" t="n">
        <f aca="false">G1836*I1836</f>
        <v>90</v>
      </c>
      <c r="M1836" s="4" t="n">
        <f aca="false">K1836-L1836</f>
        <v>44.955</v>
      </c>
      <c r="N1836" s="6" t="n">
        <f aca="false">IF(K1836=0,0,M1836/K1836)</f>
        <v>0.333111037012337</v>
      </c>
      <c r="O1836" s="4" t="n">
        <f aca="false">(G1836*H1836)-K1836</f>
        <v>164.945</v>
      </c>
      <c r="P1836" s="14" t="s">
        <v>97</v>
      </c>
    </row>
    <row r="1837" customFormat="false" ht="15" hidden="false" customHeight="false" outlineLevel="0" collapsed="false">
      <c r="A1837" s="7" t="n">
        <v>46027</v>
      </c>
      <c r="B1837" s="8" t="s">
        <v>64</v>
      </c>
      <c r="C1837" s="8" t="s">
        <v>65</v>
      </c>
      <c r="D1837" s="8" t="s">
        <v>35</v>
      </c>
      <c r="E1837" s="8" t="s">
        <v>36</v>
      </c>
      <c r="F1837" s="8" t="s">
        <v>26</v>
      </c>
      <c r="G1837" s="8" t="n">
        <v>5</v>
      </c>
      <c r="H1837" s="9" t="n">
        <v>69.99</v>
      </c>
      <c r="I1837" s="9" t="n">
        <v>30</v>
      </c>
      <c r="J1837" s="10" t="n">
        <v>0.1</v>
      </c>
      <c r="K1837" s="9" t="n">
        <f aca="false">G1837*H1837*(1-J1837)</f>
        <v>314.955</v>
      </c>
      <c r="L1837" s="9" t="n">
        <f aca="false">G1837*I1837</f>
        <v>150</v>
      </c>
      <c r="M1837" s="9" t="n">
        <f aca="false">K1837-L1837</f>
        <v>164.955</v>
      </c>
      <c r="N1837" s="11" t="n">
        <f aca="false">IF(K1837=0,0,M1837/K1837)</f>
        <v>0.523741486879078</v>
      </c>
      <c r="O1837" s="9" t="n">
        <f aca="false">(G1837*H1837)-K1837</f>
        <v>34.995</v>
      </c>
      <c r="P1837" s="8" t="s">
        <v>21</v>
      </c>
    </row>
    <row r="1838" customFormat="false" ht="15" hidden="false" customHeight="false" outlineLevel="0" collapsed="false">
      <c r="A1838" s="2" t="n">
        <v>46099</v>
      </c>
      <c r="B1838" s="3" t="s">
        <v>27</v>
      </c>
      <c r="C1838" s="3" t="s">
        <v>28</v>
      </c>
      <c r="D1838" s="3" t="s">
        <v>53</v>
      </c>
      <c r="E1838" s="3" t="s">
        <v>54</v>
      </c>
      <c r="F1838" s="3" t="s">
        <v>50</v>
      </c>
      <c r="G1838" s="3" t="n">
        <v>4</v>
      </c>
      <c r="H1838" s="4" t="n">
        <v>22.99</v>
      </c>
      <c r="I1838" s="4" t="n">
        <v>8</v>
      </c>
      <c r="J1838" s="5" t="n">
        <v>0.15</v>
      </c>
      <c r="K1838" s="4" t="n">
        <f aca="false">G1838*H1838*(1-J1838)</f>
        <v>78.166</v>
      </c>
      <c r="L1838" s="4" t="n">
        <f aca="false">G1838*I1838</f>
        <v>32</v>
      </c>
      <c r="M1838" s="4" t="n">
        <f aca="false">K1838-L1838</f>
        <v>46.166</v>
      </c>
      <c r="N1838" s="6" t="n">
        <f aca="false">IF(K1838=0,0,M1838/K1838)</f>
        <v>0.590614845329171</v>
      </c>
      <c r="O1838" s="4" t="n">
        <f aca="false">(G1838*H1838)-K1838</f>
        <v>13.794</v>
      </c>
      <c r="P1838" s="3" t="s">
        <v>21</v>
      </c>
    </row>
    <row r="1839" customFormat="false" ht="15" hidden="false" customHeight="false" outlineLevel="0" collapsed="false">
      <c r="A1839" s="7" t="n">
        <v>46132</v>
      </c>
      <c r="B1839" s="8" t="s">
        <v>27</v>
      </c>
      <c r="C1839" s="8" t="s">
        <v>28</v>
      </c>
      <c r="D1839" s="8" t="s">
        <v>51</v>
      </c>
      <c r="E1839" s="8" t="s">
        <v>52</v>
      </c>
      <c r="F1839" s="8" t="s">
        <v>50</v>
      </c>
      <c r="G1839" s="8" t="n">
        <v>26</v>
      </c>
      <c r="H1839" s="9" t="n">
        <v>19.99</v>
      </c>
      <c r="I1839" s="9" t="n">
        <v>7</v>
      </c>
      <c r="J1839" s="10" t="n">
        <v>0.3</v>
      </c>
      <c r="K1839" s="9" t="n">
        <f aca="false">G1839*H1839*(1-J1839)</f>
        <v>363.818</v>
      </c>
      <c r="L1839" s="9" t="n">
        <f aca="false">G1839*I1839</f>
        <v>182</v>
      </c>
      <c r="M1839" s="9" t="n">
        <f aca="false">K1839-L1839</f>
        <v>181.818</v>
      </c>
      <c r="N1839" s="11" t="n">
        <f aca="false">IF(K1839=0,0,M1839/K1839)</f>
        <v>0.499749874937469</v>
      </c>
      <c r="O1839" s="9" t="n">
        <f aca="false">(G1839*H1839)-K1839</f>
        <v>155.922</v>
      </c>
      <c r="P1839" s="8" t="s">
        <v>21</v>
      </c>
    </row>
    <row r="1840" customFormat="false" ht="15" hidden="false" customHeight="false" outlineLevel="0" collapsed="false">
      <c r="A1840" s="2" t="n">
        <v>46064</v>
      </c>
      <c r="B1840" s="3" t="s">
        <v>41</v>
      </c>
      <c r="C1840" s="3" t="s">
        <v>28</v>
      </c>
      <c r="D1840" s="3" t="s">
        <v>80</v>
      </c>
      <c r="E1840" s="3" t="s">
        <v>81</v>
      </c>
      <c r="F1840" s="3" t="s">
        <v>57</v>
      </c>
      <c r="G1840" s="3" t="n">
        <v>28</v>
      </c>
      <c r="H1840" s="4" t="n">
        <v>17.99</v>
      </c>
      <c r="I1840" s="4" t="n">
        <v>6.5</v>
      </c>
      <c r="J1840" s="5" t="n">
        <v>0.05</v>
      </c>
      <c r="K1840" s="4" t="n">
        <f aca="false">G1840*H1840*(1-J1840)</f>
        <v>478.534</v>
      </c>
      <c r="L1840" s="4" t="n">
        <f aca="false">G1840*I1840</f>
        <v>182</v>
      </c>
      <c r="M1840" s="4" t="n">
        <f aca="false">K1840-L1840</f>
        <v>296.534</v>
      </c>
      <c r="N1840" s="6" t="n">
        <f aca="false">IF(K1840=0,0,M1840/K1840)</f>
        <v>0.61967174746204</v>
      </c>
      <c r="O1840" s="4" t="n">
        <f aca="false">(G1840*H1840)-K1840</f>
        <v>25.186</v>
      </c>
      <c r="P1840" s="3" t="s">
        <v>21</v>
      </c>
    </row>
    <row r="1841" customFormat="false" ht="15" hidden="false" customHeight="false" outlineLevel="0" collapsed="false">
      <c r="A1841" s="7" t="n">
        <v>46126</v>
      </c>
      <c r="B1841" s="8" t="s">
        <v>16</v>
      </c>
      <c r="C1841" s="8" t="s">
        <v>17</v>
      </c>
      <c r="D1841" s="8" t="s">
        <v>72</v>
      </c>
      <c r="E1841" s="8" t="s">
        <v>73</v>
      </c>
      <c r="F1841" s="8" t="s">
        <v>57</v>
      </c>
      <c r="G1841" s="8" t="n">
        <v>2</v>
      </c>
      <c r="H1841" s="9" t="n">
        <v>19.99</v>
      </c>
      <c r="I1841" s="9" t="n">
        <v>7</v>
      </c>
      <c r="J1841" s="10" t="n">
        <v>0.25</v>
      </c>
      <c r="K1841" s="9" t="n">
        <f aca="false">G1841*H1841*(1-J1841)</f>
        <v>29.985</v>
      </c>
      <c r="L1841" s="9" t="n">
        <f aca="false">G1841*I1841</f>
        <v>14</v>
      </c>
      <c r="M1841" s="9" t="n">
        <f aca="false">K1841-L1841</f>
        <v>15.985</v>
      </c>
      <c r="N1841" s="11" t="n">
        <f aca="false">IF(K1841=0,0,M1841/K1841)</f>
        <v>0.533099883274971</v>
      </c>
      <c r="O1841" s="9" t="n">
        <f aca="false">(G1841*H1841)-K1841</f>
        <v>9.995</v>
      </c>
      <c r="P1841" s="8" t="s">
        <v>21</v>
      </c>
    </row>
    <row r="1842" customFormat="false" ht="15" hidden="false" customHeight="false" outlineLevel="0" collapsed="false">
      <c r="A1842" s="2" t="n">
        <v>46129</v>
      </c>
      <c r="B1842" s="3" t="s">
        <v>58</v>
      </c>
      <c r="C1842" s="3" t="s">
        <v>58</v>
      </c>
      <c r="D1842" s="3" t="s">
        <v>61</v>
      </c>
      <c r="E1842" s="3" t="s">
        <v>62</v>
      </c>
      <c r="F1842" s="3" t="s">
        <v>34</v>
      </c>
      <c r="G1842" s="3" t="n">
        <v>27</v>
      </c>
      <c r="H1842" s="4" t="n">
        <v>12.99</v>
      </c>
      <c r="I1842" s="4" t="n">
        <v>4.5</v>
      </c>
      <c r="J1842" s="5" t="n">
        <v>0</v>
      </c>
      <c r="K1842" s="4" t="n">
        <f aca="false">G1842*H1842*(1-J1842)</f>
        <v>350.73</v>
      </c>
      <c r="L1842" s="4" t="n">
        <f aca="false">G1842*I1842</f>
        <v>121.5</v>
      </c>
      <c r="M1842" s="4" t="n">
        <f aca="false">K1842-L1842</f>
        <v>229.23</v>
      </c>
      <c r="N1842" s="6" t="n">
        <f aca="false">IF(K1842=0,0,M1842/K1842)</f>
        <v>0.653579676674365</v>
      </c>
      <c r="O1842" s="4" t="n">
        <f aca="false">(G1842*H1842)-K1842</f>
        <v>0</v>
      </c>
      <c r="P1842" s="3" t="s">
        <v>21</v>
      </c>
    </row>
    <row r="1843" customFormat="false" ht="15" hidden="false" customHeight="false" outlineLevel="0" collapsed="false">
      <c r="A1843" s="7" t="n">
        <v>46033</v>
      </c>
      <c r="B1843" s="8" t="s">
        <v>64</v>
      </c>
      <c r="C1843" s="8" t="s">
        <v>65</v>
      </c>
      <c r="D1843" s="8" t="s">
        <v>68</v>
      </c>
      <c r="E1843" s="8" t="s">
        <v>69</v>
      </c>
      <c r="F1843" s="8" t="s">
        <v>40</v>
      </c>
      <c r="G1843" s="8" t="n">
        <v>10</v>
      </c>
      <c r="H1843" s="9" t="n">
        <v>24.99</v>
      </c>
      <c r="I1843" s="9" t="n">
        <v>9</v>
      </c>
      <c r="J1843" s="10" t="n">
        <v>0.1</v>
      </c>
      <c r="K1843" s="9" t="n">
        <f aca="false">G1843*H1843*(1-J1843)</f>
        <v>224.91</v>
      </c>
      <c r="L1843" s="9" t="n">
        <f aca="false">G1843*I1843</f>
        <v>90</v>
      </c>
      <c r="M1843" s="9" t="n">
        <f aca="false">K1843-L1843</f>
        <v>134.91</v>
      </c>
      <c r="N1843" s="11" t="n">
        <f aca="false">IF(K1843=0,0,M1843/K1843)</f>
        <v>0.59983993597439</v>
      </c>
      <c r="O1843" s="9" t="n">
        <f aca="false">(G1843*H1843)-K1843</f>
        <v>24.99</v>
      </c>
      <c r="P1843" s="8" t="s">
        <v>21</v>
      </c>
    </row>
    <row r="1844" customFormat="false" ht="15" hidden="false" customHeight="false" outlineLevel="0" collapsed="false">
      <c r="A1844" s="2" t="n">
        <v>46110</v>
      </c>
      <c r="B1844" s="3" t="s">
        <v>31</v>
      </c>
      <c r="C1844" s="3" t="s">
        <v>23</v>
      </c>
      <c r="D1844" s="3" t="s">
        <v>38</v>
      </c>
      <c r="E1844" s="3" t="s">
        <v>39</v>
      </c>
      <c r="F1844" s="3" t="s">
        <v>40</v>
      </c>
      <c r="G1844" s="3" t="n">
        <v>20</v>
      </c>
      <c r="H1844" s="4" t="n">
        <v>12.99</v>
      </c>
      <c r="I1844" s="4" t="n">
        <v>4</v>
      </c>
      <c r="J1844" s="5" t="n">
        <v>0.15</v>
      </c>
      <c r="K1844" s="4" t="n">
        <f aca="false">G1844*H1844*(1-J1844)</f>
        <v>220.83</v>
      </c>
      <c r="L1844" s="4" t="n">
        <f aca="false">G1844*I1844</f>
        <v>80</v>
      </c>
      <c r="M1844" s="4" t="n">
        <f aca="false">K1844-L1844</f>
        <v>140.83</v>
      </c>
      <c r="N1844" s="6" t="n">
        <f aca="false">IF(K1844=0,0,M1844/K1844)</f>
        <v>0.637730380835937</v>
      </c>
      <c r="O1844" s="4" t="n">
        <f aca="false">(G1844*H1844)-K1844</f>
        <v>38.97</v>
      </c>
      <c r="P1844" s="3" t="s">
        <v>21</v>
      </c>
    </row>
    <row r="1845" customFormat="false" ht="15" hidden="false" customHeight="false" outlineLevel="0" collapsed="false">
      <c r="A1845" s="7" t="n">
        <v>46038</v>
      </c>
      <c r="B1845" s="8" t="s">
        <v>41</v>
      </c>
      <c r="C1845" s="8" t="s">
        <v>28</v>
      </c>
      <c r="D1845" s="8" t="s">
        <v>61</v>
      </c>
      <c r="E1845" s="8" t="s">
        <v>62</v>
      </c>
      <c r="F1845" s="8" t="s">
        <v>34</v>
      </c>
      <c r="G1845" s="8" t="n">
        <v>21</v>
      </c>
      <c r="H1845" s="9" t="n">
        <v>14.99</v>
      </c>
      <c r="I1845" s="9" t="n">
        <v>4.5</v>
      </c>
      <c r="J1845" s="10" t="n">
        <v>0</v>
      </c>
      <c r="K1845" s="9" t="n">
        <f aca="false">G1845*H1845*(1-J1845)</f>
        <v>314.79</v>
      </c>
      <c r="L1845" s="9" t="n">
        <f aca="false">G1845*I1845</f>
        <v>94.5</v>
      </c>
      <c r="M1845" s="9" t="n">
        <f aca="false">K1845-L1845</f>
        <v>220.29</v>
      </c>
      <c r="N1845" s="11" t="n">
        <f aca="false">IF(K1845=0,0,M1845/K1845)</f>
        <v>0.699799866577719</v>
      </c>
      <c r="O1845" s="9" t="n">
        <f aca="false">(G1845*H1845)-K1845</f>
        <v>0</v>
      </c>
      <c r="P1845" s="8" t="s">
        <v>21</v>
      </c>
    </row>
    <row r="1846" customFormat="false" ht="15" hidden="false" customHeight="false" outlineLevel="0" collapsed="false">
      <c r="A1846" s="2" t="n">
        <v>46116</v>
      </c>
      <c r="B1846" s="3" t="s">
        <v>22</v>
      </c>
      <c r="C1846" s="3" t="s">
        <v>23</v>
      </c>
      <c r="D1846" s="3" t="s">
        <v>93</v>
      </c>
      <c r="E1846" s="3" t="s">
        <v>94</v>
      </c>
      <c r="F1846" s="3" t="s">
        <v>34</v>
      </c>
      <c r="G1846" s="3" t="n">
        <v>11</v>
      </c>
      <c r="H1846" s="4" t="n">
        <v>29.99</v>
      </c>
      <c r="I1846" s="4" t="n">
        <v>9</v>
      </c>
      <c r="J1846" s="5" t="n">
        <v>0.15</v>
      </c>
      <c r="K1846" s="4" t="n">
        <f aca="false">G1846*H1846*(1-J1846)</f>
        <v>280.4065</v>
      </c>
      <c r="L1846" s="4" t="n">
        <f aca="false">G1846*I1846</f>
        <v>99</v>
      </c>
      <c r="M1846" s="4" t="n">
        <f aca="false">K1846-L1846</f>
        <v>181.4065</v>
      </c>
      <c r="N1846" s="6" t="n">
        <f aca="false">IF(K1846=0,0,M1846/K1846)</f>
        <v>0.646941137241826</v>
      </c>
      <c r="O1846" s="4" t="n">
        <f aca="false">(G1846*H1846)-K1846</f>
        <v>49.4835</v>
      </c>
      <c r="P1846" s="3" t="s">
        <v>21</v>
      </c>
    </row>
    <row r="1847" customFormat="false" ht="15" hidden="false" customHeight="false" outlineLevel="0" collapsed="false">
      <c r="A1847" s="7" t="n">
        <v>46110</v>
      </c>
      <c r="B1847" s="8" t="s">
        <v>16</v>
      </c>
      <c r="C1847" s="8" t="s">
        <v>17</v>
      </c>
      <c r="D1847" s="8" t="s">
        <v>51</v>
      </c>
      <c r="E1847" s="8" t="s">
        <v>52</v>
      </c>
      <c r="F1847" s="8" t="s">
        <v>50</v>
      </c>
      <c r="G1847" s="8" t="n">
        <v>6</v>
      </c>
      <c r="H1847" s="9" t="n">
        <v>24.78</v>
      </c>
      <c r="I1847" s="9" t="n">
        <v>7</v>
      </c>
      <c r="J1847" s="10" t="n">
        <v>0</v>
      </c>
      <c r="K1847" s="9" t="n">
        <f aca="false">G1847*H1847*(1-J1847)</f>
        <v>148.68</v>
      </c>
      <c r="L1847" s="9" t="n">
        <f aca="false">G1847*I1847</f>
        <v>42</v>
      </c>
      <c r="M1847" s="9" t="n">
        <f aca="false">K1847-L1847</f>
        <v>106.68</v>
      </c>
      <c r="N1847" s="11" t="n">
        <f aca="false">IF(K1847=0,0,M1847/K1847)</f>
        <v>0.717514124293785</v>
      </c>
      <c r="O1847" s="9" t="n">
        <f aca="false">(G1847*H1847)-K1847</f>
        <v>0</v>
      </c>
      <c r="P1847" s="12" t="s">
        <v>63</v>
      </c>
    </row>
    <row r="1848" customFormat="false" ht="15" hidden="false" customHeight="false" outlineLevel="0" collapsed="false">
      <c r="A1848" s="2" t="n">
        <v>46088</v>
      </c>
      <c r="B1848" s="3" t="s">
        <v>22</v>
      </c>
      <c r="C1848" s="3" t="s">
        <v>23</v>
      </c>
      <c r="D1848" s="3" t="s">
        <v>59</v>
      </c>
      <c r="E1848" s="3" t="s">
        <v>60</v>
      </c>
      <c r="F1848" s="3" t="s">
        <v>50</v>
      </c>
      <c r="G1848" s="3" t="n">
        <v>27</v>
      </c>
      <c r="H1848" s="4" t="n">
        <v>24.99</v>
      </c>
      <c r="I1848" s="4" t="n">
        <v>8.5</v>
      </c>
      <c r="J1848" s="5" t="n">
        <v>0</v>
      </c>
      <c r="K1848" s="4" t="n">
        <f aca="false">G1848*H1848*(1-J1848)</f>
        <v>674.73</v>
      </c>
      <c r="L1848" s="4" t="n">
        <f aca="false">G1848*I1848</f>
        <v>229.5</v>
      </c>
      <c r="M1848" s="4" t="n">
        <f aca="false">K1848-L1848</f>
        <v>445.23</v>
      </c>
      <c r="N1848" s="6" t="n">
        <f aca="false">IF(K1848=0,0,M1848/K1848)</f>
        <v>0.659863945578231</v>
      </c>
      <c r="O1848" s="4" t="n">
        <f aca="false">(G1848*H1848)-K1848</f>
        <v>0</v>
      </c>
      <c r="P1848" s="3" t="s">
        <v>21</v>
      </c>
    </row>
    <row r="1849" customFormat="false" ht="15" hidden="false" customHeight="false" outlineLevel="0" collapsed="false">
      <c r="A1849" s="7" t="n">
        <v>46109</v>
      </c>
      <c r="B1849" s="8" t="s">
        <v>37</v>
      </c>
      <c r="C1849" s="8" t="s">
        <v>17</v>
      </c>
      <c r="D1849" s="8" t="s">
        <v>95</v>
      </c>
      <c r="E1849" s="8" t="s">
        <v>96</v>
      </c>
      <c r="F1849" s="8" t="s">
        <v>50</v>
      </c>
      <c r="G1849" s="8" t="n">
        <v>8</v>
      </c>
      <c r="H1849" s="9" t="n">
        <v>34.99</v>
      </c>
      <c r="I1849" s="9" t="n">
        <v>12</v>
      </c>
      <c r="J1849" s="10" t="n">
        <v>0.25</v>
      </c>
      <c r="K1849" s="9" t="n">
        <f aca="false">G1849*H1849*(1-J1849)</f>
        <v>209.94</v>
      </c>
      <c r="L1849" s="9" t="n">
        <f aca="false">G1849*I1849</f>
        <v>96</v>
      </c>
      <c r="M1849" s="9" t="n">
        <f aca="false">K1849-L1849</f>
        <v>113.94</v>
      </c>
      <c r="N1849" s="11" t="n">
        <f aca="false">IF(K1849=0,0,M1849/K1849)</f>
        <v>0.542726493283795</v>
      </c>
      <c r="O1849" s="9" t="n">
        <f aca="false">(G1849*H1849)-K1849</f>
        <v>69.98</v>
      </c>
      <c r="P1849" s="8" t="s">
        <v>21</v>
      </c>
    </row>
    <row r="1850" customFormat="false" ht="15" hidden="false" customHeight="false" outlineLevel="0" collapsed="false">
      <c r="A1850" s="2" t="n">
        <v>46039</v>
      </c>
      <c r="B1850" s="3" t="s">
        <v>37</v>
      </c>
      <c r="C1850" s="3" t="s">
        <v>17</v>
      </c>
      <c r="D1850" s="3" t="s">
        <v>44</v>
      </c>
      <c r="E1850" s="3" t="s">
        <v>45</v>
      </c>
      <c r="F1850" s="3" t="s">
        <v>40</v>
      </c>
      <c r="G1850" s="3" t="n">
        <v>1</v>
      </c>
      <c r="H1850" s="4" t="n">
        <v>29.99</v>
      </c>
      <c r="I1850" s="4" t="n">
        <v>11</v>
      </c>
      <c r="J1850" s="5" t="n">
        <v>0</v>
      </c>
      <c r="K1850" s="4" t="n">
        <f aca="false">G1850*H1850*(1-J1850)</f>
        <v>29.99</v>
      </c>
      <c r="L1850" s="4" t="n">
        <f aca="false">G1850*I1850</f>
        <v>11</v>
      </c>
      <c r="M1850" s="4" t="n">
        <f aca="false">K1850-L1850</f>
        <v>18.99</v>
      </c>
      <c r="N1850" s="6" t="n">
        <f aca="false">IF(K1850=0,0,M1850/K1850)</f>
        <v>0.633211070356786</v>
      </c>
      <c r="O1850" s="4" t="n">
        <f aca="false">(G1850*H1850)-K1850</f>
        <v>0</v>
      </c>
      <c r="P1850" s="3" t="s">
        <v>21</v>
      </c>
    </row>
    <row r="1851" customFormat="false" ht="15" hidden="false" customHeight="false" outlineLevel="0" collapsed="false">
      <c r="A1851" s="7" t="n">
        <v>46082</v>
      </c>
      <c r="B1851" s="8" t="s">
        <v>58</v>
      </c>
      <c r="C1851" s="8" t="s">
        <v>58</v>
      </c>
      <c r="D1851" s="8" t="s">
        <v>32</v>
      </c>
      <c r="E1851" s="8" t="s">
        <v>33</v>
      </c>
      <c r="F1851" s="8" t="s">
        <v>34</v>
      </c>
      <c r="G1851" s="8" t="n">
        <v>6</v>
      </c>
      <c r="H1851" s="9" t="n">
        <v>18.99</v>
      </c>
      <c r="I1851" s="9" t="n">
        <v>6</v>
      </c>
      <c r="J1851" s="10" t="n">
        <v>0</v>
      </c>
      <c r="K1851" s="9" t="n">
        <f aca="false">G1851*H1851*(1-J1851)</f>
        <v>113.94</v>
      </c>
      <c r="L1851" s="9" t="n">
        <f aca="false">G1851*I1851</f>
        <v>36</v>
      </c>
      <c r="M1851" s="9" t="n">
        <f aca="false">K1851-L1851</f>
        <v>77.94</v>
      </c>
      <c r="N1851" s="11" t="n">
        <f aca="false">IF(K1851=0,0,M1851/K1851)</f>
        <v>0.684044233807267</v>
      </c>
      <c r="O1851" s="9" t="n">
        <f aca="false">(G1851*H1851)-K1851</f>
        <v>0</v>
      </c>
      <c r="P1851" s="8" t="s">
        <v>21</v>
      </c>
    </row>
    <row r="1852" customFormat="false" ht="15" hidden="false" customHeight="false" outlineLevel="0" collapsed="false">
      <c r="A1852" s="2" t="n">
        <v>46106</v>
      </c>
      <c r="B1852" s="3" t="s">
        <v>64</v>
      </c>
      <c r="C1852" s="3" t="s">
        <v>65</v>
      </c>
      <c r="D1852" s="3" t="s">
        <v>90</v>
      </c>
      <c r="E1852" s="3" t="s">
        <v>91</v>
      </c>
      <c r="F1852" s="3" t="s">
        <v>26</v>
      </c>
      <c r="G1852" s="3" t="n">
        <v>8</v>
      </c>
      <c r="H1852" s="4" t="n">
        <v>24.99</v>
      </c>
      <c r="I1852" s="4" t="n">
        <v>11</v>
      </c>
      <c r="J1852" s="5" t="n">
        <v>0</v>
      </c>
      <c r="K1852" s="4" t="n">
        <f aca="false">G1852*H1852*(1-J1852)</f>
        <v>199.92</v>
      </c>
      <c r="L1852" s="4" t="n">
        <f aca="false">G1852*I1852</f>
        <v>88</v>
      </c>
      <c r="M1852" s="4" t="n">
        <f aca="false">K1852-L1852</f>
        <v>111.92</v>
      </c>
      <c r="N1852" s="6" t="n">
        <f aca="false">IF(K1852=0,0,M1852/K1852)</f>
        <v>0.559823929571829</v>
      </c>
      <c r="O1852" s="4" t="n">
        <f aca="false">(G1852*H1852)-K1852</f>
        <v>0</v>
      </c>
      <c r="P1852" s="3" t="s">
        <v>21</v>
      </c>
    </row>
    <row r="1853" customFormat="false" ht="15" hidden="false" customHeight="false" outlineLevel="0" collapsed="false">
      <c r="A1853" s="7" t="n">
        <v>46023</v>
      </c>
      <c r="B1853" s="8" t="s">
        <v>16</v>
      </c>
      <c r="C1853" s="8" t="s">
        <v>17</v>
      </c>
      <c r="D1853" s="8" t="s">
        <v>68</v>
      </c>
      <c r="E1853" s="8" t="s">
        <v>69</v>
      </c>
      <c r="F1853" s="8" t="s">
        <v>40</v>
      </c>
      <c r="G1853" s="8" t="n">
        <v>5</v>
      </c>
      <c r="H1853" s="9" t="n">
        <v>24.99</v>
      </c>
      <c r="I1853" s="9" t="n">
        <v>9</v>
      </c>
      <c r="J1853" s="10" t="n">
        <v>0.25</v>
      </c>
      <c r="K1853" s="9" t="n">
        <f aca="false">G1853*H1853*(1-J1853)</f>
        <v>93.7125</v>
      </c>
      <c r="L1853" s="9" t="n">
        <f aca="false">G1853*I1853</f>
        <v>45</v>
      </c>
      <c r="M1853" s="9" t="n">
        <f aca="false">K1853-L1853</f>
        <v>48.7125</v>
      </c>
      <c r="N1853" s="11" t="n">
        <f aca="false">IF(K1853=0,0,M1853/K1853)</f>
        <v>0.519807923169268</v>
      </c>
      <c r="O1853" s="9" t="n">
        <f aca="false">(G1853*H1853)-K1853</f>
        <v>31.2375</v>
      </c>
      <c r="P1853" s="8" t="s">
        <v>21</v>
      </c>
    </row>
    <row r="1854" customFormat="false" ht="15" hidden="false" customHeight="false" outlineLevel="0" collapsed="false">
      <c r="A1854" s="2" t="n">
        <v>46039</v>
      </c>
      <c r="B1854" s="3" t="s">
        <v>27</v>
      </c>
      <c r="C1854" s="3" t="s">
        <v>28</v>
      </c>
      <c r="D1854" s="3" t="s">
        <v>29</v>
      </c>
      <c r="E1854" s="3" t="s">
        <v>30</v>
      </c>
      <c r="F1854" s="3" t="s">
        <v>20</v>
      </c>
      <c r="G1854" s="3" t="n">
        <v>26</v>
      </c>
      <c r="H1854" s="4" t="n">
        <v>89.99</v>
      </c>
      <c r="I1854" s="4" t="n">
        <v>42</v>
      </c>
      <c r="J1854" s="5" t="n">
        <v>0.05</v>
      </c>
      <c r="K1854" s="4" t="n">
        <f aca="false">G1854*H1854*(1-J1854)</f>
        <v>2222.753</v>
      </c>
      <c r="L1854" s="4" t="n">
        <f aca="false">G1854*I1854</f>
        <v>1092</v>
      </c>
      <c r="M1854" s="4" t="n">
        <f aca="false">K1854-L1854</f>
        <v>1130.753</v>
      </c>
      <c r="N1854" s="6" t="n">
        <f aca="false">IF(K1854=0,0,M1854/K1854)</f>
        <v>0.508717342862657</v>
      </c>
      <c r="O1854" s="4" t="n">
        <f aca="false">(G1854*H1854)-K1854</f>
        <v>116.987</v>
      </c>
      <c r="P1854" s="3" t="s">
        <v>21</v>
      </c>
    </row>
    <row r="1855" customFormat="false" ht="15" hidden="false" customHeight="false" outlineLevel="0" collapsed="false">
      <c r="A1855" s="7" t="n">
        <v>46026</v>
      </c>
      <c r="B1855" s="8" t="s">
        <v>37</v>
      </c>
      <c r="C1855" s="8" t="s">
        <v>17</v>
      </c>
      <c r="D1855" s="8" t="s">
        <v>66</v>
      </c>
      <c r="E1855" s="8" t="s">
        <v>67</v>
      </c>
      <c r="F1855" s="8" t="s">
        <v>57</v>
      </c>
      <c r="G1855" s="8" t="n">
        <v>13</v>
      </c>
      <c r="H1855" s="9" t="n">
        <v>14.99</v>
      </c>
      <c r="I1855" s="9" t="n">
        <v>5.5</v>
      </c>
      <c r="J1855" s="10" t="n">
        <v>0</v>
      </c>
      <c r="K1855" s="9" t="n">
        <f aca="false">G1855*H1855*(1-J1855)</f>
        <v>194.87</v>
      </c>
      <c r="L1855" s="9" t="n">
        <f aca="false">G1855*I1855</f>
        <v>71.5</v>
      </c>
      <c r="M1855" s="9" t="n">
        <f aca="false">K1855-L1855</f>
        <v>123.37</v>
      </c>
      <c r="N1855" s="11" t="n">
        <f aca="false">IF(K1855=0,0,M1855/K1855)</f>
        <v>0.633088725817211</v>
      </c>
      <c r="O1855" s="9" t="n">
        <f aca="false">(G1855*H1855)-K1855</f>
        <v>0</v>
      </c>
      <c r="P1855" s="8" t="s">
        <v>21</v>
      </c>
    </row>
    <row r="1856" customFormat="false" ht="15" hidden="false" customHeight="false" outlineLevel="0" collapsed="false">
      <c r="A1856" s="2" t="n">
        <v>46087</v>
      </c>
      <c r="B1856" s="3" t="s">
        <v>22</v>
      </c>
      <c r="C1856" s="3" t="s">
        <v>23</v>
      </c>
      <c r="D1856" s="3" t="s">
        <v>68</v>
      </c>
      <c r="E1856" s="3" t="s">
        <v>69</v>
      </c>
      <c r="F1856" s="3" t="s">
        <v>40</v>
      </c>
      <c r="G1856" s="3" t="n">
        <v>22</v>
      </c>
      <c r="H1856" s="4" t="n">
        <v>24.99</v>
      </c>
      <c r="I1856" s="4" t="n">
        <v>9</v>
      </c>
      <c r="J1856" s="5" t="n">
        <v>0.1</v>
      </c>
      <c r="K1856" s="4" t="n">
        <f aca="false">G1856*H1856*(1-J1856)</f>
        <v>494.802</v>
      </c>
      <c r="L1856" s="4" t="n">
        <f aca="false">G1856*I1856</f>
        <v>198</v>
      </c>
      <c r="M1856" s="4" t="n">
        <f aca="false">K1856-L1856</f>
        <v>296.802</v>
      </c>
      <c r="N1856" s="6" t="n">
        <f aca="false">IF(K1856=0,0,M1856/K1856)</f>
        <v>0.59983993597439</v>
      </c>
      <c r="O1856" s="4" t="n">
        <f aca="false">(G1856*H1856)-K1856</f>
        <v>54.978</v>
      </c>
      <c r="P1856" s="3" t="s">
        <v>21</v>
      </c>
    </row>
    <row r="1857" customFormat="false" ht="15" hidden="false" customHeight="false" outlineLevel="0" collapsed="false">
      <c r="A1857" s="7" t="n">
        <v>46074</v>
      </c>
      <c r="B1857" s="8" t="s">
        <v>31</v>
      </c>
      <c r="C1857" s="8" t="s">
        <v>23</v>
      </c>
      <c r="D1857" s="8" t="s">
        <v>32</v>
      </c>
      <c r="E1857" s="8" t="s">
        <v>33</v>
      </c>
      <c r="F1857" s="8" t="s">
        <v>34</v>
      </c>
      <c r="G1857" s="8" t="n">
        <v>21</v>
      </c>
      <c r="H1857" s="9" t="n">
        <v>18.99</v>
      </c>
      <c r="I1857" s="9" t="n">
        <v>6</v>
      </c>
      <c r="J1857" s="10" t="n">
        <v>0</v>
      </c>
      <c r="K1857" s="9" t="n">
        <f aca="false">G1857*H1857*(1-J1857)</f>
        <v>398.79</v>
      </c>
      <c r="L1857" s="9" t="n">
        <f aca="false">G1857*I1857</f>
        <v>126</v>
      </c>
      <c r="M1857" s="9" t="n">
        <f aca="false">K1857-L1857</f>
        <v>272.79</v>
      </c>
      <c r="N1857" s="11" t="n">
        <f aca="false">IF(K1857=0,0,M1857/K1857)</f>
        <v>0.684044233807267</v>
      </c>
      <c r="O1857" s="9" t="n">
        <f aca="false">(G1857*H1857)-K1857</f>
        <v>0</v>
      </c>
      <c r="P1857" s="8" t="s">
        <v>21</v>
      </c>
    </row>
    <row r="1858" customFormat="false" ht="15" hidden="false" customHeight="false" outlineLevel="0" collapsed="false">
      <c r="A1858" s="2" t="n">
        <v>46057</v>
      </c>
      <c r="B1858" s="3" t="s">
        <v>64</v>
      </c>
      <c r="C1858" s="3" t="s">
        <v>65</v>
      </c>
      <c r="D1858" s="3" t="s">
        <v>59</v>
      </c>
      <c r="E1858" s="3" t="s">
        <v>60</v>
      </c>
      <c r="F1858" s="3" t="s">
        <v>50</v>
      </c>
      <c r="G1858" s="3" t="n">
        <v>15</v>
      </c>
      <c r="H1858" s="4" t="n">
        <v>24.99</v>
      </c>
      <c r="I1858" s="4" t="n">
        <v>8.5</v>
      </c>
      <c r="J1858" s="5" t="n">
        <v>0</v>
      </c>
      <c r="K1858" s="4" t="n">
        <f aca="false">G1858*H1858*(1-J1858)</f>
        <v>374.85</v>
      </c>
      <c r="L1858" s="4" t="n">
        <f aca="false">G1858*I1858</f>
        <v>127.5</v>
      </c>
      <c r="M1858" s="4" t="n">
        <f aca="false">K1858-L1858</f>
        <v>247.35</v>
      </c>
      <c r="N1858" s="6" t="n">
        <f aca="false">IF(K1858=0,0,M1858/K1858)</f>
        <v>0.659863945578231</v>
      </c>
      <c r="O1858" s="4" t="n">
        <f aca="false">(G1858*H1858)-K1858</f>
        <v>0</v>
      </c>
      <c r="P1858" s="3" t="s">
        <v>21</v>
      </c>
    </row>
    <row r="1859" customFormat="false" ht="15" hidden="false" customHeight="false" outlineLevel="0" collapsed="false">
      <c r="A1859" s="7" t="n">
        <v>46079</v>
      </c>
      <c r="B1859" s="8" t="s">
        <v>31</v>
      </c>
      <c r="C1859" s="8" t="s">
        <v>23</v>
      </c>
      <c r="D1859" s="8" t="s">
        <v>74</v>
      </c>
      <c r="E1859" s="8" t="s">
        <v>75</v>
      </c>
      <c r="F1859" s="8" t="s">
        <v>40</v>
      </c>
      <c r="G1859" s="8" t="n">
        <v>16</v>
      </c>
      <c r="H1859" s="9" t="n">
        <v>29.99</v>
      </c>
      <c r="I1859" s="9" t="n">
        <v>13</v>
      </c>
      <c r="J1859" s="10" t="n">
        <v>0.2</v>
      </c>
      <c r="K1859" s="9" t="n">
        <f aca="false">G1859*H1859*(1-J1859)</f>
        <v>383.872</v>
      </c>
      <c r="L1859" s="9" t="n">
        <f aca="false">G1859*I1859</f>
        <v>208</v>
      </c>
      <c r="M1859" s="9" t="n">
        <f aca="false">K1859-L1859</f>
        <v>175.872</v>
      </c>
      <c r="N1859" s="11" t="n">
        <f aca="false">IF(K1859=0,0,M1859/K1859)</f>
        <v>0.458152717572524</v>
      </c>
      <c r="O1859" s="9" t="n">
        <f aca="false">(G1859*H1859)-K1859</f>
        <v>95.968</v>
      </c>
      <c r="P1859" s="8" t="s">
        <v>21</v>
      </c>
    </row>
    <row r="1860" customFormat="false" ht="15" hidden="false" customHeight="false" outlineLevel="0" collapsed="false">
      <c r="A1860" s="2" t="n">
        <v>46027</v>
      </c>
      <c r="B1860" s="3" t="s">
        <v>37</v>
      </c>
      <c r="C1860" s="3" t="s">
        <v>17</v>
      </c>
      <c r="D1860" s="3" t="s">
        <v>46</v>
      </c>
      <c r="E1860" s="3" t="s">
        <v>47</v>
      </c>
      <c r="F1860" s="3" t="s">
        <v>20</v>
      </c>
      <c r="G1860" s="3" t="n">
        <v>16</v>
      </c>
      <c r="H1860" s="4" t="n">
        <v>44.99</v>
      </c>
      <c r="I1860" s="4" t="n">
        <v>18</v>
      </c>
      <c r="J1860" s="5" t="n">
        <v>0</v>
      </c>
      <c r="K1860" s="4" t="n">
        <f aca="false">G1860*H1860*(1-J1860)</f>
        <v>719.84</v>
      </c>
      <c r="L1860" s="4" t="n">
        <f aca="false">G1860*I1860</f>
        <v>288</v>
      </c>
      <c r="M1860" s="4" t="n">
        <f aca="false">K1860-L1860</f>
        <v>431.84</v>
      </c>
      <c r="N1860" s="6" t="n">
        <f aca="false">IF(K1860=0,0,M1860/K1860)</f>
        <v>0.599911091353634</v>
      </c>
      <c r="O1860" s="4" t="n">
        <f aca="false">(G1860*H1860)-K1860</f>
        <v>0</v>
      </c>
      <c r="P1860" s="3" t="s">
        <v>21</v>
      </c>
    </row>
    <row r="1861" customFormat="false" ht="15" hidden="false" customHeight="false" outlineLevel="0" collapsed="false">
      <c r="A1861" s="7" t="n">
        <v>46033</v>
      </c>
      <c r="B1861" s="8" t="s">
        <v>58</v>
      </c>
      <c r="C1861" s="8" t="s">
        <v>58</v>
      </c>
      <c r="D1861" s="8" t="s">
        <v>88</v>
      </c>
      <c r="E1861" s="8" t="s">
        <v>89</v>
      </c>
      <c r="F1861" s="8" t="s">
        <v>57</v>
      </c>
      <c r="G1861" s="8" t="n">
        <v>24</v>
      </c>
      <c r="H1861" s="9" t="n">
        <v>12.99</v>
      </c>
      <c r="I1861" s="9" t="n">
        <v>4.5</v>
      </c>
      <c r="J1861" s="10" t="n">
        <v>0</v>
      </c>
      <c r="K1861" s="9" t="n">
        <f aca="false">G1861*H1861*(1-J1861)</f>
        <v>311.76</v>
      </c>
      <c r="L1861" s="9" t="n">
        <f aca="false">G1861*I1861</f>
        <v>108</v>
      </c>
      <c r="M1861" s="9" t="n">
        <f aca="false">K1861-L1861</f>
        <v>203.76</v>
      </c>
      <c r="N1861" s="11" t="n">
        <f aca="false">IF(K1861=0,0,M1861/K1861)</f>
        <v>0.653579676674365</v>
      </c>
      <c r="O1861" s="9" t="n">
        <f aca="false">(G1861*H1861)-K1861</f>
        <v>0</v>
      </c>
      <c r="P1861" s="8" t="s">
        <v>21</v>
      </c>
    </row>
    <row r="1862" customFormat="false" ht="15" hidden="false" customHeight="false" outlineLevel="0" collapsed="false">
      <c r="A1862" s="2" t="n">
        <v>46088</v>
      </c>
      <c r="B1862" s="3" t="s">
        <v>41</v>
      </c>
      <c r="C1862" s="3" t="s">
        <v>28</v>
      </c>
      <c r="D1862" s="3" t="s">
        <v>86</v>
      </c>
      <c r="E1862" s="3" t="s">
        <v>87</v>
      </c>
      <c r="F1862" s="3" t="s">
        <v>40</v>
      </c>
      <c r="G1862" s="3" t="n">
        <v>2</v>
      </c>
      <c r="H1862" s="4" t="n">
        <v>16.99</v>
      </c>
      <c r="I1862" s="4" t="n">
        <v>5.5</v>
      </c>
      <c r="J1862" s="5" t="n">
        <v>0</v>
      </c>
      <c r="K1862" s="4" t="n">
        <f aca="false">G1862*H1862*(1-J1862)</f>
        <v>33.98</v>
      </c>
      <c r="L1862" s="4" t="n">
        <f aca="false">G1862*I1862</f>
        <v>11</v>
      </c>
      <c r="M1862" s="4" t="n">
        <f aca="false">K1862-L1862</f>
        <v>22.98</v>
      </c>
      <c r="N1862" s="6" t="n">
        <f aca="false">IF(K1862=0,0,M1862/K1862)</f>
        <v>0.676280164802825</v>
      </c>
      <c r="O1862" s="4" t="n">
        <f aca="false">(G1862*H1862)-K1862</f>
        <v>0</v>
      </c>
      <c r="P1862" s="3" t="s">
        <v>21</v>
      </c>
    </row>
    <row r="1863" customFormat="false" ht="15" hidden="false" customHeight="false" outlineLevel="0" collapsed="false">
      <c r="A1863" s="7" t="n">
        <v>46043</v>
      </c>
      <c r="B1863" s="8" t="s">
        <v>22</v>
      </c>
      <c r="C1863" s="8" t="s">
        <v>23</v>
      </c>
      <c r="D1863" s="8" t="s">
        <v>82</v>
      </c>
      <c r="E1863" s="8" t="s">
        <v>83</v>
      </c>
      <c r="F1863" s="8" t="s">
        <v>26</v>
      </c>
      <c r="G1863" s="8" t="n">
        <v>22</v>
      </c>
      <c r="H1863" s="9" t="n">
        <v>44.99</v>
      </c>
      <c r="I1863" s="9" t="n">
        <v>18</v>
      </c>
      <c r="J1863" s="10" t="n">
        <v>0</v>
      </c>
      <c r="K1863" s="9" t="n">
        <f aca="false">G1863*H1863*(1-J1863)</f>
        <v>989.78</v>
      </c>
      <c r="L1863" s="9" t="n">
        <f aca="false">G1863*I1863</f>
        <v>396</v>
      </c>
      <c r="M1863" s="9" t="n">
        <f aca="false">K1863-L1863</f>
        <v>593.78</v>
      </c>
      <c r="N1863" s="11" t="n">
        <f aca="false">IF(K1863=0,0,M1863/K1863)</f>
        <v>0.599911091353634</v>
      </c>
      <c r="O1863" s="9" t="n">
        <f aca="false">(G1863*H1863)-K1863</f>
        <v>0</v>
      </c>
      <c r="P1863" s="8" t="s">
        <v>21</v>
      </c>
    </row>
    <row r="1864" customFormat="false" ht="15" hidden="false" customHeight="false" outlineLevel="0" collapsed="false">
      <c r="A1864" s="2" t="n">
        <v>46023</v>
      </c>
      <c r="B1864" s="3" t="s">
        <v>31</v>
      </c>
      <c r="C1864" s="3" t="s">
        <v>23</v>
      </c>
      <c r="D1864" s="3" t="s">
        <v>68</v>
      </c>
      <c r="E1864" s="3" t="s">
        <v>69</v>
      </c>
      <c r="F1864" s="3" t="s">
        <v>40</v>
      </c>
      <c r="G1864" s="3" t="n">
        <v>28</v>
      </c>
      <c r="H1864" s="4" t="n">
        <v>24.99</v>
      </c>
      <c r="I1864" s="4" t="n">
        <v>9</v>
      </c>
      <c r="J1864" s="5" t="n">
        <v>0</v>
      </c>
      <c r="K1864" s="4" t="n">
        <f aca="false">G1864*H1864*(1-J1864)</f>
        <v>699.72</v>
      </c>
      <c r="L1864" s="4" t="n">
        <f aca="false">G1864*I1864</f>
        <v>252</v>
      </c>
      <c r="M1864" s="4" t="n">
        <f aca="false">K1864-L1864</f>
        <v>447.72</v>
      </c>
      <c r="N1864" s="6" t="n">
        <f aca="false">IF(K1864=0,0,M1864/K1864)</f>
        <v>0.639855942376951</v>
      </c>
      <c r="O1864" s="4" t="n">
        <f aca="false">(G1864*H1864)-K1864</f>
        <v>0</v>
      </c>
      <c r="P1864" s="3" t="s">
        <v>21</v>
      </c>
    </row>
    <row r="1865" customFormat="false" ht="15" hidden="false" customHeight="false" outlineLevel="0" collapsed="false">
      <c r="A1865" s="7" t="n">
        <v>46116</v>
      </c>
      <c r="B1865" s="8" t="s">
        <v>58</v>
      </c>
      <c r="C1865" s="8" t="s">
        <v>58</v>
      </c>
      <c r="D1865" s="8" t="s">
        <v>90</v>
      </c>
      <c r="E1865" s="8" t="s">
        <v>91</v>
      </c>
      <c r="F1865" s="8" t="s">
        <v>26</v>
      </c>
      <c r="G1865" s="8" t="n">
        <v>21</v>
      </c>
      <c r="H1865" s="9" t="n">
        <v>24.99</v>
      </c>
      <c r="I1865" s="9" t="n">
        <v>11</v>
      </c>
      <c r="J1865" s="10" t="n">
        <v>0</v>
      </c>
      <c r="K1865" s="9" t="n">
        <f aca="false">G1865*H1865*(1-J1865)</f>
        <v>524.79</v>
      </c>
      <c r="L1865" s="9" t="n">
        <f aca="false">G1865*I1865</f>
        <v>231</v>
      </c>
      <c r="M1865" s="9" t="n">
        <f aca="false">K1865-L1865</f>
        <v>293.79</v>
      </c>
      <c r="N1865" s="11" t="n">
        <f aca="false">IF(K1865=0,0,M1865/K1865)</f>
        <v>0.559823929571829</v>
      </c>
      <c r="O1865" s="9" t="n">
        <f aca="false">(G1865*H1865)-K1865</f>
        <v>0</v>
      </c>
      <c r="P1865" s="8" t="s">
        <v>21</v>
      </c>
    </row>
    <row r="1866" customFormat="false" ht="15" hidden="false" customHeight="false" outlineLevel="0" collapsed="false">
      <c r="A1866" s="2" t="n">
        <v>46052</v>
      </c>
      <c r="B1866" s="3" t="s">
        <v>27</v>
      </c>
      <c r="C1866" s="3" t="s">
        <v>28</v>
      </c>
      <c r="D1866" s="3" t="s">
        <v>24</v>
      </c>
      <c r="E1866" s="3" t="s">
        <v>25</v>
      </c>
      <c r="F1866" s="3" t="s">
        <v>26</v>
      </c>
      <c r="G1866" s="3" t="n">
        <v>1</v>
      </c>
      <c r="H1866" s="4" t="n">
        <v>54.99</v>
      </c>
      <c r="I1866" s="4" t="n">
        <v>24</v>
      </c>
      <c r="J1866" s="5" t="n">
        <v>0</v>
      </c>
      <c r="K1866" s="4" t="n">
        <f aca="false">G1866*H1866*(1-J1866)</f>
        <v>54.99</v>
      </c>
      <c r="L1866" s="4" t="n">
        <f aca="false">G1866*I1866</f>
        <v>24</v>
      </c>
      <c r="M1866" s="4" t="n">
        <f aca="false">K1866-L1866</f>
        <v>30.99</v>
      </c>
      <c r="N1866" s="6" t="n">
        <f aca="false">IF(K1866=0,0,M1866/K1866)</f>
        <v>0.563557010365521</v>
      </c>
      <c r="O1866" s="4" t="n">
        <f aca="false">(G1866*H1866)-K1866</f>
        <v>0</v>
      </c>
      <c r="P1866" s="3" t="s">
        <v>21</v>
      </c>
    </row>
    <row r="1867" customFormat="false" ht="15" hidden="false" customHeight="false" outlineLevel="0" collapsed="false">
      <c r="A1867" s="7" t="n">
        <v>46105</v>
      </c>
      <c r="B1867" s="8" t="s">
        <v>22</v>
      </c>
      <c r="C1867" s="8" t="s">
        <v>23</v>
      </c>
      <c r="D1867" s="8" t="s">
        <v>38</v>
      </c>
      <c r="E1867" s="8" t="s">
        <v>39</v>
      </c>
      <c r="F1867" s="8" t="s">
        <v>40</v>
      </c>
      <c r="G1867" s="8" t="n">
        <v>15</v>
      </c>
      <c r="H1867" s="9" t="n">
        <v>12.99</v>
      </c>
      <c r="I1867" s="9" t="n">
        <v>4</v>
      </c>
      <c r="J1867" s="10" t="n">
        <v>0.1</v>
      </c>
      <c r="K1867" s="9" t="n">
        <f aca="false">G1867*H1867*(1-J1867)</f>
        <v>175.365</v>
      </c>
      <c r="L1867" s="9" t="n">
        <f aca="false">G1867*I1867</f>
        <v>60</v>
      </c>
      <c r="M1867" s="9" t="n">
        <f aca="false">K1867-L1867</f>
        <v>115.365</v>
      </c>
      <c r="N1867" s="11" t="n">
        <f aca="false">IF(K1867=0,0,M1867/K1867)</f>
        <v>0.657856470789496</v>
      </c>
      <c r="O1867" s="9" t="n">
        <f aca="false">(G1867*H1867)-K1867</f>
        <v>19.485</v>
      </c>
      <c r="P1867" s="8" t="s">
        <v>21</v>
      </c>
    </row>
    <row r="1868" customFormat="false" ht="15" hidden="false" customHeight="false" outlineLevel="0" collapsed="false">
      <c r="A1868" s="2" t="n">
        <v>46131</v>
      </c>
      <c r="B1868" s="3" t="s">
        <v>58</v>
      </c>
      <c r="C1868" s="3" t="s">
        <v>58</v>
      </c>
      <c r="D1868" s="3" t="s">
        <v>51</v>
      </c>
      <c r="E1868" s="3" t="s">
        <v>52</v>
      </c>
      <c r="F1868" s="3" t="s">
        <v>50</v>
      </c>
      <c r="G1868" s="3" t="n">
        <v>23</v>
      </c>
      <c r="H1868" s="4" t="n">
        <v>19.99</v>
      </c>
      <c r="I1868" s="4" t="n">
        <v>7</v>
      </c>
      <c r="J1868" s="5" t="n">
        <v>0.25</v>
      </c>
      <c r="K1868" s="4" t="n">
        <f aca="false">G1868*H1868*(1-J1868)</f>
        <v>344.8275</v>
      </c>
      <c r="L1868" s="4" t="n">
        <f aca="false">G1868*I1868</f>
        <v>161</v>
      </c>
      <c r="M1868" s="4" t="n">
        <f aca="false">K1868-L1868</f>
        <v>183.8275</v>
      </c>
      <c r="N1868" s="6" t="n">
        <f aca="false">IF(K1868=0,0,M1868/K1868)</f>
        <v>0.533099883274971</v>
      </c>
      <c r="O1868" s="4" t="n">
        <f aca="false">(G1868*H1868)-K1868</f>
        <v>114.9425</v>
      </c>
      <c r="P1868" s="3" t="s">
        <v>21</v>
      </c>
    </row>
    <row r="1869" customFormat="false" ht="15" hidden="false" customHeight="false" outlineLevel="0" collapsed="false">
      <c r="A1869" s="7" t="n">
        <v>46110</v>
      </c>
      <c r="B1869" s="8" t="s">
        <v>16</v>
      </c>
      <c r="C1869" s="8" t="s">
        <v>17</v>
      </c>
      <c r="D1869" s="8" t="s">
        <v>32</v>
      </c>
      <c r="E1869" s="8" t="s">
        <v>33</v>
      </c>
      <c r="F1869" s="8" t="s">
        <v>34</v>
      </c>
      <c r="G1869" s="8" t="n">
        <v>4</v>
      </c>
      <c r="H1869" s="9" t="n">
        <v>18.99</v>
      </c>
      <c r="I1869" s="9" t="n">
        <v>6</v>
      </c>
      <c r="J1869" s="10" t="n">
        <v>0.3</v>
      </c>
      <c r="K1869" s="9" t="n">
        <f aca="false">G1869*H1869*(1-J1869)</f>
        <v>53.172</v>
      </c>
      <c r="L1869" s="9" t="n">
        <f aca="false">G1869*I1869</f>
        <v>24</v>
      </c>
      <c r="M1869" s="9" t="n">
        <f aca="false">K1869-L1869</f>
        <v>29.172</v>
      </c>
      <c r="N1869" s="11" t="n">
        <f aca="false">IF(K1869=0,0,M1869/K1869)</f>
        <v>0.548634619724667</v>
      </c>
      <c r="O1869" s="9" t="n">
        <f aca="false">(G1869*H1869)-K1869</f>
        <v>22.788</v>
      </c>
      <c r="P1869" s="8" t="s">
        <v>21</v>
      </c>
    </row>
    <row r="1870" customFormat="false" ht="15" hidden="false" customHeight="false" outlineLevel="0" collapsed="false">
      <c r="A1870" s="2" t="n">
        <v>46094</v>
      </c>
      <c r="B1870" s="3" t="s">
        <v>16</v>
      </c>
      <c r="C1870" s="3" t="s">
        <v>17</v>
      </c>
      <c r="D1870" s="3" t="s">
        <v>90</v>
      </c>
      <c r="E1870" s="3" t="s">
        <v>91</v>
      </c>
      <c r="F1870" s="3" t="s">
        <v>26</v>
      </c>
      <c r="G1870" s="3" t="n">
        <v>4</v>
      </c>
      <c r="H1870" s="4" t="n">
        <v>29.99</v>
      </c>
      <c r="I1870" s="4" t="n">
        <v>11</v>
      </c>
      <c r="J1870" s="5" t="n">
        <v>0.15</v>
      </c>
      <c r="K1870" s="4" t="n">
        <f aca="false">G1870*H1870*(1-J1870)</f>
        <v>101.966</v>
      </c>
      <c r="L1870" s="4" t="n">
        <f aca="false">G1870*I1870</f>
        <v>44</v>
      </c>
      <c r="M1870" s="4" t="n">
        <f aca="false">K1870-L1870</f>
        <v>57.966</v>
      </c>
      <c r="N1870" s="6" t="n">
        <f aca="false">IF(K1870=0,0,M1870/K1870)</f>
        <v>0.568483612184454</v>
      </c>
      <c r="O1870" s="4" t="n">
        <f aca="false">(G1870*H1870)-K1870</f>
        <v>17.994</v>
      </c>
      <c r="P1870" s="3" t="s">
        <v>21</v>
      </c>
    </row>
    <row r="1871" customFormat="false" ht="15" hidden="false" customHeight="false" outlineLevel="0" collapsed="false">
      <c r="A1871" s="7" t="n">
        <v>46129</v>
      </c>
      <c r="B1871" s="8" t="s">
        <v>27</v>
      </c>
      <c r="C1871" s="8" t="s">
        <v>28</v>
      </c>
      <c r="D1871" s="8" t="s">
        <v>84</v>
      </c>
      <c r="E1871" s="8" t="s">
        <v>85</v>
      </c>
      <c r="F1871" s="8" t="s">
        <v>20</v>
      </c>
      <c r="G1871" s="8" t="n">
        <v>7</v>
      </c>
      <c r="H1871" s="9" t="n">
        <v>34.99</v>
      </c>
      <c r="I1871" s="9" t="n">
        <v>13</v>
      </c>
      <c r="J1871" s="10" t="n">
        <v>0.2</v>
      </c>
      <c r="K1871" s="9" t="n">
        <f aca="false">G1871*H1871*(1-J1871)</f>
        <v>195.944</v>
      </c>
      <c r="L1871" s="9" t="n">
        <f aca="false">G1871*I1871</f>
        <v>91</v>
      </c>
      <c r="M1871" s="9" t="n">
        <f aca="false">K1871-L1871</f>
        <v>104.944</v>
      </c>
      <c r="N1871" s="11" t="n">
        <f aca="false">IF(K1871=0,0,M1871/K1871)</f>
        <v>0.535581594741355</v>
      </c>
      <c r="O1871" s="9" t="n">
        <f aca="false">(G1871*H1871)-K1871</f>
        <v>48.986</v>
      </c>
      <c r="P1871" s="8" t="s">
        <v>21</v>
      </c>
    </row>
    <row r="1872" customFormat="false" ht="15" hidden="false" customHeight="false" outlineLevel="0" collapsed="false">
      <c r="A1872" s="2" t="n">
        <v>46030</v>
      </c>
      <c r="B1872" s="3" t="s">
        <v>41</v>
      </c>
      <c r="C1872" s="3" t="s">
        <v>28</v>
      </c>
      <c r="D1872" s="3" t="s">
        <v>78</v>
      </c>
      <c r="E1872" s="3" t="s">
        <v>79</v>
      </c>
      <c r="F1872" s="3" t="s">
        <v>20</v>
      </c>
      <c r="G1872" s="3" t="n">
        <v>5</v>
      </c>
      <c r="H1872" s="4" t="n">
        <v>39.99</v>
      </c>
      <c r="I1872" s="4" t="n">
        <v>16</v>
      </c>
      <c r="J1872" s="5" t="n">
        <v>0</v>
      </c>
      <c r="K1872" s="4" t="n">
        <f aca="false">G1872*H1872*(1-J1872)</f>
        <v>199.95</v>
      </c>
      <c r="L1872" s="4" t="n">
        <f aca="false">G1872*I1872</f>
        <v>80</v>
      </c>
      <c r="M1872" s="4" t="n">
        <f aca="false">K1872-L1872</f>
        <v>119.95</v>
      </c>
      <c r="N1872" s="6" t="n">
        <f aca="false">IF(K1872=0,0,M1872/K1872)</f>
        <v>0.599899974993749</v>
      </c>
      <c r="O1872" s="4" t="n">
        <f aca="false">(G1872*H1872)-K1872</f>
        <v>0</v>
      </c>
      <c r="P1872" s="3" t="s">
        <v>21</v>
      </c>
    </row>
    <row r="1873" customFormat="false" ht="15" hidden="false" customHeight="false" outlineLevel="0" collapsed="false">
      <c r="A1873" s="7" t="n">
        <v>46025</v>
      </c>
      <c r="B1873" s="8" t="s">
        <v>37</v>
      </c>
      <c r="C1873" s="8" t="s">
        <v>17</v>
      </c>
      <c r="D1873" s="8" t="s">
        <v>44</v>
      </c>
      <c r="E1873" s="8" t="s">
        <v>45</v>
      </c>
      <c r="F1873" s="8" t="s">
        <v>40</v>
      </c>
      <c r="G1873" s="8" t="n">
        <v>17</v>
      </c>
      <c r="H1873" s="9" t="n">
        <v>29.99</v>
      </c>
      <c r="I1873" s="9" t="n">
        <v>11</v>
      </c>
      <c r="J1873" s="10" t="n">
        <v>0.3</v>
      </c>
      <c r="K1873" s="9" t="n">
        <f aca="false">G1873*H1873*(1-J1873)</f>
        <v>356.881</v>
      </c>
      <c r="L1873" s="9" t="n">
        <f aca="false">G1873*I1873</f>
        <v>187</v>
      </c>
      <c r="M1873" s="9" t="n">
        <f aca="false">K1873-L1873</f>
        <v>169.881</v>
      </c>
      <c r="N1873" s="11" t="n">
        <f aca="false">IF(K1873=0,0,M1873/K1873)</f>
        <v>0.476015814795408</v>
      </c>
      <c r="O1873" s="9" t="n">
        <f aca="false">(G1873*H1873)-K1873</f>
        <v>152.949</v>
      </c>
      <c r="P1873" s="8" t="s">
        <v>21</v>
      </c>
    </row>
    <row r="1874" customFormat="false" ht="15" hidden="false" customHeight="false" outlineLevel="0" collapsed="false">
      <c r="A1874" s="2" t="n">
        <v>46102</v>
      </c>
      <c r="B1874" s="3" t="s">
        <v>37</v>
      </c>
      <c r="C1874" s="3" t="s">
        <v>17</v>
      </c>
      <c r="D1874" s="3" t="s">
        <v>53</v>
      </c>
      <c r="E1874" s="3" t="s">
        <v>54</v>
      </c>
      <c r="F1874" s="3" t="s">
        <v>50</v>
      </c>
      <c r="G1874" s="3" t="n">
        <v>12</v>
      </c>
      <c r="H1874" s="4" t="n">
        <v>22.99</v>
      </c>
      <c r="I1874" s="4" t="n">
        <v>8</v>
      </c>
      <c r="J1874" s="5" t="n">
        <v>0</v>
      </c>
      <c r="K1874" s="4" t="n">
        <f aca="false">G1874*H1874*(1-J1874)</f>
        <v>275.88</v>
      </c>
      <c r="L1874" s="4" t="n">
        <f aca="false">G1874*I1874</f>
        <v>96</v>
      </c>
      <c r="M1874" s="4" t="n">
        <f aca="false">K1874-L1874</f>
        <v>179.88</v>
      </c>
      <c r="N1874" s="6" t="n">
        <f aca="false">IF(K1874=0,0,M1874/K1874)</f>
        <v>0.652022618529796</v>
      </c>
      <c r="O1874" s="4" t="n">
        <f aca="false">(G1874*H1874)-K1874</f>
        <v>0</v>
      </c>
      <c r="P1874" s="3" t="s">
        <v>21</v>
      </c>
    </row>
    <row r="1875" customFormat="false" ht="15" hidden="false" customHeight="false" outlineLevel="0" collapsed="false">
      <c r="A1875" s="7" t="n">
        <v>46086</v>
      </c>
      <c r="B1875" s="8" t="s">
        <v>27</v>
      </c>
      <c r="C1875" s="8" t="s">
        <v>28</v>
      </c>
      <c r="D1875" s="8" t="s">
        <v>66</v>
      </c>
      <c r="E1875" s="8" t="s">
        <v>67</v>
      </c>
      <c r="F1875" s="8" t="s">
        <v>57</v>
      </c>
      <c r="G1875" s="8" t="n">
        <v>6</v>
      </c>
      <c r="H1875" s="9" t="n">
        <v>14.99</v>
      </c>
      <c r="I1875" s="9" t="n">
        <v>5.5</v>
      </c>
      <c r="J1875" s="10" t="n">
        <v>0.2</v>
      </c>
      <c r="K1875" s="9" t="n">
        <f aca="false">G1875*H1875*(1-J1875)</f>
        <v>71.952</v>
      </c>
      <c r="L1875" s="9" t="n">
        <f aca="false">G1875*I1875</f>
        <v>33</v>
      </c>
      <c r="M1875" s="9" t="n">
        <f aca="false">K1875-L1875</f>
        <v>38.952</v>
      </c>
      <c r="N1875" s="11" t="n">
        <f aca="false">IF(K1875=0,0,M1875/K1875)</f>
        <v>0.541360907271514</v>
      </c>
      <c r="O1875" s="9" t="n">
        <f aca="false">(G1875*H1875)-K1875</f>
        <v>17.988</v>
      </c>
      <c r="P1875" s="8" t="s">
        <v>21</v>
      </c>
    </row>
    <row r="1876" customFormat="false" ht="15" hidden="false" customHeight="false" outlineLevel="0" collapsed="false">
      <c r="A1876" s="2" t="n">
        <v>46094</v>
      </c>
      <c r="B1876" s="3" t="s">
        <v>64</v>
      </c>
      <c r="C1876" s="3" t="s">
        <v>65</v>
      </c>
      <c r="D1876" s="3" t="s">
        <v>53</v>
      </c>
      <c r="E1876" s="3" t="s">
        <v>54</v>
      </c>
      <c r="F1876" s="3" t="s">
        <v>50</v>
      </c>
      <c r="G1876" s="3" t="n">
        <v>8</v>
      </c>
      <c r="H1876" s="4" t="n">
        <v>22.99</v>
      </c>
      <c r="I1876" s="4" t="n">
        <v>8</v>
      </c>
      <c r="J1876" s="5" t="n">
        <v>0.1</v>
      </c>
      <c r="K1876" s="4" t="n">
        <f aca="false">G1876*H1876*(1-J1876)</f>
        <v>165.528</v>
      </c>
      <c r="L1876" s="4" t="n">
        <f aca="false">G1876*I1876</f>
        <v>64</v>
      </c>
      <c r="M1876" s="4" t="n">
        <f aca="false">K1876-L1876</f>
        <v>101.528</v>
      </c>
      <c r="N1876" s="6" t="n">
        <f aca="false">IF(K1876=0,0,M1876/K1876)</f>
        <v>0.613358465033106</v>
      </c>
      <c r="O1876" s="4" t="n">
        <f aca="false">(G1876*H1876)-K1876</f>
        <v>18.392</v>
      </c>
      <c r="P1876" s="3" t="s">
        <v>21</v>
      </c>
    </row>
    <row r="1877" customFormat="false" ht="15" hidden="false" customHeight="false" outlineLevel="0" collapsed="false">
      <c r="A1877" s="7" t="n">
        <v>46132</v>
      </c>
      <c r="B1877" s="8" t="s">
        <v>41</v>
      </c>
      <c r="C1877" s="8" t="s">
        <v>28</v>
      </c>
      <c r="D1877" s="8" t="s">
        <v>68</v>
      </c>
      <c r="E1877" s="8" t="s">
        <v>69</v>
      </c>
      <c r="F1877" s="8" t="s">
        <v>40</v>
      </c>
      <c r="G1877" s="8" t="n">
        <v>4</v>
      </c>
      <c r="H1877" s="9" t="n">
        <v>24.99</v>
      </c>
      <c r="I1877" s="9" t="n">
        <v>9</v>
      </c>
      <c r="J1877" s="10" t="n">
        <v>0</v>
      </c>
      <c r="K1877" s="9" t="n">
        <f aca="false">G1877*H1877*(1-J1877)</f>
        <v>99.96</v>
      </c>
      <c r="L1877" s="9" t="n">
        <f aca="false">G1877*I1877</f>
        <v>36</v>
      </c>
      <c r="M1877" s="9" t="n">
        <f aca="false">K1877-L1877</f>
        <v>63.96</v>
      </c>
      <c r="N1877" s="11" t="n">
        <f aca="false">IF(K1877=0,0,M1877/K1877)</f>
        <v>0.639855942376951</v>
      </c>
      <c r="O1877" s="9" t="n">
        <f aca="false">(G1877*H1877)-K1877</f>
        <v>0</v>
      </c>
      <c r="P1877" s="8" t="s">
        <v>21</v>
      </c>
    </row>
    <row r="1878" customFormat="false" ht="15" hidden="false" customHeight="false" outlineLevel="0" collapsed="false">
      <c r="A1878" s="2" t="n">
        <v>46069</v>
      </c>
      <c r="B1878" s="3" t="s">
        <v>64</v>
      </c>
      <c r="C1878" s="3" t="s">
        <v>65</v>
      </c>
      <c r="D1878" s="3" t="s">
        <v>24</v>
      </c>
      <c r="E1878" s="3" t="s">
        <v>25</v>
      </c>
      <c r="F1878" s="3" t="s">
        <v>26</v>
      </c>
      <c r="G1878" s="3" t="n">
        <v>16</v>
      </c>
      <c r="H1878" s="4" t="n">
        <v>54.99</v>
      </c>
      <c r="I1878" s="4" t="n">
        <v>24</v>
      </c>
      <c r="J1878" s="5" t="n">
        <v>0.3</v>
      </c>
      <c r="K1878" s="4" t="n">
        <f aca="false">G1878*H1878*(1-J1878)</f>
        <v>615.888</v>
      </c>
      <c r="L1878" s="4" t="n">
        <f aca="false">G1878*I1878</f>
        <v>384</v>
      </c>
      <c r="M1878" s="4" t="n">
        <f aca="false">K1878-L1878</f>
        <v>231.888</v>
      </c>
      <c r="N1878" s="6" t="n">
        <f aca="false">IF(K1878=0,0,M1878/K1878)</f>
        <v>0.376510014807887</v>
      </c>
      <c r="O1878" s="4" t="n">
        <f aca="false">(G1878*H1878)-K1878</f>
        <v>263.952</v>
      </c>
      <c r="P1878" s="3" t="s">
        <v>21</v>
      </c>
    </row>
    <row r="1879" customFormat="false" ht="15" hidden="false" customHeight="false" outlineLevel="0" collapsed="false">
      <c r="A1879" s="7" t="n">
        <v>46024</v>
      </c>
      <c r="B1879" s="8" t="s">
        <v>37</v>
      </c>
      <c r="C1879" s="8" t="s">
        <v>17</v>
      </c>
      <c r="D1879" s="8" t="s">
        <v>68</v>
      </c>
      <c r="E1879" s="8" t="s">
        <v>69</v>
      </c>
      <c r="F1879" s="8" t="s">
        <v>40</v>
      </c>
      <c r="G1879" s="8" t="n">
        <v>22</v>
      </c>
      <c r="H1879" s="9" t="n">
        <v>24.99</v>
      </c>
      <c r="I1879" s="9" t="n">
        <v>9</v>
      </c>
      <c r="J1879" s="10" t="n">
        <v>0.2</v>
      </c>
      <c r="K1879" s="9" t="n">
        <f aca="false">G1879*H1879*(1-J1879)</f>
        <v>439.824</v>
      </c>
      <c r="L1879" s="9" t="n">
        <f aca="false">G1879*I1879</f>
        <v>198</v>
      </c>
      <c r="M1879" s="9" t="n">
        <f aca="false">K1879-L1879</f>
        <v>241.824</v>
      </c>
      <c r="N1879" s="11" t="n">
        <f aca="false">IF(K1879=0,0,M1879/K1879)</f>
        <v>0.549819927971189</v>
      </c>
      <c r="O1879" s="9" t="n">
        <f aca="false">(G1879*H1879)-K1879</f>
        <v>109.956</v>
      </c>
      <c r="P1879" s="8" t="s">
        <v>21</v>
      </c>
    </row>
    <row r="1880" customFormat="false" ht="15" hidden="false" customHeight="false" outlineLevel="0" collapsed="false">
      <c r="A1880" s="2" t="n">
        <v>46056</v>
      </c>
      <c r="B1880" s="3" t="s">
        <v>27</v>
      </c>
      <c r="C1880" s="3" t="s">
        <v>28</v>
      </c>
      <c r="D1880" s="3" t="s">
        <v>61</v>
      </c>
      <c r="E1880" s="3" t="s">
        <v>62</v>
      </c>
      <c r="F1880" s="3" t="s">
        <v>34</v>
      </c>
      <c r="G1880" s="3" t="n">
        <v>15</v>
      </c>
      <c r="H1880" s="4" t="n">
        <v>14.99</v>
      </c>
      <c r="I1880" s="4" t="n">
        <v>4.5</v>
      </c>
      <c r="J1880" s="5" t="n">
        <v>0</v>
      </c>
      <c r="K1880" s="4" t="n">
        <f aca="false">G1880*H1880*(1-J1880)</f>
        <v>224.85</v>
      </c>
      <c r="L1880" s="4" t="n">
        <f aca="false">G1880*I1880</f>
        <v>67.5</v>
      </c>
      <c r="M1880" s="4" t="n">
        <f aca="false">K1880-L1880</f>
        <v>157.35</v>
      </c>
      <c r="N1880" s="6" t="n">
        <f aca="false">IF(K1880=0,0,M1880/K1880)</f>
        <v>0.699799866577718</v>
      </c>
      <c r="O1880" s="4" t="n">
        <f aca="false">(G1880*H1880)-K1880</f>
        <v>0</v>
      </c>
      <c r="P1880" s="3" t="s">
        <v>21</v>
      </c>
    </row>
    <row r="1881" customFormat="false" ht="15" hidden="false" customHeight="false" outlineLevel="0" collapsed="false">
      <c r="A1881" s="7" t="n">
        <v>46094</v>
      </c>
      <c r="B1881" s="8" t="s">
        <v>58</v>
      </c>
      <c r="C1881" s="8" t="s">
        <v>58</v>
      </c>
      <c r="D1881" s="8" t="s">
        <v>61</v>
      </c>
      <c r="E1881" s="8" t="s">
        <v>62</v>
      </c>
      <c r="F1881" s="8" t="s">
        <v>34</v>
      </c>
      <c r="G1881" s="8" t="n">
        <v>22</v>
      </c>
      <c r="H1881" s="9" t="n">
        <v>12.99</v>
      </c>
      <c r="I1881" s="9" t="n">
        <v>4.5</v>
      </c>
      <c r="J1881" s="10" t="n">
        <v>0.1</v>
      </c>
      <c r="K1881" s="9" t="n">
        <f aca="false">G1881*H1881*(1-J1881)</f>
        <v>257.202</v>
      </c>
      <c r="L1881" s="9" t="n">
        <f aca="false">G1881*I1881</f>
        <v>99</v>
      </c>
      <c r="M1881" s="9" t="n">
        <f aca="false">K1881-L1881</f>
        <v>158.202</v>
      </c>
      <c r="N1881" s="11" t="n">
        <f aca="false">IF(K1881=0,0,M1881/K1881)</f>
        <v>0.615088529638183</v>
      </c>
      <c r="O1881" s="9" t="n">
        <f aca="false">(G1881*H1881)-K1881</f>
        <v>28.578</v>
      </c>
      <c r="P1881" s="8" t="s">
        <v>21</v>
      </c>
    </row>
    <row r="1882" customFormat="false" ht="15" hidden="false" customHeight="false" outlineLevel="0" collapsed="false">
      <c r="A1882" s="2" t="n">
        <v>46076</v>
      </c>
      <c r="B1882" s="3" t="s">
        <v>31</v>
      </c>
      <c r="C1882" s="3" t="s">
        <v>23</v>
      </c>
      <c r="D1882" s="3" t="s">
        <v>66</v>
      </c>
      <c r="E1882" s="3" t="s">
        <v>67</v>
      </c>
      <c r="F1882" s="3" t="s">
        <v>57</v>
      </c>
      <c r="G1882" s="3" t="n">
        <v>29</v>
      </c>
      <c r="H1882" s="4" t="n">
        <v>14.99</v>
      </c>
      <c r="I1882" s="4" t="n">
        <v>5.5</v>
      </c>
      <c r="J1882" s="5" t="n">
        <v>0.3</v>
      </c>
      <c r="K1882" s="4" t="n">
        <f aca="false">G1882*H1882*(1-J1882)</f>
        <v>304.297</v>
      </c>
      <c r="L1882" s="4" t="n">
        <f aca="false">G1882*I1882</f>
        <v>159.5</v>
      </c>
      <c r="M1882" s="4" t="n">
        <f aca="false">K1882-L1882</f>
        <v>144.797</v>
      </c>
      <c r="N1882" s="6" t="n">
        <f aca="false">IF(K1882=0,0,M1882/K1882)</f>
        <v>0.475841036881731</v>
      </c>
      <c r="O1882" s="4" t="n">
        <f aca="false">(G1882*H1882)-K1882</f>
        <v>130.413</v>
      </c>
      <c r="P1882" s="3" t="s">
        <v>21</v>
      </c>
    </row>
    <row r="1883" customFormat="false" ht="15" hidden="false" customHeight="false" outlineLevel="0" collapsed="false">
      <c r="A1883" s="7" t="n">
        <v>46083</v>
      </c>
      <c r="B1883" s="8" t="s">
        <v>58</v>
      </c>
      <c r="C1883" s="8" t="s">
        <v>58</v>
      </c>
      <c r="D1883" s="8" t="s">
        <v>86</v>
      </c>
      <c r="E1883" s="8" t="s">
        <v>87</v>
      </c>
      <c r="F1883" s="8" t="s">
        <v>40</v>
      </c>
      <c r="G1883" s="8" t="n">
        <v>22</v>
      </c>
      <c r="H1883" s="9" t="n">
        <v>16.99</v>
      </c>
      <c r="I1883" s="9" t="n">
        <v>5.5</v>
      </c>
      <c r="J1883" s="10" t="n">
        <v>0.05</v>
      </c>
      <c r="K1883" s="9" t="n">
        <f aca="false">G1883*H1883*(1-J1883)</f>
        <v>355.091</v>
      </c>
      <c r="L1883" s="9" t="n">
        <f aca="false">G1883*I1883</f>
        <v>121</v>
      </c>
      <c r="M1883" s="9" t="n">
        <f aca="false">K1883-L1883</f>
        <v>234.091</v>
      </c>
      <c r="N1883" s="11" t="n">
        <f aca="false">IF(K1883=0,0,M1883/K1883)</f>
        <v>0.659242278739816</v>
      </c>
      <c r="O1883" s="9" t="n">
        <f aca="false">(G1883*H1883)-K1883</f>
        <v>18.689</v>
      </c>
      <c r="P1883" s="8" t="s">
        <v>21</v>
      </c>
    </row>
    <row r="1884" customFormat="false" ht="15" hidden="false" customHeight="false" outlineLevel="0" collapsed="false">
      <c r="A1884" s="2" t="n">
        <v>46102</v>
      </c>
      <c r="B1884" s="3" t="s">
        <v>16</v>
      </c>
      <c r="C1884" s="3" t="s">
        <v>17</v>
      </c>
      <c r="D1884" s="3" t="s">
        <v>44</v>
      </c>
      <c r="E1884" s="3" t="s">
        <v>45</v>
      </c>
      <c r="F1884" s="3" t="s">
        <v>40</v>
      </c>
      <c r="G1884" s="3" t="n">
        <v>22</v>
      </c>
      <c r="H1884" s="4" t="n">
        <v>29.99</v>
      </c>
      <c r="I1884" s="4" t="n">
        <v>11</v>
      </c>
      <c r="J1884" s="5" t="n">
        <v>0.05</v>
      </c>
      <c r="K1884" s="4" t="n">
        <f aca="false">G1884*H1884*(1-J1884)</f>
        <v>626.791</v>
      </c>
      <c r="L1884" s="4" t="n">
        <f aca="false">G1884*I1884</f>
        <v>242</v>
      </c>
      <c r="M1884" s="4" t="n">
        <f aca="false">K1884-L1884</f>
        <v>384.791</v>
      </c>
      <c r="N1884" s="6" t="n">
        <f aca="false">IF(K1884=0,0,M1884/K1884)</f>
        <v>0.613906389849248</v>
      </c>
      <c r="O1884" s="4" t="n">
        <f aca="false">(G1884*H1884)-K1884</f>
        <v>32.989</v>
      </c>
      <c r="P1884" s="3" t="s">
        <v>21</v>
      </c>
    </row>
    <row r="1885" customFormat="false" ht="15" hidden="false" customHeight="false" outlineLevel="0" collapsed="false">
      <c r="A1885" s="7" t="n">
        <v>46120</v>
      </c>
      <c r="B1885" s="8" t="s">
        <v>16</v>
      </c>
      <c r="C1885" s="8" t="s">
        <v>17</v>
      </c>
      <c r="D1885" s="8" t="s">
        <v>76</v>
      </c>
      <c r="E1885" s="8" t="s">
        <v>77</v>
      </c>
      <c r="F1885" s="8" t="s">
        <v>34</v>
      </c>
      <c r="G1885" s="8" t="n">
        <v>29</v>
      </c>
      <c r="H1885" s="9" t="n">
        <v>49.99</v>
      </c>
      <c r="I1885" s="9" t="n">
        <v>14</v>
      </c>
      <c r="J1885" s="10" t="n">
        <v>0.1</v>
      </c>
      <c r="K1885" s="9" t="n">
        <f aca="false">G1885*H1885*(1-J1885)</f>
        <v>1304.739</v>
      </c>
      <c r="L1885" s="9" t="n">
        <f aca="false">G1885*I1885</f>
        <v>406</v>
      </c>
      <c r="M1885" s="9" t="n">
        <f aca="false">K1885-L1885</f>
        <v>898.739</v>
      </c>
      <c r="N1885" s="11" t="n">
        <f aca="false">IF(K1885=0,0,M1885/K1885)</f>
        <v>0.688826654219733</v>
      </c>
      <c r="O1885" s="9" t="n">
        <f aca="false">(G1885*H1885)-K1885</f>
        <v>144.971</v>
      </c>
      <c r="P1885" s="8" t="s">
        <v>21</v>
      </c>
    </row>
    <row r="1886" customFormat="false" ht="15" hidden="false" customHeight="false" outlineLevel="0" collapsed="false">
      <c r="A1886" s="2" t="n">
        <v>46079</v>
      </c>
      <c r="B1886" s="3" t="s">
        <v>27</v>
      </c>
      <c r="C1886" s="3" t="s">
        <v>28</v>
      </c>
      <c r="D1886" s="3" t="s">
        <v>42</v>
      </c>
      <c r="E1886" s="3" t="s">
        <v>43</v>
      </c>
      <c r="F1886" s="3" t="s">
        <v>34</v>
      </c>
      <c r="G1886" s="3" t="n">
        <v>24</v>
      </c>
      <c r="H1886" s="4" t="n">
        <v>11.99</v>
      </c>
      <c r="I1886" s="4" t="n">
        <v>3.5</v>
      </c>
      <c r="J1886" s="5" t="n">
        <v>0.15</v>
      </c>
      <c r="K1886" s="4" t="n">
        <f aca="false">G1886*H1886*(1-J1886)</f>
        <v>244.596</v>
      </c>
      <c r="L1886" s="4" t="n">
        <f aca="false">G1886*I1886</f>
        <v>84</v>
      </c>
      <c r="M1886" s="4" t="n">
        <f aca="false">K1886-L1886</f>
        <v>160.596</v>
      </c>
      <c r="N1886" s="6" t="n">
        <f aca="false">IF(K1886=0,0,M1886/K1886)</f>
        <v>0.65657655889712</v>
      </c>
      <c r="O1886" s="4" t="n">
        <f aca="false">(G1886*H1886)-K1886</f>
        <v>43.164</v>
      </c>
      <c r="P1886" s="3" t="s">
        <v>21</v>
      </c>
    </row>
    <row r="1887" customFormat="false" ht="15" hidden="false" customHeight="false" outlineLevel="0" collapsed="false">
      <c r="A1887" s="7" t="n">
        <v>46121</v>
      </c>
      <c r="B1887" s="8" t="s">
        <v>31</v>
      </c>
      <c r="C1887" s="8" t="s">
        <v>23</v>
      </c>
      <c r="D1887" s="8" t="s">
        <v>46</v>
      </c>
      <c r="E1887" s="8" t="s">
        <v>47</v>
      </c>
      <c r="F1887" s="8" t="s">
        <v>20</v>
      </c>
      <c r="G1887" s="8" t="n">
        <v>22</v>
      </c>
      <c r="H1887" s="9" t="n">
        <v>44.99</v>
      </c>
      <c r="I1887" s="9" t="n">
        <v>18</v>
      </c>
      <c r="J1887" s="10" t="n">
        <v>0.1</v>
      </c>
      <c r="K1887" s="9" t="n">
        <f aca="false">G1887*H1887*(1-J1887)</f>
        <v>890.802</v>
      </c>
      <c r="L1887" s="9" t="n">
        <f aca="false">G1887*I1887</f>
        <v>396</v>
      </c>
      <c r="M1887" s="9" t="n">
        <f aca="false">K1887-L1887</f>
        <v>494.802</v>
      </c>
      <c r="N1887" s="11" t="n">
        <f aca="false">IF(K1887=0,0,M1887/K1887)</f>
        <v>0.555456768170705</v>
      </c>
      <c r="O1887" s="9" t="n">
        <f aca="false">(G1887*H1887)-K1887</f>
        <v>98.978</v>
      </c>
      <c r="P1887" s="8" t="s">
        <v>21</v>
      </c>
    </row>
    <row r="1888" customFormat="false" ht="15" hidden="false" customHeight="false" outlineLevel="0" collapsed="false">
      <c r="A1888" s="2" t="n">
        <v>46127</v>
      </c>
      <c r="B1888" s="3" t="s">
        <v>41</v>
      </c>
      <c r="C1888" s="3" t="s">
        <v>28</v>
      </c>
      <c r="D1888" s="3" t="s">
        <v>82</v>
      </c>
      <c r="E1888" s="3" t="s">
        <v>83</v>
      </c>
      <c r="F1888" s="3" t="s">
        <v>26</v>
      </c>
      <c r="G1888" s="3" t="n">
        <v>10</v>
      </c>
      <c r="H1888" s="4" t="n">
        <v>44.99</v>
      </c>
      <c r="I1888" s="4" t="n">
        <v>18</v>
      </c>
      <c r="J1888" s="5" t="n">
        <v>0</v>
      </c>
      <c r="K1888" s="4" t="n">
        <f aca="false">G1888*H1888*(1-J1888)</f>
        <v>449.9</v>
      </c>
      <c r="L1888" s="4" t="n">
        <f aca="false">G1888*I1888</f>
        <v>180</v>
      </c>
      <c r="M1888" s="4" t="n">
        <f aca="false">K1888-L1888</f>
        <v>269.9</v>
      </c>
      <c r="N1888" s="6" t="n">
        <f aca="false">IF(K1888=0,0,M1888/K1888)</f>
        <v>0.599911091353634</v>
      </c>
      <c r="O1888" s="4" t="n">
        <f aca="false">(G1888*H1888)-K1888</f>
        <v>0</v>
      </c>
      <c r="P1888" s="3" t="s">
        <v>21</v>
      </c>
    </row>
    <row r="1889" customFormat="false" ht="15" hidden="false" customHeight="false" outlineLevel="0" collapsed="false">
      <c r="A1889" s="7" t="n">
        <v>46112</v>
      </c>
      <c r="B1889" s="8" t="s">
        <v>27</v>
      </c>
      <c r="C1889" s="8" t="s">
        <v>28</v>
      </c>
      <c r="D1889" s="8" t="s">
        <v>38</v>
      </c>
      <c r="E1889" s="8" t="s">
        <v>39</v>
      </c>
      <c r="F1889" s="8" t="s">
        <v>40</v>
      </c>
      <c r="G1889" s="8" t="n">
        <v>11</v>
      </c>
      <c r="H1889" s="9" t="n">
        <v>12.99</v>
      </c>
      <c r="I1889" s="9" t="n">
        <v>4</v>
      </c>
      <c r="J1889" s="10" t="n">
        <v>0.1</v>
      </c>
      <c r="K1889" s="9" t="n">
        <f aca="false">G1889*H1889*(1-J1889)</f>
        <v>128.601</v>
      </c>
      <c r="L1889" s="9" t="n">
        <f aca="false">G1889*I1889</f>
        <v>44</v>
      </c>
      <c r="M1889" s="9" t="n">
        <f aca="false">K1889-L1889</f>
        <v>84.601</v>
      </c>
      <c r="N1889" s="11" t="n">
        <f aca="false">IF(K1889=0,0,M1889/K1889)</f>
        <v>0.657856470789496</v>
      </c>
      <c r="O1889" s="9" t="n">
        <f aca="false">(G1889*H1889)-K1889</f>
        <v>14.289</v>
      </c>
      <c r="P1889" s="8" t="s">
        <v>21</v>
      </c>
    </row>
    <row r="1890" customFormat="false" ht="15" hidden="false" customHeight="false" outlineLevel="0" collapsed="false">
      <c r="A1890" s="2" t="n">
        <v>46077</v>
      </c>
      <c r="B1890" s="3" t="s">
        <v>37</v>
      </c>
      <c r="C1890" s="3" t="s">
        <v>17</v>
      </c>
      <c r="D1890" s="3" t="s">
        <v>38</v>
      </c>
      <c r="E1890" s="3" t="s">
        <v>39</v>
      </c>
      <c r="F1890" s="3" t="s">
        <v>40</v>
      </c>
      <c r="G1890" s="3" t="n">
        <v>18</v>
      </c>
      <c r="H1890" s="4" t="n">
        <v>12.99</v>
      </c>
      <c r="I1890" s="4" t="n">
        <v>4</v>
      </c>
      <c r="J1890" s="5" t="n">
        <v>0</v>
      </c>
      <c r="K1890" s="4" t="n">
        <f aca="false">G1890*H1890*(1-J1890)</f>
        <v>233.82</v>
      </c>
      <c r="L1890" s="4" t="n">
        <f aca="false">G1890*I1890</f>
        <v>72</v>
      </c>
      <c r="M1890" s="4" t="n">
        <f aca="false">K1890-L1890</f>
        <v>161.82</v>
      </c>
      <c r="N1890" s="6" t="n">
        <f aca="false">IF(K1890=0,0,M1890/K1890)</f>
        <v>0.692070823710547</v>
      </c>
      <c r="O1890" s="4" t="n">
        <f aca="false">(G1890*H1890)-K1890</f>
        <v>0</v>
      </c>
      <c r="P1890" s="3" t="s">
        <v>21</v>
      </c>
    </row>
    <row r="1891" customFormat="false" ht="15" hidden="false" customHeight="false" outlineLevel="0" collapsed="false">
      <c r="A1891" s="7" t="n">
        <v>46023</v>
      </c>
      <c r="B1891" s="8" t="s">
        <v>64</v>
      </c>
      <c r="C1891" s="8" t="s">
        <v>65</v>
      </c>
      <c r="D1891" s="8" t="s">
        <v>84</v>
      </c>
      <c r="E1891" s="8" t="s">
        <v>85</v>
      </c>
      <c r="F1891" s="8" t="s">
        <v>20</v>
      </c>
      <c r="G1891" s="8" t="n">
        <v>10</v>
      </c>
      <c r="H1891" s="9" t="n">
        <v>34.99</v>
      </c>
      <c r="I1891" s="9" t="n">
        <v>13</v>
      </c>
      <c r="J1891" s="10" t="n">
        <v>0.3</v>
      </c>
      <c r="K1891" s="9" t="n">
        <f aca="false">G1891*H1891*(1-J1891)</f>
        <v>244.93</v>
      </c>
      <c r="L1891" s="9" t="n">
        <f aca="false">G1891*I1891</f>
        <v>130</v>
      </c>
      <c r="M1891" s="9" t="n">
        <f aca="false">K1891-L1891</f>
        <v>114.93</v>
      </c>
      <c r="N1891" s="11" t="n">
        <f aca="false">IF(K1891=0,0,M1891/K1891)</f>
        <v>0.469236108275834</v>
      </c>
      <c r="O1891" s="9" t="n">
        <f aca="false">(G1891*H1891)-K1891</f>
        <v>104.97</v>
      </c>
      <c r="P1891" s="8" t="s">
        <v>21</v>
      </c>
    </row>
    <row r="1892" customFormat="false" ht="15" hidden="false" customHeight="false" outlineLevel="0" collapsed="false">
      <c r="A1892" s="2" t="n">
        <v>46068</v>
      </c>
      <c r="B1892" s="3" t="s">
        <v>22</v>
      </c>
      <c r="C1892" s="3" t="s">
        <v>23</v>
      </c>
      <c r="D1892" s="3" t="s">
        <v>61</v>
      </c>
      <c r="E1892" s="3" t="s">
        <v>62</v>
      </c>
      <c r="F1892" s="3" t="s">
        <v>34</v>
      </c>
      <c r="G1892" s="3" t="n">
        <v>25</v>
      </c>
      <c r="H1892" s="4" t="n">
        <v>12.99</v>
      </c>
      <c r="I1892" s="4" t="n">
        <v>4.5</v>
      </c>
      <c r="J1892" s="5" t="n">
        <v>0.15</v>
      </c>
      <c r="K1892" s="4" t="n">
        <f aca="false">G1892*H1892*(1-J1892)</f>
        <v>276.0375</v>
      </c>
      <c r="L1892" s="4" t="n">
        <f aca="false">G1892*I1892</f>
        <v>112.5</v>
      </c>
      <c r="M1892" s="4" t="n">
        <f aca="false">K1892-L1892</f>
        <v>163.5375</v>
      </c>
      <c r="N1892" s="6" t="n">
        <f aca="false">IF(K1892=0,0,M1892/K1892)</f>
        <v>0.592446678440429</v>
      </c>
      <c r="O1892" s="4" t="n">
        <f aca="false">(G1892*H1892)-K1892</f>
        <v>48.7125</v>
      </c>
      <c r="P1892" s="3" t="s">
        <v>21</v>
      </c>
    </row>
    <row r="1893" customFormat="false" ht="15" hidden="false" customHeight="false" outlineLevel="0" collapsed="false">
      <c r="A1893" s="7" t="n">
        <v>46085</v>
      </c>
      <c r="B1893" s="8" t="s">
        <v>58</v>
      </c>
      <c r="C1893" s="8" t="s">
        <v>58</v>
      </c>
      <c r="D1893" s="8" t="s">
        <v>78</v>
      </c>
      <c r="E1893" s="8" t="s">
        <v>79</v>
      </c>
      <c r="F1893" s="8" t="s">
        <v>20</v>
      </c>
      <c r="G1893" s="8" t="n">
        <v>6</v>
      </c>
      <c r="H1893" s="9" t="n">
        <v>39.99</v>
      </c>
      <c r="I1893" s="9" t="n">
        <v>16</v>
      </c>
      <c r="J1893" s="10" t="n">
        <v>0.05</v>
      </c>
      <c r="K1893" s="9" t="n">
        <f aca="false">G1893*H1893*(1-J1893)</f>
        <v>227.943</v>
      </c>
      <c r="L1893" s="9" t="n">
        <f aca="false">G1893*I1893</f>
        <v>96</v>
      </c>
      <c r="M1893" s="9" t="n">
        <f aca="false">K1893-L1893</f>
        <v>131.943</v>
      </c>
      <c r="N1893" s="11" t="n">
        <f aca="false">IF(K1893=0,0,M1893/K1893)</f>
        <v>0.578842078940788</v>
      </c>
      <c r="O1893" s="9" t="n">
        <f aca="false">(G1893*H1893)-K1893</f>
        <v>11.997</v>
      </c>
      <c r="P1893" s="8" t="s">
        <v>21</v>
      </c>
    </row>
    <row r="1894" customFormat="false" ht="15" hidden="false" customHeight="false" outlineLevel="0" collapsed="false">
      <c r="A1894" s="2" t="n">
        <v>46045</v>
      </c>
      <c r="B1894" s="3" t="s">
        <v>16</v>
      </c>
      <c r="C1894" s="3" t="s">
        <v>17</v>
      </c>
      <c r="D1894" s="3" t="s">
        <v>66</v>
      </c>
      <c r="E1894" s="3" t="s">
        <v>67</v>
      </c>
      <c r="F1894" s="3" t="s">
        <v>57</v>
      </c>
      <c r="G1894" s="3" t="n">
        <v>10</v>
      </c>
      <c r="H1894" s="4" t="n">
        <v>14.99</v>
      </c>
      <c r="I1894" s="4" t="n">
        <v>5.5</v>
      </c>
      <c r="J1894" s="5" t="n">
        <v>0</v>
      </c>
      <c r="K1894" s="4" t="n">
        <f aca="false">G1894*H1894*(1-J1894)</f>
        <v>149.9</v>
      </c>
      <c r="L1894" s="4" t="n">
        <f aca="false">G1894*I1894</f>
        <v>55</v>
      </c>
      <c r="M1894" s="4" t="n">
        <f aca="false">K1894-L1894</f>
        <v>94.9</v>
      </c>
      <c r="N1894" s="6" t="n">
        <f aca="false">IF(K1894=0,0,M1894/K1894)</f>
        <v>0.633088725817212</v>
      </c>
      <c r="O1894" s="4" t="n">
        <f aca="false">(G1894*H1894)-K1894</f>
        <v>0</v>
      </c>
      <c r="P1894" s="3" t="s">
        <v>21</v>
      </c>
    </row>
    <row r="1895" customFormat="false" ht="15" hidden="false" customHeight="false" outlineLevel="0" collapsed="false">
      <c r="A1895" s="7" t="n">
        <v>46085</v>
      </c>
      <c r="B1895" s="8" t="s">
        <v>58</v>
      </c>
      <c r="C1895" s="8" t="s">
        <v>58</v>
      </c>
      <c r="D1895" s="8" t="s">
        <v>72</v>
      </c>
      <c r="E1895" s="8" t="s">
        <v>73</v>
      </c>
      <c r="F1895" s="8" t="s">
        <v>57</v>
      </c>
      <c r="G1895" s="8" t="n">
        <v>10</v>
      </c>
      <c r="H1895" s="9" t="n">
        <v>19.99</v>
      </c>
      <c r="I1895" s="9" t="n">
        <v>7</v>
      </c>
      <c r="J1895" s="10" t="n">
        <v>0.2</v>
      </c>
      <c r="K1895" s="9" t="n">
        <f aca="false">G1895*H1895*(1-J1895)</f>
        <v>159.92</v>
      </c>
      <c r="L1895" s="9" t="n">
        <f aca="false">G1895*I1895</f>
        <v>70</v>
      </c>
      <c r="M1895" s="9" t="n">
        <f aca="false">K1895-L1895</f>
        <v>89.92</v>
      </c>
      <c r="N1895" s="11" t="n">
        <f aca="false">IF(K1895=0,0,M1895/K1895)</f>
        <v>0.562281140570285</v>
      </c>
      <c r="O1895" s="9" t="n">
        <f aca="false">(G1895*H1895)-K1895</f>
        <v>39.98</v>
      </c>
      <c r="P1895" s="8" t="s">
        <v>21</v>
      </c>
    </row>
    <row r="1896" customFormat="false" ht="15" hidden="false" customHeight="false" outlineLevel="0" collapsed="false">
      <c r="A1896" s="2" t="n">
        <v>46039</v>
      </c>
      <c r="B1896" s="3" t="s">
        <v>16</v>
      </c>
      <c r="C1896" s="3" t="s">
        <v>17</v>
      </c>
      <c r="D1896" s="3" t="s">
        <v>18</v>
      </c>
      <c r="E1896" s="3" t="s">
        <v>19</v>
      </c>
      <c r="F1896" s="3" t="s">
        <v>20</v>
      </c>
      <c r="G1896" s="3" t="n">
        <v>2</v>
      </c>
      <c r="H1896" s="4" t="n">
        <v>24.99</v>
      </c>
      <c r="I1896" s="4" t="n">
        <v>10.5</v>
      </c>
      <c r="J1896" s="5" t="n">
        <v>0.3</v>
      </c>
      <c r="K1896" s="4" t="n">
        <f aca="false">G1896*H1896*(1-J1896)</f>
        <v>34.986</v>
      </c>
      <c r="L1896" s="4" t="n">
        <f aca="false">G1896*I1896</f>
        <v>21</v>
      </c>
      <c r="M1896" s="4" t="n">
        <f aca="false">K1896-L1896</f>
        <v>13.986</v>
      </c>
      <c r="N1896" s="6" t="n">
        <f aca="false">IF(K1896=0,0,M1896/K1896)</f>
        <v>0.399759903961585</v>
      </c>
      <c r="O1896" s="4" t="n">
        <f aca="false">(G1896*H1896)-K1896</f>
        <v>14.994</v>
      </c>
      <c r="P1896" s="3" t="s">
        <v>21</v>
      </c>
    </row>
    <row r="1897" customFormat="false" ht="15" hidden="false" customHeight="false" outlineLevel="0" collapsed="false">
      <c r="A1897" s="7" t="n">
        <v>46074</v>
      </c>
      <c r="B1897" s="8" t="s">
        <v>58</v>
      </c>
      <c r="C1897" s="8" t="s">
        <v>58</v>
      </c>
      <c r="D1897" s="8" t="s">
        <v>35</v>
      </c>
      <c r="E1897" s="8" t="s">
        <v>36</v>
      </c>
      <c r="F1897" s="8" t="s">
        <v>26</v>
      </c>
      <c r="G1897" s="8" t="n">
        <v>27</v>
      </c>
      <c r="H1897" s="9" t="n">
        <v>69.99</v>
      </c>
      <c r="I1897" s="9" t="n">
        <v>30</v>
      </c>
      <c r="J1897" s="10" t="n">
        <v>0.1</v>
      </c>
      <c r="K1897" s="9" t="n">
        <f aca="false">G1897*H1897*(1-J1897)</f>
        <v>1700.757</v>
      </c>
      <c r="L1897" s="9" t="n">
        <f aca="false">G1897*I1897</f>
        <v>810</v>
      </c>
      <c r="M1897" s="9" t="n">
        <f aca="false">K1897-L1897</f>
        <v>890.757</v>
      </c>
      <c r="N1897" s="11" t="n">
        <f aca="false">IF(K1897=0,0,M1897/K1897)</f>
        <v>0.523741486879078</v>
      </c>
      <c r="O1897" s="9" t="n">
        <f aca="false">(G1897*H1897)-K1897</f>
        <v>188.973</v>
      </c>
      <c r="P1897" s="8" t="s">
        <v>21</v>
      </c>
    </row>
    <row r="1898" customFormat="false" ht="15" hidden="false" customHeight="false" outlineLevel="0" collapsed="false">
      <c r="A1898" s="2" t="n">
        <v>46132</v>
      </c>
      <c r="B1898" s="3" t="s">
        <v>64</v>
      </c>
      <c r="C1898" s="3" t="s">
        <v>65</v>
      </c>
      <c r="D1898" s="3" t="s">
        <v>78</v>
      </c>
      <c r="E1898" s="3" t="s">
        <v>79</v>
      </c>
      <c r="F1898" s="3" t="s">
        <v>20</v>
      </c>
      <c r="G1898" s="3" t="n">
        <v>11</v>
      </c>
      <c r="H1898" s="4" t="n">
        <v>42.99</v>
      </c>
      <c r="I1898" s="4" t="n">
        <v>16</v>
      </c>
      <c r="J1898" s="5" t="n">
        <v>0.15</v>
      </c>
      <c r="K1898" s="4" t="n">
        <f aca="false">G1898*H1898*(1-J1898)</f>
        <v>401.9565</v>
      </c>
      <c r="L1898" s="4" t="n">
        <f aca="false">G1898*I1898</f>
        <v>176</v>
      </c>
      <c r="M1898" s="4" t="n">
        <f aca="false">K1898-L1898</f>
        <v>225.9565</v>
      </c>
      <c r="N1898" s="6" t="n">
        <f aca="false">IF(K1898=0,0,M1898/K1898)</f>
        <v>0.562141674534433</v>
      </c>
      <c r="O1898" s="4" t="n">
        <f aca="false">(G1898*H1898)-K1898</f>
        <v>70.9335</v>
      </c>
      <c r="P1898" s="3" t="s">
        <v>21</v>
      </c>
    </row>
    <row r="1899" customFormat="false" ht="15" hidden="false" customHeight="false" outlineLevel="0" collapsed="false">
      <c r="A1899" s="7" t="n">
        <v>46040</v>
      </c>
      <c r="B1899" s="8" t="s">
        <v>37</v>
      </c>
      <c r="C1899" s="8" t="s">
        <v>17</v>
      </c>
      <c r="D1899" s="8" t="s">
        <v>48</v>
      </c>
      <c r="E1899" s="8" t="s">
        <v>49</v>
      </c>
      <c r="F1899" s="8" t="s">
        <v>50</v>
      </c>
      <c r="G1899" s="8" t="n">
        <v>14</v>
      </c>
      <c r="H1899" s="9" t="n">
        <v>54.99</v>
      </c>
      <c r="I1899" s="9" t="n">
        <v>20</v>
      </c>
      <c r="J1899" s="10" t="n">
        <v>0.25</v>
      </c>
      <c r="K1899" s="9" t="n">
        <f aca="false">G1899*H1899*(1-J1899)</f>
        <v>577.395</v>
      </c>
      <c r="L1899" s="9" t="n">
        <f aca="false">G1899*I1899</f>
        <v>280</v>
      </c>
      <c r="M1899" s="9" t="n">
        <f aca="false">K1899-L1899</f>
        <v>297.395</v>
      </c>
      <c r="N1899" s="11" t="n">
        <f aca="false">IF(K1899=0,0,M1899/K1899)</f>
        <v>0.515063344850579</v>
      </c>
      <c r="O1899" s="9" t="n">
        <f aca="false">(G1899*H1899)-K1899</f>
        <v>192.465</v>
      </c>
      <c r="P1899" s="8" t="s">
        <v>21</v>
      </c>
    </row>
    <row r="1900" customFormat="false" ht="15" hidden="false" customHeight="false" outlineLevel="0" collapsed="false">
      <c r="A1900" s="2" t="n">
        <v>46085</v>
      </c>
      <c r="B1900" s="3" t="s">
        <v>22</v>
      </c>
      <c r="C1900" s="3" t="s">
        <v>23</v>
      </c>
      <c r="D1900" s="3" t="s">
        <v>59</v>
      </c>
      <c r="E1900" s="3" t="s">
        <v>60</v>
      </c>
      <c r="F1900" s="3" t="s">
        <v>50</v>
      </c>
      <c r="G1900" s="3" t="n">
        <v>15</v>
      </c>
      <c r="H1900" s="4" t="n">
        <v>24.99</v>
      </c>
      <c r="I1900" s="4" t="n">
        <v>8.5</v>
      </c>
      <c r="J1900" s="5" t="n">
        <v>0.2</v>
      </c>
      <c r="K1900" s="4" t="n">
        <f aca="false">G1900*H1900*(1-J1900)</f>
        <v>299.88</v>
      </c>
      <c r="L1900" s="4" t="n">
        <f aca="false">G1900*I1900</f>
        <v>127.5</v>
      </c>
      <c r="M1900" s="4" t="n">
        <f aca="false">K1900-L1900</f>
        <v>172.38</v>
      </c>
      <c r="N1900" s="6" t="n">
        <f aca="false">IF(K1900=0,0,M1900/K1900)</f>
        <v>0.574829931972789</v>
      </c>
      <c r="O1900" s="4" t="n">
        <f aca="false">(G1900*H1900)-K1900</f>
        <v>74.97</v>
      </c>
      <c r="P1900" s="3" t="s">
        <v>21</v>
      </c>
    </row>
    <row r="1901" customFormat="false" ht="15" hidden="false" customHeight="false" outlineLevel="0" collapsed="false">
      <c r="A1901" s="7" t="n">
        <v>46057</v>
      </c>
      <c r="B1901" s="8" t="s">
        <v>31</v>
      </c>
      <c r="C1901" s="8" t="s">
        <v>23</v>
      </c>
      <c r="D1901" s="8" t="s">
        <v>42</v>
      </c>
      <c r="E1901" s="8" t="s">
        <v>43</v>
      </c>
      <c r="F1901" s="8" t="s">
        <v>34</v>
      </c>
      <c r="G1901" s="8" t="n">
        <v>8</v>
      </c>
      <c r="H1901" s="9" t="n">
        <v>11.99</v>
      </c>
      <c r="I1901" s="9" t="n">
        <v>3.5</v>
      </c>
      <c r="J1901" s="10" t="n">
        <v>0.25</v>
      </c>
      <c r="K1901" s="9" t="n">
        <f aca="false">G1901*H1901*(1-J1901)</f>
        <v>71.94</v>
      </c>
      <c r="L1901" s="9" t="n">
        <f aca="false">G1901*I1901</f>
        <v>28</v>
      </c>
      <c r="M1901" s="9" t="n">
        <f aca="false">K1901-L1901</f>
        <v>43.94</v>
      </c>
      <c r="N1901" s="11" t="n">
        <f aca="false">IF(K1901=0,0,M1901/K1901)</f>
        <v>0.61078676675007</v>
      </c>
      <c r="O1901" s="9" t="n">
        <f aca="false">(G1901*H1901)-K1901</f>
        <v>23.98</v>
      </c>
      <c r="P1901" s="8" t="s">
        <v>21</v>
      </c>
    </row>
    <row r="1902" customFormat="false" ht="15" hidden="false" customHeight="false" outlineLevel="0" collapsed="false">
      <c r="A1902" s="2" t="n">
        <v>46080</v>
      </c>
      <c r="B1902" s="3" t="s">
        <v>27</v>
      </c>
      <c r="C1902" s="3" t="s">
        <v>28</v>
      </c>
      <c r="D1902" s="3" t="s">
        <v>44</v>
      </c>
      <c r="E1902" s="3" t="s">
        <v>45</v>
      </c>
      <c r="F1902" s="3" t="s">
        <v>40</v>
      </c>
      <c r="G1902" s="3" t="n">
        <v>9</v>
      </c>
      <c r="H1902" s="4" t="n">
        <v>29.99</v>
      </c>
      <c r="I1902" s="4" t="n">
        <v>11</v>
      </c>
      <c r="J1902" s="5" t="n">
        <v>0.2</v>
      </c>
      <c r="K1902" s="4" t="n">
        <f aca="false">G1902*H1902*(1-J1902)</f>
        <v>215.928</v>
      </c>
      <c r="L1902" s="4" t="n">
        <f aca="false">G1902*I1902</f>
        <v>99</v>
      </c>
      <c r="M1902" s="4" t="n">
        <f aca="false">K1902-L1902</f>
        <v>116.928</v>
      </c>
      <c r="N1902" s="6" t="n">
        <f aca="false">IF(K1902=0,0,M1902/K1902)</f>
        <v>0.541513837945982</v>
      </c>
      <c r="O1902" s="4" t="n">
        <f aca="false">(G1902*H1902)-K1902</f>
        <v>53.982</v>
      </c>
      <c r="P1902" s="3" t="s">
        <v>21</v>
      </c>
    </row>
    <row r="1903" customFormat="false" ht="15" hidden="false" customHeight="false" outlineLevel="0" collapsed="false">
      <c r="A1903" s="7" t="n">
        <v>46074</v>
      </c>
      <c r="B1903" s="8" t="s">
        <v>58</v>
      </c>
      <c r="C1903" s="8" t="s">
        <v>58</v>
      </c>
      <c r="D1903" s="8" t="s">
        <v>55</v>
      </c>
      <c r="E1903" s="8" t="s">
        <v>56</v>
      </c>
      <c r="F1903" s="8" t="s">
        <v>57</v>
      </c>
      <c r="G1903" s="8" t="n">
        <v>9</v>
      </c>
      <c r="H1903" s="9" t="n">
        <v>29.99</v>
      </c>
      <c r="I1903" s="9" t="n">
        <v>11</v>
      </c>
      <c r="J1903" s="10" t="n">
        <v>0</v>
      </c>
      <c r="K1903" s="9" t="n">
        <f aca="false">G1903*H1903*(1-J1903)</f>
        <v>269.91</v>
      </c>
      <c r="L1903" s="9" t="n">
        <f aca="false">G1903*I1903</f>
        <v>99</v>
      </c>
      <c r="M1903" s="9" t="n">
        <f aca="false">K1903-L1903</f>
        <v>170.91</v>
      </c>
      <c r="N1903" s="11" t="n">
        <f aca="false">IF(K1903=0,0,M1903/K1903)</f>
        <v>0.633211070356786</v>
      </c>
      <c r="O1903" s="9" t="n">
        <f aca="false">(G1903*H1903)-K1903</f>
        <v>0</v>
      </c>
      <c r="P1903" s="8" t="s">
        <v>21</v>
      </c>
    </row>
    <row r="1904" customFormat="false" ht="15" hidden="false" customHeight="false" outlineLevel="0" collapsed="false">
      <c r="A1904" s="2" t="n">
        <v>46064</v>
      </c>
      <c r="B1904" s="3" t="s">
        <v>22</v>
      </c>
      <c r="C1904" s="3" t="s">
        <v>23</v>
      </c>
      <c r="D1904" s="3" t="s">
        <v>59</v>
      </c>
      <c r="E1904" s="3" t="s">
        <v>60</v>
      </c>
      <c r="F1904" s="3" t="s">
        <v>50</v>
      </c>
      <c r="G1904" s="3" t="n">
        <v>22</v>
      </c>
      <c r="H1904" s="4" t="n">
        <v>24.99</v>
      </c>
      <c r="I1904" s="4" t="n">
        <v>8.5</v>
      </c>
      <c r="J1904" s="5" t="n">
        <v>0</v>
      </c>
      <c r="K1904" s="4" t="n">
        <f aca="false">G1904*H1904*(1-J1904)</f>
        <v>549.78</v>
      </c>
      <c r="L1904" s="4" t="n">
        <f aca="false">G1904*I1904</f>
        <v>187</v>
      </c>
      <c r="M1904" s="4" t="n">
        <f aca="false">K1904-L1904</f>
        <v>362.78</v>
      </c>
      <c r="N1904" s="6" t="n">
        <f aca="false">IF(K1904=0,0,M1904/K1904)</f>
        <v>0.659863945578231</v>
      </c>
      <c r="O1904" s="4" t="n">
        <f aca="false">(G1904*H1904)-K1904</f>
        <v>0</v>
      </c>
      <c r="P1904" s="3" t="s">
        <v>21</v>
      </c>
    </row>
    <row r="1905" customFormat="false" ht="15" hidden="false" customHeight="false" outlineLevel="0" collapsed="false">
      <c r="A1905" s="7" t="n">
        <v>46101</v>
      </c>
      <c r="B1905" s="8" t="s">
        <v>64</v>
      </c>
      <c r="C1905" s="8" t="s">
        <v>65</v>
      </c>
      <c r="D1905" s="8" t="s">
        <v>44</v>
      </c>
      <c r="E1905" s="8" t="s">
        <v>45</v>
      </c>
      <c r="F1905" s="8" t="s">
        <v>40</v>
      </c>
      <c r="G1905" s="8" t="n">
        <v>30</v>
      </c>
      <c r="H1905" s="9" t="n">
        <v>29.99</v>
      </c>
      <c r="I1905" s="9" t="n">
        <v>11</v>
      </c>
      <c r="J1905" s="10" t="n">
        <v>0.2</v>
      </c>
      <c r="K1905" s="9" t="n">
        <f aca="false">G1905*H1905*(1-J1905)</f>
        <v>719.76</v>
      </c>
      <c r="L1905" s="9" t="n">
        <f aca="false">G1905*I1905</f>
        <v>330</v>
      </c>
      <c r="M1905" s="9" t="n">
        <f aca="false">K1905-L1905</f>
        <v>389.76</v>
      </c>
      <c r="N1905" s="11" t="n">
        <f aca="false">IF(K1905=0,0,M1905/K1905)</f>
        <v>0.541513837945982</v>
      </c>
      <c r="O1905" s="9" t="n">
        <f aca="false">(G1905*H1905)-K1905</f>
        <v>179.94</v>
      </c>
      <c r="P1905" s="8" t="s">
        <v>21</v>
      </c>
    </row>
    <row r="1906" customFormat="false" ht="15" hidden="false" customHeight="false" outlineLevel="0" collapsed="false">
      <c r="A1906" s="2" t="n">
        <v>46093</v>
      </c>
      <c r="B1906" s="3" t="s">
        <v>22</v>
      </c>
      <c r="C1906" s="3" t="s">
        <v>23</v>
      </c>
      <c r="D1906" s="3" t="s">
        <v>29</v>
      </c>
      <c r="E1906" s="3" t="s">
        <v>30</v>
      </c>
      <c r="F1906" s="3" t="s">
        <v>20</v>
      </c>
      <c r="G1906" s="3" t="n">
        <v>21</v>
      </c>
      <c r="H1906" s="4" t="n">
        <v>79.99</v>
      </c>
      <c r="I1906" s="4" t="n">
        <v>42</v>
      </c>
      <c r="J1906" s="5" t="n">
        <v>0.25</v>
      </c>
      <c r="K1906" s="4" t="n">
        <f aca="false">G1906*H1906*(1-J1906)</f>
        <v>1259.8425</v>
      </c>
      <c r="L1906" s="4" t="n">
        <f aca="false">G1906*I1906</f>
        <v>882</v>
      </c>
      <c r="M1906" s="4" t="n">
        <f aca="false">K1906-L1906</f>
        <v>377.8425</v>
      </c>
      <c r="N1906" s="6" t="n">
        <f aca="false">IF(K1906=0,0,M1906/K1906)</f>
        <v>0.299912489061133</v>
      </c>
      <c r="O1906" s="4" t="n">
        <f aca="false">(G1906*H1906)-K1906</f>
        <v>419.9475</v>
      </c>
      <c r="P1906" s="3" t="s">
        <v>21</v>
      </c>
    </row>
    <row r="1907" customFormat="false" ht="15" hidden="false" customHeight="false" outlineLevel="0" collapsed="false">
      <c r="A1907" s="7" t="n">
        <v>46104</v>
      </c>
      <c r="B1907" s="8" t="s">
        <v>27</v>
      </c>
      <c r="C1907" s="8" t="s">
        <v>28</v>
      </c>
      <c r="D1907" s="8" t="s">
        <v>74</v>
      </c>
      <c r="E1907" s="8" t="s">
        <v>75</v>
      </c>
      <c r="F1907" s="8" t="s">
        <v>40</v>
      </c>
      <c r="G1907" s="8" t="n">
        <v>15</v>
      </c>
      <c r="H1907" s="9" t="n">
        <v>29.99</v>
      </c>
      <c r="I1907" s="9" t="n">
        <v>13</v>
      </c>
      <c r="J1907" s="10" t="n">
        <v>0.15</v>
      </c>
      <c r="K1907" s="9" t="n">
        <f aca="false">G1907*H1907*(1-J1907)</f>
        <v>382.3725</v>
      </c>
      <c r="L1907" s="9" t="n">
        <f aca="false">G1907*I1907</f>
        <v>195</v>
      </c>
      <c r="M1907" s="9" t="n">
        <f aca="false">K1907-L1907</f>
        <v>187.3725</v>
      </c>
      <c r="N1907" s="11" t="n">
        <f aca="false">IF(K1907=0,0,M1907/K1907)</f>
        <v>0.490026087127082</v>
      </c>
      <c r="O1907" s="9" t="n">
        <f aca="false">(G1907*H1907)-K1907</f>
        <v>67.4775</v>
      </c>
      <c r="P1907" s="8" t="s">
        <v>21</v>
      </c>
    </row>
    <row r="1908" customFormat="false" ht="15" hidden="false" customHeight="false" outlineLevel="0" collapsed="false">
      <c r="A1908" s="2" t="n">
        <v>46028</v>
      </c>
      <c r="B1908" s="3" t="s">
        <v>64</v>
      </c>
      <c r="C1908" s="3" t="s">
        <v>65</v>
      </c>
      <c r="D1908" s="3" t="s">
        <v>82</v>
      </c>
      <c r="E1908" s="3" t="s">
        <v>83</v>
      </c>
      <c r="F1908" s="3" t="s">
        <v>26</v>
      </c>
      <c r="G1908" s="3" t="n">
        <v>26</v>
      </c>
      <c r="H1908" s="4" t="n">
        <v>44.99</v>
      </c>
      <c r="I1908" s="4" t="n">
        <v>18</v>
      </c>
      <c r="J1908" s="5" t="n">
        <v>0.15</v>
      </c>
      <c r="K1908" s="4" t="n">
        <f aca="false">G1908*H1908*(1-J1908)</f>
        <v>994.279</v>
      </c>
      <c r="L1908" s="4" t="n">
        <f aca="false">G1908*I1908</f>
        <v>468</v>
      </c>
      <c r="M1908" s="4" t="n">
        <f aca="false">K1908-L1908</f>
        <v>526.279</v>
      </c>
      <c r="N1908" s="6" t="n">
        <f aca="false">IF(K1908=0,0,M1908/K1908)</f>
        <v>0.529307166298393</v>
      </c>
      <c r="O1908" s="4" t="n">
        <f aca="false">(G1908*H1908)-K1908</f>
        <v>175.461</v>
      </c>
      <c r="P1908" s="3" t="s">
        <v>21</v>
      </c>
    </row>
    <row r="1909" customFormat="false" ht="15" hidden="false" customHeight="false" outlineLevel="0" collapsed="false">
      <c r="A1909" s="7" t="n">
        <v>46039</v>
      </c>
      <c r="B1909" s="8" t="s">
        <v>37</v>
      </c>
      <c r="C1909" s="8" t="s">
        <v>17</v>
      </c>
      <c r="D1909" s="8" t="s">
        <v>68</v>
      </c>
      <c r="E1909" s="8" t="s">
        <v>69</v>
      </c>
      <c r="F1909" s="8" t="s">
        <v>40</v>
      </c>
      <c r="G1909" s="8" t="n">
        <v>5</v>
      </c>
      <c r="H1909" s="9" t="n">
        <v>28.21</v>
      </c>
      <c r="I1909" s="9" t="n">
        <v>9</v>
      </c>
      <c r="J1909" s="10" t="n">
        <v>0</v>
      </c>
      <c r="K1909" s="9" t="n">
        <f aca="false">G1909*H1909*(1-J1909)</f>
        <v>141.05</v>
      </c>
      <c r="L1909" s="9" t="n">
        <f aca="false">G1909*I1909</f>
        <v>45</v>
      </c>
      <c r="M1909" s="9" t="n">
        <f aca="false">K1909-L1909</f>
        <v>96.05</v>
      </c>
      <c r="N1909" s="11" t="n">
        <f aca="false">IF(K1909=0,0,M1909/K1909)</f>
        <v>0.680964197093229</v>
      </c>
      <c r="O1909" s="9" t="n">
        <f aca="false">(G1909*H1909)-K1909</f>
        <v>0</v>
      </c>
      <c r="P1909" s="12" t="s">
        <v>63</v>
      </c>
    </row>
    <row r="1910" customFormat="false" ht="15" hidden="false" customHeight="false" outlineLevel="0" collapsed="false">
      <c r="A1910" s="2" t="n">
        <v>46053</v>
      </c>
      <c r="B1910" s="3" t="s">
        <v>31</v>
      </c>
      <c r="C1910" s="3" t="s">
        <v>23</v>
      </c>
      <c r="D1910" s="3" t="s">
        <v>82</v>
      </c>
      <c r="E1910" s="3" t="s">
        <v>83</v>
      </c>
      <c r="F1910" s="3" t="s">
        <v>26</v>
      </c>
      <c r="G1910" s="3" t="n">
        <v>29</v>
      </c>
      <c r="H1910" s="4" t="n">
        <v>44.99</v>
      </c>
      <c r="I1910" s="4" t="n">
        <v>18</v>
      </c>
      <c r="J1910" s="5" t="n">
        <v>0.25</v>
      </c>
      <c r="K1910" s="4" t="n">
        <f aca="false">G1910*H1910*(1-J1910)</f>
        <v>978.5325</v>
      </c>
      <c r="L1910" s="4" t="n">
        <f aca="false">G1910*I1910</f>
        <v>522</v>
      </c>
      <c r="M1910" s="4" t="n">
        <f aca="false">K1910-L1910</f>
        <v>456.5325</v>
      </c>
      <c r="N1910" s="6" t="n">
        <f aca="false">IF(K1910=0,0,M1910/K1910)</f>
        <v>0.466548121804846</v>
      </c>
      <c r="O1910" s="4" t="n">
        <f aca="false">(G1910*H1910)-K1910</f>
        <v>326.1775</v>
      </c>
      <c r="P1910" s="3" t="s">
        <v>21</v>
      </c>
    </row>
    <row r="1911" customFormat="false" ht="15" hidden="false" customHeight="false" outlineLevel="0" collapsed="false">
      <c r="A1911" s="7" t="n">
        <v>46028</v>
      </c>
      <c r="B1911" s="8" t="s">
        <v>16</v>
      </c>
      <c r="C1911" s="8" t="s">
        <v>17</v>
      </c>
      <c r="D1911" s="8" t="s">
        <v>38</v>
      </c>
      <c r="E1911" s="8" t="s">
        <v>39</v>
      </c>
      <c r="F1911" s="8" t="s">
        <v>40</v>
      </c>
      <c r="G1911" s="8" t="n">
        <v>11</v>
      </c>
      <c r="H1911" s="9" t="n">
        <v>12.99</v>
      </c>
      <c r="I1911" s="9" t="n">
        <v>4</v>
      </c>
      <c r="J1911" s="10" t="n">
        <v>0.25</v>
      </c>
      <c r="K1911" s="9" t="n">
        <f aca="false">G1911*H1911*(1-J1911)</f>
        <v>107.1675</v>
      </c>
      <c r="L1911" s="9" t="n">
        <f aca="false">G1911*I1911</f>
        <v>44</v>
      </c>
      <c r="M1911" s="9" t="n">
        <f aca="false">K1911-L1911</f>
        <v>63.1675</v>
      </c>
      <c r="N1911" s="11" t="n">
        <f aca="false">IF(K1911=0,0,M1911/K1911)</f>
        <v>0.589427764947396</v>
      </c>
      <c r="O1911" s="9" t="n">
        <f aca="false">(G1911*H1911)-K1911</f>
        <v>35.7225</v>
      </c>
      <c r="P1911" s="8" t="s">
        <v>21</v>
      </c>
    </row>
    <row r="1912" customFormat="false" ht="15" hidden="false" customHeight="false" outlineLevel="0" collapsed="false">
      <c r="A1912" s="2" t="n">
        <v>46086</v>
      </c>
      <c r="B1912" s="3" t="s">
        <v>64</v>
      </c>
      <c r="C1912" s="3" t="s">
        <v>65</v>
      </c>
      <c r="D1912" s="3" t="s">
        <v>82</v>
      </c>
      <c r="E1912" s="3" t="s">
        <v>83</v>
      </c>
      <c r="F1912" s="3" t="s">
        <v>26</v>
      </c>
      <c r="G1912" s="3" t="n">
        <v>5</v>
      </c>
      <c r="H1912" s="4" t="n">
        <v>44.99</v>
      </c>
      <c r="I1912" s="4" t="n">
        <v>18</v>
      </c>
      <c r="J1912" s="5" t="n">
        <v>0.3</v>
      </c>
      <c r="K1912" s="4" t="n">
        <f aca="false">G1912*H1912*(1-J1912)</f>
        <v>157.465</v>
      </c>
      <c r="L1912" s="4" t="n">
        <f aca="false">G1912*I1912</f>
        <v>90</v>
      </c>
      <c r="M1912" s="4" t="n">
        <f aca="false">K1912-L1912</f>
        <v>67.465</v>
      </c>
      <c r="N1912" s="6" t="n">
        <f aca="false">IF(K1912=0,0,M1912/K1912)</f>
        <v>0.428444416219477</v>
      </c>
      <c r="O1912" s="4" t="n">
        <f aca="false">(G1912*H1912)-K1912</f>
        <v>67.485</v>
      </c>
      <c r="P1912" s="3" t="s">
        <v>21</v>
      </c>
    </row>
    <row r="1913" customFormat="false" ht="15" hidden="false" customHeight="false" outlineLevel="0" collapsed="false">
      <c r="A1913" s="7" t="n">
        <v>46033</v>
      </c>
      <c r="B1913" s="8" t="s">
        <v>31</v>
      </c>
      <c r="C1913" s="8" t="s">
        <v>23</v>
      </c>
      <c r="D1913" s="8" t="s">
        <v>82</v>
      </c>
      <c r="E1913" s="8" t="s">
        <v>83</v>
      </c>
      <c r="F1913" s="8" t="s">
        <v>26</v>
      </c>
      <c r="G1913" s="8" t="n">
        <v>29</v>
      </c>
      <c r="H1913" s="9" t="n">
        <v>44.99</v>
      </c>
      <c r="I1913" s="9" t="n">
        <v>18</v>
      </c>
      <c r="J1913" s="10" t="n">
        <v>0.2</v>
      </c>
      <c r="K1913" s="9" t="n">
        <f aca="false">G1913*H1913*(1-J1913)</f>
        <v>1043.768</v>
      </c>
      <c r="L1913" s="9" t="n">
        <f aca="false">G1913*I1913</f>
        <v>522</v>
      </c>
      <c r="M1913" s="9" t="n">
        <f aca="false">K1913-L1913</f>
        <v>521.768</v>
      </c>
      <c r="N1913" s="11" t="n">
        <f aca="false">IF(K1913=0,0,M1913/K1913)</f>
        <v>0.499888864192043</v>
      </c>
      <c r="O1913" s="9" t="n">
        <f aca="false">(G1913*H1913)-K1913</f>
        <v>260.942</v>
      </c>
      <c r="P1913" s="8" t="s">
        <v>21</v>
      </c>
    </row>
    <row r="1914" customFormat="false" ht="15" hidden="false" customHeight="false" outlineLevel="0" collapsed="false">
      <c r="A1914" s="2" t="n">
        <v>46121</v>
      </c>
      <c r="B1914" s="3" t="s">
        <v>27</v>
      </c>
      <c r="C1914" s="3" t="s">
        <v>28</v>
      </c>
      <c r="D1914" s="3" t="s">
        <v>32</v>
      </c>
      <c r="E1914" s="3" t="s">
        <v>33</v>
      </c>
      <c r="F1914" s="3" t="s">
        <v>34</v>
      </c>
      <c r="G1914" s="3" t="n">
        <v>7</v>
      </c>
      <c r="H1914" s="4" t="n">
        <v>18.99</v>
      </c>
      <c r="I1914" s="4" t="n">
        <v>6</v>
      </c>
      <c r="J1914" s="5" t="n">
        <v>0.25</v>
      </c>
      <c r="K1914" s="4" t="n">
        <f aca="false">G1914*H1914*(1-J1914)</f>
        <v>99.6975</v>
      </c>
      <c r="L1914" s="4" t="n">
        <f aca="false">G1914*I1914</f>
        <v>42</v>
      </c>
      <c r="M1914" s="4" t="n">
        <f aca="false">K1914-L1914</f>
        <v>57.6975</v>
      </c>
      <c r="N1914" s="6" t="n">
        <f aca="false">IF(K1914=0,0,M1914/K1914)</f>
        <v>0.578725645076356</v>
      </c>
      <c r="O1914" s="4" t="n">
        <f aca="false">(G1914*H1914)-K1914</f>
        <v>33.2325</v>
      </c>
      <c r="P1914" s="3" t="s">
        <v>21</v>
      </c>
    </row>
    <row r="1915" customFormat="false" ht="15" hidden="false" customHeight="false" outlineLevel="0" collapsed="false">
      <c r="A1915" s="7" t="n">
        <v>46129</v>
      </c>
      <c r="B1915" s="8" t="s">
        <v>37</v>
      </c>
      <c r="C1915" s="8" t="s">
        <v>17</v>
      </c>
      <c r="D1915" s="8" t="s">
        <v>51</v>
      </c>
      <c r="E1915" s="8" t="s">
        <v>52</v>
      </c>
      <c r="F1915" s="8" t="s">
        <v>50</v>
      </c>
      <c r="G1915" s="8" t="n">
        <v>23</v>
      </c>
      <c r="H1915" s="9" t="n">
        <v>19.99</v>
      </c>
      <c r="I1915" s="9" t="n">
        <v>7</v>
      </c>
      <c r="J1915" s="10" t="n">
        <v>0.1</v>
      </c>
      <c r="K1915" s="9" t="n">
        <f aca="false">G1915*H1915*(1-J1915)</f>
        <v>413.793</v>
      </c>
      <c r="L1915" s="9" t="n">
        <f aca="false">G1915*I1915</f>
        <v>161</v>
      </c>
      <c r="M1915" s="9" t="n">
        <f aca="false">K1915-L1915</f>
        <v>252.793</v>
      </c>
      <c r="N1915" s="11" t="n">
        <f aca="false">IF(K1915=0,0,M1915/K1915)</f>
        <v>0.610916569395809</v>
      </c>
      <c r="O1915" s="9" t="n">
        <f aca="false">(G1915*H1915)-K1915</f>
        <v>45.977</v>
      </c>
      <c r="P1915" s="8" t="s">
        <v>21</v>
      </c>
    </row>
    <row r="1916" customFormat="false" ht="15" hidden="false" customHeight="false" outlineLevel="0" collapsed="false">
      <c r="A1916" s="2" t="n">
        <v>46111</v>
      </c>
      <c r="B1916" s="3" t="s">
        <v>16</v>
      </c>
      <c r="C1916" s="3" t="s">
        <v>17</v>
      </c>
      <c r="D1916" s="3" t="s">
        <v>51</v>
      </c>
      <c r="E1916" s="3" t="s">
        <v>52</v>
      </c>
      <c r="F1916" s="3" t="s">
        <v>50</v>
      </c>
      <c r="G1916" s="3" t="n">
        <v>6</v>
      </c>
      <c r="H1916" s="4" t="n">
        <v>19.99</v>
      </c>
      <c r="I1916" s="4" t="n">
        <v>7</v>
      </c>
      <c r="J1916" s="5" t="n">
        <v>0</v>
      </c>
      <c r="K1916" s="4" t="n">
        <f aca="false">G1916*H1916*(1-J1916)</f>
        <v>119.94</v>
      </c>
      <c r="L1916" s="4" t="n">
        <f aca="false">G1916*I1916</f>
        <v>42</v>
      </c>
      <c r="M1916" s="4" t="n">
        <f aca="false">K1916-L1916</f>
        <v>77.94</v>
      </c>
      <c r="N1916" s="6" t="n">
        <f aca="false">IF(K1916=0,0,M1916/K1916)</f>
        <v>0.649824912456228</v>
      </c>
      <c r="O1916" s="4" t="n">
        <f aca="false">(G1916*H1916)-K1916</f>
        <v>0</v>
      </c>
      <c r="P1916" s="3" t="s">
        <v>21</v>
      </c>
    </row>
    <row r="1917" customFormat="false" ht="15" hidden="false" customHeight="false" outlineLevel="0" collapsed="false">
      <c r="A1917" s="7" t="n">
        <v>46045</v>
      </c>
      <c r="B1917" s="8" t="s">
        <v>16</v>
      </c>
      <c r="C1917" s="8" t="s">
        <v>17</v>
      </c>
      <c r="D1917" s="8" t="s">
        <v>74</v>
      </c>
      <c r="E1917" s="8" t="s">
        <v>75</v>
      </c>
      <c r="F1917" s="8" t="s">
        <v>40</v>
      </c>
      <c r="G1917" s="8" t="n">
        <v>1</v>
      </c>
      <c r="H1917" s="9" t="n">
        <v>29.99</v>
      </c>
      <c r="I1917" s="9" t="n">
        <v>13</v>
      </c>
      <c r="J1917" s="10" t="n">
        <v>0.15</v>
      </c>
      <c r="K1917" s="9" t="n">
        <f aca="false">G1917*H1917*(1-J1917)</f>
        <v>25.4915</v>
      </c>
      <c r="L1917" s="9" t="n">
        <f aca="false">G1917*I1917</f>
        <v>13</v>
      </c>
      <c r="M1917" s="9" t="n">
        <f aca="false">K1917-L1917</f>
        <v>12.4915</v>
      </c>
      <c r="N1917" s="11" t="n">
        <f aca="false">IF(K1917=0,0,M1917/K1917)</f>
        <v>0.490026087127082</v>
      </c>
      <c r="O1917" s="9" t="n">
        <f aca="false">(G1917*H1917)-K1917</f>
        <v>4.4985</v>
      </c>
      <c r="P1917" s="8" t="s">
        <v>21</v>
      </c>
    </row>
    <row r="1918" customFormat="false" ht="15" hidden="false" customHeight="false" outlineLevel="0" collapsed="false">
      <c r="A1918" s="2" t="n">
        <v>46098</v>
      </c>
      <c r="B1918" s="3" t="s">
        <v>22</v>
      </c>
      <c r="C1918" s="3" t="s">
        <v>23</v>
      </c>
      <c r="D1918" s="3" t="s">
        <v>38</v>
      </c>
      <c r="E1918" s="3" t="s">
        <v>39</v>
      </c>
      <c r="F1918" s="3" t="s">
        <v>40</v>
      </c>
      <c r="G1918" s="3" t="n">
        <v>23</v>
      </c>
      <c r="H1918" s="4" t="n">
        <v>12.99</v>
      </c>
      <c r="I1918" s="4" t="n">
        <v>4</v>
      </c>
      <c r="J1918" s="5" t="n">
        <v>0</v>
      </c>
      <c r="K1918" s="4" t="n">
        <f aca="false">G1918*H1918*(1-J1918)</f>
        <v>298.77</v>
      </c>
      <c r="L1918" s="4" t="n">
        <f aca="false">G1918*I1918</f>
        <v>92</v>
      </c>
      <c r="M1918" s="4" t="n">
        <f aca="false">K1918-L1918</f>
        <v>206.77</v>
      </c>
      <c r="N1918" s="6" t="n">
        <f aca="false">IF(K1918=0,0,M1918/K1918)</f>
        <v>0.692070823710547</v>
      </c>
      <c r="O1918" s="4" t="n">
        <f aca="false">(G1918*H1918)-K1918</f>
        <v>0</v>
      </c>
      <c r="P1918" s="3" t="s">
        <v>21</v>
      </c>
    </row>
    <row r="1919" customFormat="false" ht="15" hidden="false" customHeight="false" outlineLevel="0" collapsed="false">
      <c r="A1919" s="7" t="n">
        <v>46028</v>
      </c>
      <c r="B1919" s="8" t="s">
        <v>37</v>
      </c>
      <c r="C1919" s="8" t="s">
        <v>17</v>
      </c>
      <c r="D1919" s="8" t="s">
        <v>24</v>
      </c>
      <c r="E1919" s="8" t="s">
        <v>25</v>
      </c>
      <c r="F1919" s="8" t="s">
        <v>26</v>
      </c>
      <c r="G1919" s="8" t="n">
        <v>22</v>
      </c>
      <c r="H1919" s="9" t="n">
        <v>59.99</v>
      </c>
      <c r="I1919" s="9" t="n">
        <v>24</v>
      </c>
      <c r="J1919" s="10" t="n">
        <v>0.1</v>
      </c>
      <c r="K1919" s="9" t="n">
        <f aca="false">G1919*H1919*(1-J1919)</f>
        <v>1187.802</v>
      </c>
      <c r="L1919" s="9" t="n">
        <f aca="false">G1919*I1919</f>
        <v>528</v>
      </c>
      <c r="M1919" s="9" t="n">
        <f aca="false">K1919-L1919</f>
        <v>659.802</v>
      </c>
      <c r="N1919" s="11" t="n">
        <f aca="false">IF(K1919=0,0,M1919/K1919)</f>
        <v>0.555481469133745</v>
      </c>
      <c r="O1919" s="9" t="n">
        <f aca="false">(G1919*H1919)-K1919</f>
        <v>131.978</v>
      </c>
      <c r="P1919" s="8" t="s">
        <v>21</v>
      </c>
    </row>
    <row r="1920" customFormat="false" ht="15" hidden="false" customHeight="false" outlineLevel="0" collapsed="false">
      <c r="A1920" s="2" t="n">
        <v>46114</v>
      </c>
      <c r="B1920" s="3" t="s">
        <v>16</v>
      </c>
      <c r="C1920" s="3" t="s">
        <v>17</v>
      </c>
      <c r="D1920" s="3" t="s">
        <v>68</v>
      </c>
      <c r="E1920" s="3" t="s">
        <v>69</v>
      </c>
      <c r="F1920" s="3" t="s">
        <v>40</v>
      </c>
      <c r="G1920" s="3" t="n">
        <v>7</v>
      </c>
      <c r="H1920" s="4" t="n">
        <v>7.27</v>
      </c>
      <c r="I1920" s="4" t="n">
        <v>9</v>
      </c>
      <c r="J1920" s="5" t="n">
        <v>0</v>
      </c>
      <c r="K1920" s="4" t="n">
        <f aca="false">G1920*H1920*(1-J1920)</f>
        <v>50.89</v>
      </c>
      <c r="L1920" s="4" t="n">
        <f aca="false">G1920*I1920</f>
        <v>63</v>
      </c>
      <c r="M1920" s="4" t="n">
        <f aca="false">K1920-L1920</f>
        <v>-12.11</v>
      </c>
      <c r="N1920" s="6" t="n">
        <f aca="false">IF(K1920=0,0,M1920/K1920)</f>
        <v>-0.237964236588721</v>
      </c>
      <c r="O1920" s="4" t="n">
        <f aca="false">(G1920*H1920)-K1920</f>
        <v>0</v>
      </c>
      <c r="P1920" s="15" t="s">
        <v>98</v>
      </c>
    </row>
    <row r="1921" customFormat="false" ht="15" hidden="false" customHeight="false" outlineLevel="0" collapsed="false">
      <c r="A1921" s="7" t="n">
        <v>46030</v>
      </c>
      <c r="B1921" s="8" t="s">
        <v>37</v>
      </c>
      <c r="C1921" s="8" t="s">
        <v>17</v>
      </c>
      <c r="D1921" s="8" t="s">
        <v>44</v>
      </c>
      <c r="E1921" s="8" t="s">
        <v>45</v>
      </c>
      <c r="F1921" s="8" t="s">
        <v>40</v>
      </c>
      <c r="G1921" s="8" t="n">
        <v>9</v>
      </c>
      <c r="H1921" s="9" t="n">
        <v>29.99</v>
      </c>
      <c r="I1921" s="9" t="n">
        <v>11</v>
      </c>
      <c r="J1921" s="10" t="n">
        <v>0.15</v>
      </c>
      <c r="K1921" s="9" t="n">
        <f aca="false">G1921*H1921*(1-J1921)</f>
        <v>229.4235</v>
      </c>
      <c r="L1921" s="9" t="n">
        <f aca="false">G1921*I1921</f>
        <v>99</v>
      </c>
      <c r="M1921" s="9" t="n">
        <f aca="false">K1921-L1921</f>
        <v>130.4235</v>
      </c>
      <c r="N1921" s="11" t="n">
        <f aca="false">IF(K1921=0,0,M1921/K1921)</f>
        <v>0.568483612184454</v>
      </c>
      <c r="O1921" s="9" t="n">
        <f aca="false">(G1921*H1921)-K1921</f>
        <v>40.4865</v>
      </c>
      <c r="P1921" s="8" t="s">
        <v>21</v>
      </c>
    </row>
    <row r="1922" customFormat="false" ht="15" hidden="false" customHeight="false" outlineLevel="0" collapsed="false">
      <c r="A1922" s="2" t="n">
        <v>46126</v>
      </c>
      <c r="B1922" s="3" t="s">
        <v>37</v>
      </c>
      <c r="C1922" s="3" t="s">
        <v>17</v>
      </c>
      <c r="D1922" s="3" t="s">
        <v>18</v>
      </c>
      <c r="E1922" s="3" t="s">
        <v>19</v>
      </c>
      <c r="F1922" s="3" t="s">
        <v>20</v>
      </c>
      <c r="G1922" s="3" t="n">
        <v>21</v>
      </c>
      <c r="H1922" s="4" t="n">
        <v>26.99</v>
      </c>
      <c r="I1922" s="4" t="n">
        <v>10.5</v>
      </c>
      <c r="J1922" s="5" t="n">
        <v>0</v>
      </c>
      <c r="K1922" s="4" t="n">
        <f aca="false">G1922*H1922*(1-J1922)</f>
        <v>566.79</v>
      </c>
      <c r="L1922" s="4" t="n">
        <f aca="false">G1922*I1922</f>
        <v>220.5</v>
      </c>
      <c r="M1922" s="4" t="n">
        <f aca="false">K1922-L1922</f>
        <v>346.29</v>
      </c>
      <c r="N1922" s="6" t="n">
        <f aca="false">IF(K1922=0,0,M1922/K1922)</f>
        <v>0.610967024824009</v>
      </c>
      <c r="O1922" s="4" t="n">
        <f aca="false">(G1922*H1922)-K1922</f>
        <v>0</v>
      </c>
      <c r="P1922" s="3" t="s">
        <v>21</v>
      </c>
    </row>
    <row r="1923" customFormat="false" ht="15" hidden="false" customHeight="false" outlineLevel="0" collapsed="false">
      <c r="A1923" s="7" t="n">
        <v>46034</v>
      </c>
      <c r="B1923" s="8" t="s">
        <v>27</v>
      </c>
      <c r="C1923" s="8" t="s">
        <v>28</v>
      </c>
      <c r="D1923" s="8" t="s">
        <v>93</v>
      </c>
      <c r="E1923" s="8" t="s">
        <v>94</v>
      </c>
      <c r="F1923" s="8" t="s">
        <v>34</v>
      </c>
      <c r="G1923" s="8" t="n">
        <v>27</v>
      </c>
      <c r="H1923" s="9" t="n">
        <v>29.99</v>
      </c>
      <c r="I1923" s="9" t="n">
        <v>9</v>
      </c>
      <c r="J1923" s="10" t="n">
        <v>0.2</v>
      </c>
      <c r="K1923" s="9" t="n">
        <f aca="false">G1923*H1923*(1-J1923)</f>
        <v>647.784</v>
      </c>
      <c r="L1923" s="9" t="n">
        <f aca="false">G1923*I1923</f>
        <v>243</v>
      </c>
      <c r="M1923" s="9" t="n">
        <f aca="false">K1923-L1923</f>
        <v>404.784</v>
      </c>
      <c r="N1923" s="11" t="n">
        <f aca="false">IF(K1923=0,0,M1923/K1923)</f>
        <v>0.62487495831944</v>
      </c>
      <c r="O1923" s="9" t="n">
        <f aca="false">(G1923*H1923)-K1923</f>
        <v>161.946</v>
      </c>
      <c r="P1923" s="8" t="s">
        <v>21</v>
      </c>
    </row>
    <row r="1924" customFormat="false" ht="15" hidden="false" customHeight="false" outlineLevel="0" collapsed="false">
      <c r="A1924" s="2" t="n">
        <v>46130</v>
      </c>
      <c r="B1924" s="3" t="s">
        <v>58</v>
      </c>
      <c r="C1924" s="3" t="s">
        <v>58</v>
      </c>
      <c r="D1924" s="3" t="s">
        <v>38</v>
      </c>
      <c r="E1924" s="3" t="s">
        <v>39</v>
      </c>
      <c r="F1924" s="3" t="s">
        <v>40</v>
      </c>
      <c r="G1924" s="3" t="n">
        <v>17</v>
      </c>
      <c r="H1924" s="4" t="n">
        <v>12.99</v>
      </c>
      <c r="I1924" s="4" t="n">
        <v>4</v>
      </c>
      <c r="J1924" s="5" t="n">
        <v>0</v>
      </c>
      <c r="K1924" s="4" t="n">
        <f aca="false">G1924*H1924*(1-J1924)</f>
        <v>220.83</v>
      </c>
      <c r="L1924" s="4" t="n">
        <f aca="false">G1924*I1924</f>
        <v>68</v>
      </c>
      <c r="M1924" s="4" t="n">
        <f aca="false">K1924-L1924</f>
        <v>152.83</v>
      </c>
      <c r="N1924" s="6" t="n">
        <f aca="false">IF(K1924=0,0,M1924/K1924)</f>
        <v>0.692070823710547</v>
      </c>
      <c r="O1924" s="4" t="n">
        <f aca="false">(G1924*H1924)-K1924</f>
        <v>0</v>
      </c>
      <c r="P1924" s="3" t="s">
        <v>21</v>
      </c>
    </row>
    <row r="1925" customFormat="false" ht="15" hidden="false" customHeight="false" outlineLevel="0" collapsed="false">
      <c r="A1925" s="7" t="n">
        <v>46035</v>
      </c>
      <c r="B1925" s="8" t="s">
        <v>27</v>
      </c>
      <c r="C1925" s="8" t="s">
        <v>28</v>
      </c>
      <c r="D1925" s="8" t="s">
        <v>80</v>
      </c>
      <c r="E1925" s="8" t="s">
        <v>81</v>
      </c>
      <c r="F1925" s="8" t="s">
        <v>57</v>
      </c>
      <c r="G1925" s="8" t="n">
        <v>20</v>
      </c>
      <c r="H1925" s="9" t="n">
        <v>17.99</v>
      </c>
      <c r="I1925" s="9" t="n">
        <v>6.5</v>
      </c>
      <c r="J1925" s="10" t="n">
        <v>0</v>
      </c>
      <c r="K1925" s="9" t="n">
        <f aca="false">G1925*H1925*(1-J1925)</f>
        <v>359.8</v>
      </c>
      <c r="L1925" s="9" t="n">
        <f aca="false">G1925*I1925</f>
        <v>130</v>
      </c>
      <c r="M1925" s="9" t="n">
        <f aca="false">K1925-L1925</f>
        <v>229.8</v>
      </c>
      <c r="N1925" s="11" t="n">
        <f aca="false">IF(K1925=0,0,M1925/K1925)</f>
        <v>0.638688160088938</v>
      </c>
      <c r="O1925" s="9" t="n">
        <f aca="false">(G1925*H1925)-K1925</f>
        <v>0</v>
      </c>
      <c r="P1925" s="8" t="s">
        <v>21</v>
      </c>
    </row>
    <row r="1926" customFormat="false" ht="15" hidden="false" customHeight="false" outlineLevel="0" collapsed="false">
      <c r="A1926" s="2" t="n">
        <v>46081</v>
      </c>
      <c r="B1926" s="3" t="s">
        <v>22</v>
      </c>
      <c r="C1926" s="3" t="s">
        <v>23</v>
      </c>
      <c r="D1926" s="3" t="s">
        <v>88</v>
      </c>
      <c r="E1926" s="3" t="s">
        <v>89</v>
      </c>
      <c r="F1926" s="3" t="s">
        <v>57</v>
      </c>
      <c r="G1926" s="3" t="n">
        <v>4</v>
      </c>
      <c r="H1926" s="4" t="n">
        <v>12.99</v>
      </c>
      <c r="I1926" s="4" t="n">
        <v>4.5</v>
      </c>
      <c r="J1926" s="5" t="n">
        <v>0.2</v>
      </c>
      <c r="K1926" s="4" t="n">
        <f aca="false">G1926*H1926*(1-J1926)</f>
        <v>41.568</v>
      </c>
      <c r="L1926" s="4" t="n">
        <f aca="false">G1926*I1926</f>
        <v>18</v>
      </c>
      <c r="M1926" s="4" t="n">
        <f aca="false">K1926-L1926</f>
        <v>23.568</v>
      </c>
      <c r="N1926" s="6" t="n">
        <f aca="false">IF(K1926=0,0,M1926/K1926)</f>
        <v>0.566974595842956</v>
      </c>
      <c r="O1926" s="4" t="n">
        <f aca="false">(G1926*H1926)-K1926</f>
        <v>10.392</v>
      </c>
      <c r="P1926" s="3" t="s">
        <v>21</v>
      </c>
    </row>
    <row r="1927" customFormat="false" ht="15" hidden="false" customHeight="false" outlineLevel="0" collapsed="false">
      <c r="A1927" s="7" t="n">
        <v>46086</v>
      </c>
      <c r="B1927" s="8" t="s">
        <v>37</v>
      </c>
      <c r="C1927" s="8" t="s">
        <v>17</v>
      </c>
      <c r="D1927" s="8" t="s">
        <v>80</v>
      </c>
      <c r="E1927" s="8" t="s">
        <v>81</v>
      </c>
      <c r="F1927" s="8" t="s">
        <v>57</v>
      </c>
      <c r="G1927" s="8" t="n">
        <v>7</v>
      </c>
      <c r="H1927" s="9" t="n">
        <v>17.99</v>
      </c>
      <c r="I1927" s="9" t="n">
        <v>6.5</v>
      </c>
      <c r="J1927" s="10" t="n">
        <v>0.05</v>
      </c>
      <c r="K1927" s="9" t="n">
        <f aca="false">G1927*H1927*(1-J1927)</f>
        <v>119.6335</v>
      </c>
      <c r="L1927" s="9" t="n">
        <f aca="false">G1927*I1927</f>
        <v>45.5</v>
      </c>
      <c r="M1927" s="9" t="n">
        <f aca="false">K1927-L1927</f>
        <v>74.1335</v>
      </c>
      <c r="N1927" s="11" t="n">
        <f aca="false">IF(K1927=0,0,M1927/K1927)</f>
        <v>0.61967174746204</v>
      </c>
      <c r="O1927" s="9" t="n">
        <f aca="false">(G1927*H1927)-K1927</f>
        <v>6.29650000000001</v>
      </c>
      <c r="P1927" s="8" t="s">
        <v>21</v>
      </c>
    </row>
    <row r="1928" customFormat="false" ht="15" hidden="false" customHeight="false" outlineLevel="0" collapsed="false">
      <c r="A1928" s="2" t="n">
        <v>46032</v>
      </c>
      <c r="B1928" s="3" t="s">
        <v>37</v>
      </c>
      <c r="C1928" s="3" t="s">
        <v>17</v>
      </c>
      <c r="D1928" s="3" t="s">
        <v>55</v>
      </c>
      <c r="E1928" s="3" t="s">
        <v>56</v>
      </c>
      <c r="F1928" s="3" t="s">
        <v>57</v>
      </c>
      <c r="G1928" s="3" t="n">
        <v>9</v>
      </c>
      <c r="H1928" s="4" t="n">
        <v>29.99</v>
      </c>
      <c r="I1928" s="4" t="n">
        <v>11</v>
      </c>
      <c r="J1928" s="5" t="n">
        <v>0</v>
      </c>
      <c r="K1928" s="4" t="n">
        <f aca="false">G1928*H1928*(1-J1928)</f>
        <v>269.91</v>
      </c>
      <c r="L1928" s="4" t="n">
        <f aca="false">G1928*I1928</f>
        <v>99</v>
      </c>
      <c r="M1928" s="4" t="n">
        <f aca="false">K1928-L1928</f>
        <v>170.91</v>
      </c>
      <c r="N1928" s="6" t="n">
        <f aca="false">IF(K1928=0,0,M1928/K1928)</f>
        <v>0.633211070356786</v>
      </c>
      <c r="O1928" s="4" t="n">
        <f aca="false">(G1928*H1928)-K1928</f>
        <v>0</v>
      </c>
      <c r="P1928" s="3" t="s">
        <v>21</v>
      </c>
    </row>
    <row r="1929" customFormat="false" ht="15" hidden="false" customHeight="false" outlineLevel="0" collapsed="false">
      <c r="A1929" s="7" t="n">
        <v>46071</v>
      </c>
      <c r="B1929" s="8" t="s">
        <v>16</v>
      </c>
      <c r="C1929" s="8" t="s">
        <v>17</v>
      </c>
      <c r="D1929" s="8" t="s">
        <v>42</v>
      </c>
      <c r="E1929" s="8" t="s">
        <v>43</v>
      </c>
      <c r="F1929" s="8" t="s">
        <v>34</v>
      </c>
      <c r="G1929" s="8" t="n">
        <v>18</v>
      </c>
      <c r="H1929" s="9" t="n">
        <v>11.99</v>
      </c>
      <c r="I1929" s="9" t="n">
        <v>3.5</v>
      </c>
      <c r="J1929" s="10" t="n">
        <v>0.15</v>
      </c>
      <c r="K1929" s="9" t="n">
        <f aca="false">G1929*H1929*(1-J1929)</f>
        <v>183.447</v>
      </c>
      <c r="L1929" s="9" t="n">
        <f aca="false">G1929*I1929</f>
        <v>63</v>
      </c>
      <c r="M1929" s="9" t="n">
        <f aca="false">K1929-L1929</f>
        <v>120.447</v>
      </c>
      <c r="N1929" s="11" t="n">
        <f aca="false">IF(K1929=0,0,M1929/K1929)</f>
        <v>0.65657655889712</v>
      </c>
      <c r="O1929" s="9" t="n">
        <f aca="false">(G1929*H1929)-K1929</f>
        <v>32.373</v>
      </c>
      <c r="P1929" s="8" t="s">
        <v>21</v>
      </c>
    </row>
    <row r="1930" customFormat="false" ht="15" hidden="false" customHeight="false" outlineLevel="0" collapsed="false">
      <c r="A1930" s="2" t="n">
        <v>46091</v>
      </c>
      <c r="B1930" s="3" t="s">
        <v>37</v>
      </c>
      <c r="C1930" s="3" t="s">
        <v>17</v>
      </c>
      <c r="D1930" s="3" t="s">
        <v>35</v>
      </c>
      <c r="E1930" s="3" t="s">
        <v>36</v>
      </c>
      <c r="F1930" s="3" t="s">
        <v>26</v>
      </c>
      <c r="G1930" s="3" t="n">
        <v>24</v>
      </c>
      <c r="H1930" s="4" t="n">
        <v>69.99</v>
      </c>
      <c r="I1930" s="4" t="n">
        <v>30</v>
      </c>
      <c r="J1930" s="5" t="n">
        <v>0.3</v>
      </c>
      <c r="K1930" s="4" t="n">
        <f aca="false">G1930*H1930*(1-J1930)</f>
        <v>1175.832</v>
      </c>
      <c r="L1930" s="4" t="n">
        <f aca="false">G1930*I1930</f>
        <v>720</v>
      </c>
      <c r="M1930" s="4" t="n">
        <f aca="false">K1930-L1930</f>
        <v>455.832</v>
      </c>
      <c r="N1930" s="6" t="n">
        <f aca="false">IF(K1930=0,0,M1930/K1930)</f>
        <v>0.387667625987386</v>
      </c>
      <c r="O1930" s="4" t="n">
        <f aca="false">(G1930*H1930)-K1930</f>
        <v>503.928</v>
      </c>
      <c r="P1930" s="3" t="s">
        <v>21</v>
      </c>
    </row>
    <row r="1931" customFormat="false" ht="15" hidden="false" customHeight="false" outlineLevel="0" collapsed="false">
      <c r="A1931" s="7" t="n">
        <v>46066</v>
      </c>
      <c r="B1931" s="8" t="s">
        <v>64</v>
      </c>
      <c r="C1931" s="8" t="s">
        <v>65</v>
      </c>
      <c r="D1931" s="8" t="s">
        <v>32</v>
      </c>
      <c r="E1931" s="8" t="s">
        <v>33</v>
      </c>
      <c r="F1931" s="8" t="s">
        <v>34</v>
      </c>
      <c r="G1931" s="8" t="n">
        <v>18</v>
      </c>
      <c r="H1931" s="9" t="n">
        <v>18.99</v>
      </c>
      <c r="I1931" s="9" t="n">
        <v>6</v>
      </c>
      <c r="J1931" s="10" t="n">
        <v>0</v>
      </c>
      <c r="K1931" s="9" t="n">
        <f aca="false">G1931*H1931*(1-J1931)</f>
        <v>341.82</v>
      </c>
      <c r="L1931" s="9" t="n">
        <f aca="false">G1931*I1931</f>
        <v>108</v>
      </c>
      <c r="M1931" s="9" t="n">
        <f aca="false">K1931-L1931</f>
        <v>233.82</v>
      </c>
      <c r="N1931" s="11" t="n">
        <f aca="false">IF(K1931=0,0,M1931/K1931)</f>
        <v>0.684044233807267</v>
      </c>
      <c r="O1931" s="9" t="n">
        <f aca="false">(G1931*H1931)-K1931</f>
        <v>0</v>
      </c>
      <c r="P1931" s="8" t="s">
        <v>21</v>
      </c>
    </row>
    <row r="1932" customFormat="false" ht="15" hidden="false" customHeight="false" outlineLevel="0" collapsed="false">
      <c r="A1932" s="2" t="n">
        <v>46071</v>
      </c>
      <c r="B1932" s="3" t="s">
        <v>37</v>
      </c>
      <c r="C1932" s="3" t="s">
        <v>17</v>
      </c>
      <c r="D1932" s="3" t="s">
        <v>76</v>
      </c>
      <c r="E1932" s="3" t="s">
        <v>77</v>
      </c>
      <c r="F1932" s="3" t="s">
        <v>34</v>
      </c>
      <c r="G1932" s="3" t="n">
        <v>23</v>
      </c>
      <c r="H1932" s="4" t="n">
        <v>44.99</v>
      </c>
      <c r="I1932" s="4" t="n">
        <v>14</v>
      </c>
      <c r="J1932" s="5" t="n">
        <v>0</v>
      </c>
      <c r="K1932" s="4" t="n">
        <f aca="false">G1932*H1932*(1-J1932)</f>
        <v>1034.77</v>
      </c>
      <c r="L1932" s="4" t="n">
        <f aca="false">G1932*I1932</f>
        <v>322</v>
      </c>
      <c r="M1932" s="4" t="n">
        <f aca="false">K1932-L1932</f>
        <v>712.77</v>
      </c>
      <c r="N1932" s="6" t="n">
        <f aca="false">IF(K1932=0,0,M1932/K1932)</f>
        <v>0.688819737719493</v>
      </c>
      <c r="O1932" s="4" t="n">
        <f aca="false">(G1932*H1932)-K1932</f>
        <v>0</v>
      </c>
      <c r="P1932" s="3" t="s">
        <v>21</v>
      </c>
    </row>
    <row r="1933" customFormat="false" ht="15" hidden="false" customHeight="false" outlineLevel="0" collapsed="false">
      <c r="A1933" s="7" t="n">
        <v>46113</v>
      </c>
      <c r="B1933" s="8" t="s">
        <v>31</v>
      </c>
      <c r="C1933" s="8" t="s">
        <v>23</v>
      </c>
      <c r="D1933" s="8" t="s">
        <v>88</v>
      </c>
      <c r="E1933" s="8" t="s">
        <v>89</v>
      </c>
      <c r="F1933" s="8" t="s">
        <v>57</v>
      </c>
      <c r="G1933" s="8" t="n">
        <v>17</v>
      </c>
      <c r="H1933" s="9" t="n">
        <v>14.99</v>
      </c>
      <c r="I1933" s="9" t="n">
        <v>4.5</v>
      </c>
      <c r="J1933" s="10" t="n">
        <v>0</v>
      </c>
      <c r="K1933" s="9" t="n">
        <f aca="false">G1933*H1933*(1-J1933)</f>
        <v>254.83</v>
      </c>
      <c r="L1933" s="9" t="n">
        <f aca="false">G1933*I1933</f>
        <v>76.5</v>
      </c>
      <c r="M1933" s="9" t="n">
        <f aca="false">K1933-L1933</f>
        <v>178.33</v>
      </c>
      <c r="N1933" s="11" t="n">
        <f aca="false">IF(K1933=0,0,M1933/K1933)</f>
        <v>0.699799866577719</v>
      </c>
      <c r="O1933" s="9" t="n">
        <f aca="false">(G1933*H1933)-K1933</f>
        <v>0</v>
      </c>
      <c r="P1933" s="8" t="s">
        <v>21</v>
      </c>
    </row>
    <row r="1934" customFormat="false" ht="15" hidden="false" customHeight="false" outlineLevel="0" collapsed="false">
      <c r="A1934" s="2" t="n">
        <v>46072</v>
      </c>
      <c r="B1934" s="3" t="s">
        <v>22</v>
      </c>
      <c r="C1934" s="3" t="s">
        <v>23</v>
      </c>
      <c r="D1934" s="3" t="s">
        <v>18</v>
      </c>
      <c r="E1934" s="3" t="s">
        <v>19</v>
      </c>
      <c r="F1934" s="3" t="s">
        <v>20</v>
      </c>
      <c r="G1934" s="3" t="n">
        <v>10</v>
      </c>
      <c r="H1934" s="4" t="n">
        <v>26.99</v>
      </c>
      <c r="I1934" s="4" t="n">
        <v>10.5</v>
      </c>
      <c r="J1934" s="5" t="n">
        <v>0</v>
      </c>
      <c r="K1934" s="4" t="n">
        <f aca="false">G1934*H1934*(1-J1934)</f>
        <v>269.9</v>
      </c>
      <c r="L1934" s="4" t="n">
        <f aca="false">G1934*I1934</f>
        <v>105</v>
      </c>
      <c r="M1934" s="4" t="n">
        <f aca="false">K1934-L1934</f>
        <v>164.9</v>
      </c>
      <c r="N1934" s="6" t="n">
        <f aca="false">IF(K1934=0,0,M1934/K1934)</f>
        <v>0.610967024824009</v>
      </c>
      <c r="O1934" s="4" t="n">
        <f aca="false">(G1934*H1934)-K1934</f>
        <v>0</v>
      </c>
      <c r="P1934" s="3" t="s">
        <v>21</v>
      </c>
    </row>
    <row r="1935" customFormat="false" ht="15" hidden="false" customHeight="false" outlineLevel="0" collapsed="false">
      <c r="A1935" s="7" t="n">
        <v>46125</v>
      </c>
      <c r="B1935" s="8" t="s">
        <v>16</v>
      </c>
      <c r="C1935" s="8" t="s">
        <v>17</v>
      </c>
      <c r="D1935" s="8" t="s">
        <v>46</v>
      </c>
      <c r="E1935" s="8" t="s">
        <v>47</v>
      </c>
      <c r="F1935" s="8" t="s">
        <v>20</v>
      </c>
      <c r="G1935" s="8" t="n">
        <v>5</v>
      </c>
      <c r="H1935" s="9" t="n">
        <v>44.99</v>
      </c>
      <c r="I1935" s="9" t="n">
        <v>18</v>
      </c>
      <c r="J1935" s="10" t="n">
        <v>0</v>
      </c>
      <c r="K1935" s="9" t="n">
        <f aca="false">G1935*H1935*(1-J1935)</f>
        <v>224.95</v>
      </c>
      <c r="L1935" s="9" t="n">
        <f aca="false">G1935*I1935</f>
        <v>90</v>
      </c>
      <c r="M1935" s="9" t="n">
        <f aca="false">K1935-L1935</f>
        <v>134.95</v>
      </c>
      <c r="N1935" s="11" t="n">
        <f aca="false">IF(K1935=0,0,M1935/K1935)</f>
        <v>0.599911091353634</v>
      </c>
      <c r="O1935" s="9" t="n">
        <f aca="false">(G1935*H1935)-K1935</f>
        <v>0</v>
      </c>
      <c r="P1935" s="8" t="s">
        <v>21</v>
      </c>
    </row>
    <row r="1936" customFormat="false" ht="15" hidden="false" customHeight="false" outlineLevel="0" collapsed="false">
      <c r="A1936" s="2" t="n">
        <v>46113</v>
      </c>
      <c r="B1936" s="3" t="s">
        <v>31</v>
      </c>
      <c r="C1936" s="3" t="s">
        <v>23</v>
      </c>
      <c r="D1936" s="3" t="s">
        <v>76</v>
      </c>
      <c r="E1936" s="3" t="s">
        <v>77</v>
      </c>
      <c r="F1936" s="3" t="s">
        <v>34</v>
      </c>
      <c r="G1936" s="3" t="n">
        <v>11</v>
      </c>
      <c r="H1936" s="4" t="n">
        <v>49.99</v>
      </c>
      <c r="I1936" s="4" t="n">
        <v>14</v>
      </c>
      <c r="J1936" s="5" t="n">
        <v>0.1</v>
      </c>
      <c r="K1936" s="4" t="n">
        <f aca="false">G1936*H1936*(1-J1936)</f>
        <v>494.901</v>
      </c>
      <c r="L1936" s="4" t="n">
        <f aca="false">G1936*I1936</f>
        <v>154</v>
      </c>
      <c r="M1936" s="4" t="n">
        <f aca="false">K1936-L1936</f>
        <v>340.901</v>
      </c>
      <c r="N1936" s="6" t="n">
        <f aca="false">IF(K1936=0,0,M1936/K1936)</f>
        <v>0.688826654219733</v>
      </c>
      <c r="O1936" s="4" t="n">
        <f aca="false">(G1936*H1936)-K1936</f>
        <v>54.989</v>
      </c>
      <c r="P1936" s="3" t="s">
        <v>21</v>
      </c>
    </row>
    <row r="1937" customFormat="false" ht="15" hidden="false" customHeight="false" outlineLevel="0" collapsed="false">
      <c r="A1937" s="7" t="n">
        <v>46126</v>
      </c>
      <c r="B1937" s="8" t="s">
        <v>27</v>
      </c>
      <c r="C1937" s="8" t="s">
        <v>28</v>
      </c>
      <c r="D1937" s="8" t="s">
        <v>78</v>
      </c>
      <c r="E1937" s="8" t="s">
        <v>79</v>
      </c>
      <c r="F1937" s="8" t="s">
        <v>20</v>
      </c>
      <c r="G1937" s="8" t="n">
        <v>26</v>
      </c>
      <c r="H1937" s="9" t="n">
        <v>42.99</v>
      </c>
      <c r="I1937" s="9" t="n">
        <v>16</v>
      </c>
      <c r="J1937" s="10" t="n">
        <v>0.15</v>
      </c>
      <c r="K1937" s="9" t="n">
        <f aca="false">G1937*H1937*(1-J1937)</f>
        <v>950.079</v>
      </c>
      <c r="L1937" s="9" t="n">
        <f aca="false">G1937*I1937</f>
        <v>416</v>
      </c>
      <c r="M1937" s="9" t="n">
        <f aca="false">K1937-L1937</f>
        <v>534.079</v>
      </c>
      <c r="N1937" s="11" t="n">
        <f aca="false">IF(K1937=0,0,M1937/K1937)</f>
        <v>0.562141674534433</v>
      </c>
      <c r="O1937" s="9" t="n">
        <f aca="false">(G1937*H1937)-K1937</f>
        <v>167.661</v>
      </c>
      <c r="P1937" s="8" t="s">
        <v>21</v>
      </c>
    </row>
    <row r="1938" customFormat="false" ht="15" hidden="false" customHeight="false" outlineLevel="0" collapsed="false">
      <c r="A1938" s="2" t="n">
        <v>46056</v>
      </c>
      <c r="B1938" s="3" t="s">
        <v>22</v>
      </c>
      <c r="C1938" s="3" t="s">
        <v>23</v>
      </c>
      <c r="D1938" s="3" t="s">
        <v>84</v>
      </c>
      <c r="E1938" s="3" t="s">
        <v>85</v>
      </c>
      <c r="F1938" s="3" t="s">
        <v>20</v>
      </c>
      <c r="G1938" s="3" t="n">
        <v>11</v>
      </c>
      <c r="H1938" s="4" t="n">
        <v>34.99</v>
      </c>
      <c r="I1938" s="4" t="n">
        <v>13</v>
      </c>
      <c r="J1938" s="5" t="n">
        <v>0</v>
      </c>
      <c r="K1938" s="4" t="n">
        <f aca="false">G1938*H1938*(1-J1938)</f>
        <v>384.89</v>
      </c>
      <c r="L1938" s="4" t="n">
        <f aca="false">G1938*I1938</f>
        <v>143</v>
      </c>
      <c r="M1938" s="4" t="n">
        <f aca="false">K1938-L1938</f>
        <v>241.89</v>
      </c>
      <c r="N1938" s="6" t="n">
        <f aca="false">IF(K1938=0,0,M1938/K1938)</f>
        <v>0.628465275793084</v>
      </c>
      <c r="O1938" s="4" t="n">
        <f aca="false">(G1938*H1938)-K1938</f>
        <v>0</v>
      </c>
      <c r="P1938" s="3" t="s">
        <v>21</v>
      </c>
    </row>
    <row r="1939" customFormat="false" ht="15" hidden="false" customHeight="false" outlineLevel="0" collapsed="false">
      <c r="A1939" s="7" t="n">
        <v>46100</v>
      </c>
      <c r="B1939" s="8" t="s">
        <v>58</v>
      </c>
      <c r="C1939" s="8" t="s">
        <v>58</v>
      </c>
      <c r="D1939" s="8" t="s">
        <v>82</v>
      </c>
      <c r="E1939" s="8" t="s">
        <v>83</v>
      </c>
      <c r="F1939" s="8" t="s">
        <v>26</v>
      </c>
      <c r="G1939" s="8" t="n">
        <v>7</v>
      </c>
      <c r="H1939" s="9" t="n">
        <v>44.99</v>
      </c>
      <c r="I1939" s="9" t="n">
        <v>18</v>
      </c>
      <c r="J1939" s="10" t="n">
        <v>0.25</v>
      </c>
      <c r="K1939" s="9" t="n">
        <f aca="false">G1939*H1939*(1-J1939)</f>
        <v>236.1975</v>
      </c>
      <c r="L1939" s="9" t="n">
        <f aca="false">G1939*I1939</f>
        <v>126</v>
      </c>
      <c r="M1939" s="9" t="n">
        <f aca="false">K1939-L1939</f>
        <v>110.1975</v>
      </c>
      <c r="N1939" s="11" t="n">
        <f aca="false">IF(K1939=0,0,M1939/K1939)</f>
        <v>0.466548121804846</v>
      </c>
      <c r="O1939" s="9" t="n">
        <f aca="false">(G1939*H1939)-K1939</f>
        <v>78.7325</v>
      </c>
      <c r="P1939" s="8" t="s">
        <v>21</v>
      </c>
    </row>
    <row r="1940" customFormat="false" ht="15" hidden="false" customHeight="false" outlineLevel="0" collapsed="false">
      <c r="A1940" s="2" t="n">
        <v>46028</v>
      </c>
      <c r="B1940" s="3" t="s">
        <v>41</v>
      </c>
      <c r="C1940" s="3" t="s">
        <v>28</v>
      </c>
      <c r="D1940" s="3" t="s">
        <v>88</v>
      </c>
      <c r="E1940" s="3" t="s">
        <v>89</v>
      </c>
      <c r="F1940" s="3" t="s">
        <v>57</v>
      </c>
      <c r="G1940" s="3" t="n">
        <v>5</v>
      </c>
      <c r="H1940" s="4" t="n">
        <v>12.99</v>
      </c>
      <c r="I1940" s="4" t="n">
        <v>4.5</v>
      </c>
      <c r="J1940" s="5" t="n">
        <v>0.15</v>
      </c>
      <c r="K1940" s="4" t="n">
        <f aca="false">G1940*H1940*(1-J1940)</f>
        <v>55.2075</v>
      </c>
      <c r="L1940" s="4" t="n">
        <f aca="false">G1940*I1940</f>
        <v>22.5</v>
      </c>
      <c r="M1940" s="4" t="n">
        <f aca="false">K1940-L1940</f>
        <v>32.7075</v>
      </c>
      <c r="N1940" s="6" t="n">
        <f aca="false">IF(K1940=0,0,M1940/K1940)</f>
        <v>0.592446678440429</v>
      </c>
      <c r="O1940" s="4" t="n">
        <f aca="false">(G1940*H1940)-K1940</f>
        <v>9.7425</v>
      </c>
      <c r="P1940" s="3" t="s">
        <v>21</v>
      </c>
    </row>
    <row r="1941" customFormat="false" ht="15" hidden="false" customHeight="false" outlineLevel="0" collapsed="false">
      <c r="A1941" s="7" t="n">
        <v>46089</v>
      </c>
      <c r="B1941" s="8" t="s">
        <v>27</v>
      </c>
      <c r="C1941" s="8" t="s">
        <v>28</v>
      </c>
      <c r="D1941" s="8" t="s">
        <v>90</v>
      </c>
      <c r="E1941" s="8" t="s">
        <v>91</v>
      </c>
      <c r="F1941" s="8" t="s">
        <v>26</v>
      </c>
      <c r="G1941" s="8" t="n">
        <v>21</v>
      </c>
      <c r="H1941" s="9" t="n">
        <v>29.99</v>
      </c>
      <c r="I1941" s="9" t="n">
        <v>11</v>
      </c>
      <c r="J1941" s="10" t="n">
        <v>0.2</v>
      </c>
      <c r="K1941" s="9" t="n">
        <f aca="false">G1941*H1941*(1-J1941)</f>
        <v>503.832</v>
      </c>
      <c r="L1941" s="9" t="n">
        <f aca="false">G1941*I1941</f>
        <v>231</v>
      </c>
      <c r="M1941" s="9" t="n">
        <f aca="false">K1941-L1941</f>
        <v>272.832</v>
      </c>
      <c r="N1941" s="11" t="n">
        <f aca="false">IF(K1941=0,0,M1941/K1941)</f>
        <v>0.541513837945982</v>
      </c>
      <c r="O1941" s="9" t="n">
        <f aca="false">(G1941*H1941)-K1941</f>
        <v>125.958</v>
      </c>
      <c r="P1941" s="8" t="s">
        <v>21</v>
      </c>
    </row>
    <row r="1942" customFormat="false" ht="15" hidden="false" customHeight="false" outlineLevel="0" collapsed="false">
      <c r="A1942" s="2" t="n">
        <v>46055</v>
      </c>
      <c r="B1942" s="3" t="s">
        <v>31</v>
      </c>
      <c r="C1942" s="3" t="s">
        <v>23</v>
      </c>
      <c r="D1942" s="3" t="s">
        <v>84</v>
      </c>
      <c r="E1942" s="3" t="s">
        <v>85</v>
      </c>
      <c r="F1942" s="3" t="s">
        <v>20</v>
      </c>
      <c r="G1942" s="3" t="n">
        <v>8</v>
      </c>
      <c r="H1942" s="4" t="n">
        <v>34.99</v>
      </c>
      <c r="I1942" s="4" t="n">
        <v>13</v>
      </c>
      <c r="J1942" s="5" t="n">
        <v>0.3</v>
      </c>
      <c r="K1942" s="4" t="n">
        <f aca="false">G1942*H1942*(1-J1942)</f>
        <v>195.944</v>
      </c>
      <c r="L1942" s="4" t="n">
        <f aca="false">G1942*I1942</f>
        <v>104</v>
      </c>
      <c r="M1942" s="4" t="n">
        <f aca="false">K1942-L1942</f>
        <v>91.944</v>
      </c>
      <c r="N1942" s="6" t="n">
        <f aca="false">IF(K1942=0,0,M1942/K1942)</f>
        <v>0.469236108275834</v>
      </c>
      <c r="O1942" s="4" t="n">
        <f aca="false">(G1942*H1942)-K1942</f>
        <v>83.976</v>
      </c>
      <c r="P1942" s="3" t="s">
        <v>21</v>
      </c>
    </row>
    <row r="1943" customFormat="false" ht="15" hidden="false" customHeight="false" outlineLevel="0" collapsed="false">
      <c r="A1943" s="7" t="n">
        <v>46043</v>
      </c>
      <c r="B1943" s="8" t="s">
        <v>41</v>
      </c>
      <c r="C1943" s="8" t="s">
        <v>28</v>
      </c>
      <c r="D1943" s="8" t="s">
        <v>51</v>
      </c>
      <c r="E1943" s="8" t="s">
        <v>52</v>
      </c>
      <c r="F1943" s="8" t="s">
        <v>50</v>
      </c>
      <c r="G1943" s="8" t="n">
        <v>7</v>
      </c>
      <c r="H1943" s="9" t="n">
        <v>19.99</v>
      </c>
      <c r="I1943" s="9" t="n">
        <v>7</v>
      </c>
      <c r="J1943" s="10" t="n">
        <v>0.3</v>
      </c>
      <c r="K1943" s="9" t="n">
        <f aca="false">G1943*H1943*(1-J1943)</f>
        <v>97.951</v>
      </c>
      <c r="L1943" s="9" t="n">
        <f aca="false">G1943*I1943</f>
        <v>49</v>
      </c>
      <c r="M1943" s="9" t="n">
        <f aca="false">K1943-L1943</f>
        <v>48.951</v>
      </c>
      <c r="N1943" s="11" t="n">
        <f aca="false">IF(K1943=0,0,M1943/K1943)</f>
        <v>0.499749874937469</v>
      </c>
      <c r="O1943" s="9" t="n">
        <f aca="false">(G1943*H1943)-K1943</f>
        <v>41.979</v>
      </c>
      <c r="P1943" s="8" t="s">
        <v>21</v>
      </c>
    </row>
    <row r="1944" customFormat="false" ht="15" hidden="false" customHeight="false" outlineLevel="0" collapsed="false">
      <c r="A1944" s="2" t="n">
        <v>46036</v>
      </c>
      <c r="B1944" s="3" t="s">
        <v>31</v>
      </c>
      <c r="C1944" s="3" t="s">
        <v>23</v>
      </c>
      <c r="D1944" s="3" t="s">
        <v>46</v>
      </c>
      <c r="E1944" s="3" t="s">
        <v>47</v>
      </c>
      <c r="F1944" s="3" t="s">
        <v>20</v>
      </c>
      <c r="G1944" s="3" t="n">
        <v>9</v>
      </c>
      <c r="H1944" s="4" t="n">
        <v>44.99</v>
      </c>
      <c r="I1944" s="4" t="n">
        <v>18</v>
      </c>
      <c r="J1944" s="5" t="n">
        <v>0</v>
      </c>
      <c r="K1944" s="4" t="n">
        <f aca="false">G1944*H1944*(1-J1944)</f>
        <v>404.91</v>
      </c>
      <c r="L1944" s="4" t="n">
        <f aca="false">G1944*I1944</f>
        <v>162</v>
      </c>
      <c r="M1944" s="4" t="n">
        <f aca="false">K1944-L1944</f>
        <v>242.91</v>
      </c>
      <c r="N1944" s="6" t="n">
        <f aca="false">IF(K1944=0,0,M1944/K1944)</f>
        <v>0.599911091353634</v>
      </c>
      <c r="O1944" s="4" t="n">
        <f aca="false">(G1944*H1944)-K1944</f>
        <v>0</v>
      </c>
      <c r="P1944" s="3" t="s">
        <v>21</v>
      </c>
    </row>
    <row r="1945" customFormat="false" ht="15" hidden="false" customHeight="false" outlineLevel="0" collapsed="false">
      <c r="A1945" s="7" t="n">
        <v>46045</v>
      </c>
      <c r="B1945" s="8" t="s">
        <v>27</v>
      </c>
      <c r="C1945" s="8" t="s">
        <v>28</v>
      </c>
      <c r="D1945" s="8" t="s">
        <v>78</v>
      </c>
      <c r="E1945" s="8" t="s">
        <v>79</v>
      </c>
      <c r="F1945" s="8" t="s">
        <v>20</v>
      </c>
      <c r="G1945" s="8" t="n">
        <v>4</v>
      </c>
      <c r="H1945" s="9" t="n">
        <v>39.99</v>
      </c>
      <c r="I1945" s="9" t="n">
        <v>16</v>
      </c>
      <c r="J1945" s="10" t="n">
        <v>0.25</v>
      </c>
      <c r="K1945" s="9" t="n">
        <f aca="false">G1945*H1945*(1-J1945)</f>
        <v>119.97</v>
      </c>
      <c r="L1945" s="9" t="n">
        <f aca="false">G1945*I1945</f>
        <v>64</v>
      </c>
      <c r="M1945" s="9" t="n">
        <f aca="false">K1945-L1945</f>
        <v>55.97</v>
      </c>
      <c r="N1945" s="11" t="n">
        <f aca="false">IF(K1945=0,0,M1945/K1945)</f>
        <v>0.466533299991665</v>
      </c>
      <c r="O1945" s="9" t="n">
        <f aca="false">(G1945*H1945)-K1945</f>
        <v>39.99</v>
      </c>
      <c r="P1945" s="8" t="s">
        <v>21</v>
      </c>
    </row>
    <row r="1946" customFormat="false" ht="15" hidden="false" customHeight="false" outlineLevel="0" collapsed="false">
      <c r="A1946" s="2" t="n">
        <v>46093</v>
      </c>
      <c r="B1946" s="3" t="s">
        <v>64</v>
      </c>
      <c r="C1946" s="3" t="s">
        <v>65</v>
      </c>
      <c r="D1946" s="3" t="s">
        <v>82</v>
      </c>
      <c r="E1946" s="3" t="s">
        <v>83</v>
      </c>
      <c r="F1946" s="3" t="s">
        <v>26</v>
      </c>
      <c r="G1946" s="3" t="n">
        <v>11</v>
      </c>
      <c r="H1946" s="4" t="n">
        <v>44.99</v>
      </c>
      <c r="I1946" s="4" t="n">
        <v>18</v>
      </c>
      <c r="J1946" s="5" t="n">
        <v>0</v>
      </c>
      <c r="K1946" s="4" t="n">
        <f aca="false">G1946*H1946*(1-J1946)</f>
        <v>494.89</v>
      </c>
      <c r="L1946" s="4" t="n">
        <f aca="false">G1946*I1946</f>
        <v>198</v>
      </c>
      <c r="M1946" s="4" t="n">
        <f aca="false">K1946-L1946</f>
        <v>296.89</v>
      </c>
      <c r="N1946" s="6" t="n">
        <f aca="false">IF(K1946=0,0,M1946/K1946)</f>
        <v>0.599911091353634</v>
      </c>
      <c r="O1946" s="4" t="n">
        <f aca="false">(G1946*H1946)-K1946</f>
        <v>0</v>
      </c>
      <c r="P1946" s="3" t="s">
        <v>21</v>
      </c>
    </row>
    <row r="1947" customFormat="false" ht="15" hidden="false" customHeight="false" outlineLevel="0" collapsed="false">
      <c r="A1947" s="7" t="n">
        <v>46072</v>
      </c>
      <c r="B1947" s="8" t="s">
        <v>41</v>
      </c>
      <c r="C1947" s="8" t="s">
        <v>28</v>
      </c>
      <c r="D1947" s="8" t="s">
        <v>53</v>
      </c>
      <c r="E1947" s="8" t="s">
        <v>54</v>
      </c>
      <c r="F1947" s="8" t="s">
        <v>50</v>
      </c>
      <c r="G1947" s="8" t="n">
        <v>20</v>
      </c>
      <c r="H1947" s="9" t="n">
        <v>22.99</v>
      </c>
      <c r="I1947" s="9" t="n">
        <v>8</v>
      </c>
      <c r="J1947" s="10" t="n">
        <v>0</v>
      </c>
      <c r="K1947" s="9" t="n">
        <f aca="false">G1947*H1947*(1-J1947)</f>
        <v>459.8</v>
      </c>
      <c r="L1947" s="9" t="n">
        <f aca="false">G1947*I1947</f>
        <v>160</v>
      </c>
      <c r="M1947" s="9" t="n">
        <f aca="false">K1947-L1947</f>
        <v>299.8</v>
      </c>
      <c r="N1947" s="11" t="n">
        <f aca="false">IF(K1947=0,0,M1947/K1947)</f>
        <v>0.652022618529796</v>
      </c>
      <c r="O1947" s="9" t="n">
        <f aca="false">(G1947*H1947)-K1947</f>
        <v>0</v>
      </c>
      <c r="P1947" s="8" t="s">
        <v>21</v>
      </c>
    </row>
    <row r="1948" customFormat="false" ht="15" hidden="false" customHeight="false" outlineLevel="0" collapsed="false">
      <c r="A1948" s="2" t="n">
        <v>46062</v>
      </c>
      <c r="B1948" s="3" t="s">
        <v>16</v>
      </c>
      <c r="C1948" s="3" t="s">
        <v>17</v>
      </c>
      <c r="D1948" s="3" t="s">
        <v>61</v>
      </c>
      <c r="E1948" s="3" t="s">
        <v>62</v>
      </c>
      <c r="F1948" s="3" t="s">
        <v>34</v>
      </c>
      <c r="G1948" s="3" t="n">
        <v>15</v>
      </c>
      <c r="H1948" s="4" t="n">
        <v>14.99</v>
      </c>
      <c r="I1948" s="4" t="n">
        <v>4.5</v>
      </c>
      <c r="J1948" s="5" t="n">
        <v>0.25</v>
      </c>
      <c r="K1948" s="4" t="n">
        <f aca="false">G1948*H1948*(1-J1948)</f>
        <v>168.6375</v>
      </c>
      <c r="L1948" s="4" t="n">
        <f aca="false">G1948*I1948</f>
        <v>67.5</v>
      </c>
      <c r="M1948" s="4" t="n">
        <f aca="false">K1948-L1948</f>
        <v>101.1375</v>
      </c>
      <c r="N1948" s="6" t="n">
        <f aca="false">IF(K1948=0,0,M1948/K1948)</f>
        <v>0.599733155436958</v>
      </c>
      <c r="O1948" s="4" t="n">
        <f aca="false">(G1948*H1948)-K1948</f>
        <v>56.2125</v>
      </c>
      <c r="P1948" s="3" t="s">
        <v>21</v>
      </c>
    </row>
    <row r="1949" customFormat="false" ht="15" hidden="false" customHeight="false" outlineLevel="0" collapsed="false">
      <c r="A1949" s="7" t="n">
        <v>46046</v>
      </c>
      <c r="B1949" s="8" t="s">
        <v>64</v>
      </c>
      <c r="C1949" s="8" t="s">
        <v>65</v>
      </c>
      <c r="D1949" s="8" t="s">
        <v>80</v>
      </c>
      <c r="E1949" s="8" t="s">
        <v>81</v>
      </c>
      <c r="F1949" s="8" t="s">
        <v>57</v>
      </c>
      <c r="G1949" s="8" t="n">
        <v>19</v>
      </c>
      <c r="H1949" s="9" t="n">
        <v>17.99</v>
      </c>
      <c r="I1949" s="9" t="n">
        <v>6.5</v>
      </c>
      <c r="J1949" s="10" t="n">
        <v>0.3</v>
      </c>
      <c r="K1949" s="9" t="n">
        <f aca="false">G1949*H1949*(1-J1949)</f>
        <v>239.267</v>
      </c>
      <c r="L1949" s="9" t="n">
        <f aca="false">G1949*I1949</f>
        <v>123.5</v>
      </c>
      <c r="M1949" s="9" t="n">
        <f aca="false">K1949-L1949</f>
        <v>115.767</v>
      </c>
      <c r="N1949" s="11" t="n">
        <f aca="false">IF(K1949=0,0,M1949/K1949)</f>
        <v>0.483840228698483</v>
      </c>
      <c r="O1949" s="9" t="n">
        <f aca="false">(G1949*H1949)-K1949</f>
        <v>102.543</v>
      </c>
      <c r="P1949" s="8" t="s">
        <v>21</v>
      </c>
    </row>
    <row r="1950" customFormat="false" ht="15" hidden="false" customHeight="false" outlineLevel="0" collapsed="false">
      <c r="A1950" s="2" t="n">
        <v>46125</v>
      </c>
      <c r="B1950" s="3" t="s">
        <v>37</v>
      </c>
      <c r="C1950" s="3" t="s">
        <v>17</v>
      </c>
      <c r="D1950" s="3" t="s">
        <v>66</v>
      </c>
      <c r="E1950" s="3" t="s">
        <v>67</v>
      </c>
      <c r="F1950" s="3" t="s">
        <v>57</v>
      </c>
      <c r="G1950" s="3" t="n">
        <v>7</v>
      </c>
      <c r="H1950" s="4" t="n">
        <v>14.99</v>
      </c>
      <c r="I1950" s="4" t="n">
        <v>5.5</v>
      </c>
      <c r="J1950" s="5" t="n">
        <v>0.1</v>
      </c>
      <c r="K1950" s="4" t="n">
        <f aca="false">G1950*H1950*(1-J1950)</f>
        <v>94.437</v>
      </c>
      <c r="L1950" s="4" t="n">
        <f aca="false">G1950*I1950</f>
        <v>38.5</v>
      </c>
      <c r="M1950" s="4" t="n">
        <f aca="false">K1950-L1950</f>
        <v>55.937</v>
      </c>
      <c r="N1950" s="6" t="n">
        <f aca="false">IF(K1950=0,0,M1950/K1950)</f>
        <v>0.592320806463568</v>
      </c>
      <c r="O1950" s="4" t="n">
        <f aca="false">(G1950*H1950)-K1950</f>
        <v>10.493</v>
      </c>
      <c r="P1950" s="3" t="s">
        <v>21</v>
      </c>
    </row>
    <row r="1951" customFormat="false" ht="15" hidden="false" customHeight="false" outlineLevel="0" collapsed="false">
      <c r="A1951" s="7" t="n">
        <v>46053</v>
      </c>
      <c r="B1951" s="8" t="s">
        <v>27</v>
      </c>
      <c r="C1951" s="8" t="s">
        <v>28</v>
      </c>
      <c r="D1951" s="8" t="s">
        <v>46</v>
      </c>
      <c r="E1951" s="8" t="s">
        <v>47</v>
      </c>
      <c r="F1951" s="8" t="s">
        <v>20</v>
      </c>
      <c r="G1951" s="8" t="n">
        <v>2</v>
      </c>
      <c r="H1951" s="9" t="n">
        <v>44.99</v>
      </c>
      <c r="I1951" s="9" t="n">
        <v>18</v>
      </c>
      <c r="J1951" s="10" t="n">
        <v>0</v>
      </c>
      <c r="K1951" s="9" t="n">
        <f aca="false">G1951*H1951*(1-J1951)</f>
        <v>89.98</v>
      </c>
      <c r="L1951" s="9" t="n">
        <f aca="false">G1951*I1951</f>
        <v>36</v>
      </c>
      <c r="M1951" s="9" t="n">
        <f aca="false">K1951-L1951</f>
        <v>53.98</v>
      </c>
      <c r="N1951" s="11" t="n">
        <f aca="false">IF(K1951=0,0,M1951/K1951)</f>
        <v>0.599911091353634</v>
      </c>
      <c r="O1951" s="9" t="n">
        <f aca="false">(G1951*H1951)-K1951</f>
        <v>0</v>
      </c>
      <c r="P1951" s="8" t="s">
        <v>21</v>
      </c>
    </row>
    <row r="1952" customFormat="false" ht="15" hidden="false" customHeight="false" outlineLevel="0" collapsed="false">
      <c r="A1952" s="2" t="n">
        <v>46072</v>
      </c>
      <c r="B1952" s="3" t="s">
        <v>58</v>
      </c>
      <c r="C1952" s="3" t="s">
        <v>58</v>
      </c>
      <c r="D1952" s="3" t="s">
        <v>42</v>
      </c>
      <c r="E1952" s="3" t="s">
        <v>43</v>
      </c>
      <c r="F1952" s="3" t="s">
        <v>34</v>
      </c>
      <c r="G1952" s="3" t="n">
        <v>18</v>
      </c>
      <c r="H1952" s="4" t="n">
        <v>11.99</v>
      </c>
      <c r="I1952" s="4" t="n">
        <v>3.5</v>
      </c>
      <c r="J1952" s="5" t="n">
        <v>0.05</v>
      </c>
      <c r="K1952" s="4" t="n">
        <f aca="false">G1952*H1952*(1-J1952)</f>
        <v>205.029</v>
      </c>
      <c r="L1952" s="4" t="n">
        <f aca="false">G1952*I1952</f>
        <v>63</v>
      </c>
      <c r="M1952" s="4" t="n">
        <f aca="false">K1952-L1952</f>
        <v>142.029</v>
      </c>
      <c r="N1952" s="6" t="n">
        <f aca="false">IF(K1952=0,0,M1952/K1952)</f>
        <v>0.692726394802687</v>
      </c>
      <c r="O1952" s="4" t="n">
        <f aca="false">(G1952*H1952)-K1952</f>
        <v>10.791</v>
      </c>
      <c r="P1952" s="3" t="s">
        <v>21</v>
      </c>
    </row>
    <row r="1953" customFormat="false" ht="15" hidden="false" customHeight="false" outlineLevel="0" collapsed="false">
      <c r="A1953" s="7" t="n">
        <v>46099</v>
      </c>
      <c r="B1953" s="8" t="s">
        <v>64</v>
      </c>
      <c r="C1953" s="8" t="s">
        <v>65</v>
      </c>
      <c r="D1953" s="8" t="s">
        <v>84</v>
      </c>
      <c r="E1953" s="8" t="s">
        <v>85</v>
      </c>
      <c r="F1953" s="8" t="s">
        <v>20</v>
      </c>
      <c r="G1953" s="8" t="n">
        <v>3</v>
      </c>
      <c r="H1953" s="9" t="n">
        <v>34.99</v>
      </c>
      <c r="I1953" s="9" t="n">
        <v>13</v>
      </c>
      <c r="J1953" s="10" t="n">
        <v>0.05</v>
      </c>
      <c r="K1953" s="9" t="n">
        <f aca="false">G1953*H1953*(1-J1953)</f>
        <v>99.7215</v>
      </c>
      <c r="L1953" s="9" t="n">
        <f aca="false">G1953*I1953</f>
        <v>39</v>
      </c>
      <c r="M1953" s="9" t="n">
        <f aca="false">K1953-L1953</f>
        <v>60.7215</v>
      </c>
      <c r="N1953" s="11" t="n">
        <f aca="false">IF(K1953=0,0,M1953/K1953)</f>
        <v>0.608910816624299</v>
      </c>
      <c r="O1953" s="9" t="n">
        <f aca="false">(G1953*H1953)-K1953</f>
        <v>5.24850000000001</v>
      </c>
      <c r="P1953" s="8" t="s">
        <v>21</v>
      </c>
    </row>
    <row r="1954" customFormat="false" ht="15" hidden="false" customHeight="false" outlineLevel="0" collapsed="false">
      <c r="A1954" s="2" t="n">
        <v>46111</v>
      </c>
      <c r="B1954" s="3" t="s">
        <v>64</v>
      </c>
      <c r="C1954" s="3" t="s">
        <v>65</v>
      </c>
      <c r="D1954" s="3" t="s">
        <v>78</v>
      </c>
      <c r="E1954" s="3" t="s">
        <v>79</v>
      </c>
      <c r="F1954" s="3" t="s">
        <v>20</v>
      </c>
      <c r="G1954" s="3" t="n">
        <v>13</v>
      </c>
      <c r="H1954" s="4" t="n">
        <v>39.99</v>
      </c>
      <c r="I1954" s="4" t="n">
        <v>16</v>
      </c>
      <c r="J1954" s="5" t="n">
        <v>0.1</v>
      </c>
      <c r="K1954" s="4" t="n">
        <f aca="false">G1954*H1954*(1-J1954)</f>
        <v>467.883</v>
      </c>
      <c r="L1954" s="4" t="n">
        <f aca="false">G1954*I1954</f>
        <v>208</v>
      </c>
      <c r="M1954" s="4" t="n">
        <f aca="false">K1954-L1954</f>
        <v>259.883</v>
      </c>
      <c r="N1954" s="6" t="n">
        <f aca="false">IF(K1954=0,0,M1954/K1954)</f>
        <v>0.555444416659721</v>
      </c>
      <c r="O1954" s="4" t="n">
        <f aca="false">(G1954*H1954)-K1954</f>
        <v>51.987</v>
      </c>
      <c r="P1954" s="3" t="s">
        <v>21</v>
      </c>
    </row>
    <row r="1955" customFormat="false" ht="15" hidden="false" customHeight="false" outlineLevel="0" collapsed="false">
      <c r="A1955" s="7" t="n">
        <v>46083</v>
      </c>
      <c r="B1955" s="8" t="s">
        <v>41</v>
      </c>
      <c r="C1955" s="8" t="s">
        <v>28</v>
      </c>
      <c r="D1955" s="8" t="s">
        <v>84</v>
      </c>
      <c r="E1955" s="8" t="s">
        <v>85</v>
      </c>
      <c r="F1955" s="8" t="s">
        <v>20</v>
      </c>
      <c r="G1955" s="8" t="n">
        <v>30</v>
      </c>
      <c r="H1955" s="9" t="n">
        <v>34.99</v>
      </c>
      <c r="I1955" s="9" t="n">
        <v>13</v>
      </c>
      <c r="J1955" s="10" t="n">
        <v>0.25</v>
      </c>
      <c r="K1955" s="9" t="n">
        <f aca="false">G1955*H1955*(1-J1955)</f>
        <v>787.275</v>
      </c>
      <c r="L1955" s="9" t="n">
        <f aca="false">G1955*I1955</f>
        <v>390</v>
      </c>
      <c r="M1955" s="9" t="n">
        <f aca="false">K1955-L1955</f>
        <v>397.275</v>
      </c>
      <c r="N1955" s="11" t="n">
        <f aca="false">IF(K1955=0,0,M1955/K1955)</f>
        <v>0.504620367724112</v>
      </c>
      <c r="O1955" s="9" t="n">
        <f aca="false">(G1955*H1955)-K1955</f>
        <v>262.425</v>
      </c>
      <c r="P1955" s="8" t="s">
        <v>21</v>
      </c>
    </row>
    <row r="1956" customFormat="false" ht="15" hidden="false" customHeight="false" outlineLevel="0" collapsed="false">
      <c r="A1956" s="2" t="n">
        <v>46120</v>
      </c>
      <c r="B1956" s="3" t="s">
        <v>16</v>
      </c>
      <c r="C1956" s="3" t="s">
        <v>17</v>
      </c>
      <c r="D1956" s="3" t="s">
        <v>70</v>
      </c>
      <c r="E1956" s="3" t="s">
        <v>71</v>
      </c>
      <c r="F1956" s="3" t="s">
        <v>20</v>
      </c>
      <c r="G1956" s="3" t="n">
        <v>22</v>
      </c>
      <c r="H1956" s="4" t="n">
        <v>49.99</v>
      </c>
      <c r="I1956" s="4" t="n">
        <v>19</v>
      </c>
      <c r="J1956" s="5" t="n">
        <v>0.15</v>
      </c>
      <c r="K1956" s="4" t="n">
        <f aca="false">G1956*H1956*(1-J1956)</f>
        <v>934.813</v>
      </c>
      <c r="L1956" s="4" t="n">
        <f aca="false">G1956*I1956</f>
        <v>418</v>
      </c>
      <c r="M1956" s="4" t="n">
        <f aca="false">K1956-L1956</f>
        <v>516.813</v>
      </c>
      <c r="N1956" s="6" t="n">
        <f aca="false">IF(K1956=0,0,M1956/K1956)</f>
        <v>0.552851746819952</v>
      </c>
      <c r="O1956" s="4" t="n">
        <f aca="false">(G1956*H1956)-K1956</f>
        <v>164.967</v>
      </c>
      <c r="P1956" s="3" t="s">
        <v>21</v>
      </c>
    </row>
    <row r="1957" customFormat="false" ht="15" hidden="false" customHeight="false" outlineLevel="0" collapsed="false">
      <c r="A1957" s="7" t="n">
        <v>46131</v>
      </c>
      <c r="B1957" s="8" t="s">
        <v>22</v>
      </c>
      <c r="C1957" s="8" t="s">
        <v>23</v>
      </c>
      <c r="D1957" s="8" t="s">
        <v>66</v>
      </c>
      <c r="E1957" s="8" t="s">
        <v>67</v>
      </c>
      <c r="F1957" s="8" t="s">
        <v>57</v>
      </c>
      <c r="G1957" s="8" t="n">
        <v>2</v>
      </c>
      <c r="H1957" s="9" t="n">
        <v>14.99</v>
      </c>
      <c r="I1957" s="9" t="n">
        <v>5.5</v>
      </c>
      <c r="J1957" s="10" t="n">
        <v>0.3</v>
      </c>
      <c r="K1957" s="9" t="n">
        <f aca="false">G1957*H1957*(1-J1957)</f>
        <v>20.986</v>
      </c>
      <c r="L1957" s="9" t="n">
        <f aca="false">G1957*I1957</f>
        <v>11</v>
      </c>
      <c r="M1957" s="9" t="n">
        <f aca="false">K1957-L1957</f>
        <v>9.986</v>
      </c>
      <c r="N1957" s="11" t="n">
        <f aca="false">IF(K1957=0,0,M1957/K1957)</f>
        <v>0.475841036881731</v>
      </c>
      <c r="O1957" s="9" t="n">
        <f aca="false">(G1957*H1957)-K1957</f>
        <v>8.994</v>
      </c>
      <c r="P1957" s="8" t="s">
        <v>21</v>
      </c>
    </row>
    <row r="1958" customFormat="false" ht="15" hidden="false" customHeight="false" outlineLevel="0" collapsed="false">
      <c r="A1958" s="2" t="n">
        <v>46055</v>
      </c>
      <c r="B1958" s="3" t="s">
        <v>58</v>
      </c>
      <c r="C1958" s="3" t="s">
        <v>58</v>
      </c>
      <c r="D1958" s="3" t="s">
        <v>61</v>
      </c>
      <c r="E1958" s="3" t="s">
        <v>62</v>
      </c>
      <c r="F1958" s="3" t="s">
        <v>34</v>
      </c>
      <c r="G1958" s="3" t="n">
        <v>5</v>
      </c>
      <c r="H1958" s="4" t="n">
        <v>14.99</v>
      </c>
      <c r="I1958" s="4" t="n">
        <v>4.5</v>
      </c>
      <c r="J1958" s="5" t="n">
        <v>0</v>
      </c>
      <c r="K1958" s="4" t="n">
        <f aca="false">G1958*H1958*(1-J1958)</f>
        <v>74.95</v>
      </c>
      <c r="L1958" s="4" t="n">
        <f aca="false">G1958*I1958</f>
        <v>22.5</v>
      </c>
      <c r="M1958" s="4" t="n">
        <f aca="false">K1958-L1958</f>
        <v>52.45</v>
      </c>
      <c r="N1958" s="6" t="n">
        <f aca="false">IF(K1958=0,0,M1958/K1958)</f>
        <v>0.699799866577719</v>
      </c>
      <c r="O1958" s="4" t="n">
        <f aca="false">(G1958*H1958)-K1958</f>
        <v>0</v>
      </c>
      <c r="P1958" s="3" t="s">
        <v>21</v>
      </c>
    </row>
    <row r="1959" customFormat="false" ht="15" hidden="false" customHeight="false" outlineLevel="0" collapsed="false">
      <c r="A1959" s="7" t="n">
        <v>46129</v>
      </c>
      <c r="B1959" s="8" t="s">
        <v>27</v>
      </c>
      <c r="C1959" s="8" t="s">
        <v>28</v>
      </c>
      <c r="D1959" s="8" t="s">
        <v>48</v>
      </c>
      <c r="E1959" s="8" t="s">
        <v>49</v>
      </c>
      <c r="F1959" s="8" t="s">
        <v>50</v>
      </c>
      <c r="G1959" s="8" t="n">
        <v>30</v>
      </c>
      <c r="H1959" s="9" t="n">
        <v>59.99</v>
      </c>
      <c r="I1959" s="9" t="n">
        <v>20</v>
      </c>
      <c r="J1959" s="10" t="n">
        <v>0</v>
      </c>
      <c r="K1959" s="9" t="n">
        <f aca="false">G1959*H1959*(1-J1959)</f>
        <v>1799.7</v>
      </c>
      <c r="L1959" s="9" t="n">
        <f aca="false">G1959*I1959</f>
        <v>600</v>
      </c>
      <c r="M1959" s="9" t="n">
        <f aca="false">K1959-L1959</f>
        <v>1199.7</v>
      </c>
      <c r="N1959" s="11" t="n">
        <f aca="false">IF(K1959=0,0,M1959/K1959)</f>
        <v>0.666611101850308</v>
      </c>
      <c r="O1959" s="9" t="n">
        <f aca="false">(G1959*H1959)-K1959</f>
        <v>0</v>
      </c>
      <c r="P1959" s="8" t="s">
        <v>21</v>
      </c>
    </row>
    <row r="1960" customFormat="false" ht="15" hidden="false" customHeight="false" outlineLevel="0" collapsed="false">
      <c r="A1960" s="2" t="n">
        <v>46101</v>
      </c>
      <c r="B1960" s="3" t="s">
        <v>31</v>
      </c>
      <c r="C1960" s="3" t="s">
        <v>23</v>
      </c>
      <c r="D1960" s="3" t="s">
        <v>55</v>
      </c>
      <c r="E1960" s="3" t="s">
        <v>56</v>
      </c>
      <c r="F1960" s="3" t="s">
        <v>57</v>
      </c>
      <c r="G1960" s="3" t="n">
        <v>4</v>
      </c>
      <c r="H1960" s="4" t="n">
        <v>29.99</v>
      </c>
      <c r="I1960" s="4" t="n">
        <v>11</v>
      </c>
      <c r="J1960" s="5" t="n">
        <v>0.15</v>
      </c>
      <c r="K1960" s="4" t="n">
        <f aca="false">G1960*H1960*(1-J1960)</f>
        <v>101.966</v>
      </c>
      <c r="L1960" s="4" t="n">
        <f aca="false">G1960*I1960</f>
        <v>44</v>
      </c>
      <c r="M1960" s="4" t="n">
        <f aca="false">K1960-L1960</f>
        <v>57.966</v>
      </c>
      <c r="N1960" s="6" t="n">
        <f aca="false">IF(K1960=0,0,M1960/K1960)</f>
        <v>0.568483612184454</v>
      </c>
      <c r="O1960" s="4" t="n">
        <f aca="false">(G1960*H1960)-K1960</f>
        <v>17.994</v>
      </c>
      <c r="P1960" s="3" t="s">
        <v>21</v>
      </c>
    </row>
    <row r="1961" customFormat="false" ht="15" hidden="false" customHeight="false" outlineLevel="0" collapsed="false">
      <c r="A1961" s="7" t="n">
        <v>46059</v>
      </c>
      <c r="B1961" s="8" t="s">
        <v>27</v>
      </c>
      <c r="C1961" s="8" t="s">
        <v>28</v>
      </c>
      <c r="D1961" s="8" t="s">
        <v>72</v>
      </c>
      <c r="E1961" s="8" t="s">
        <v>73</v>
      </c>
      <c r="F1961" s="8" t="s">
        <v>57</v>
      </c>
      <c r="G1961" s="8" t="n">
        <v>11</v>
      </c>
      <c r="H1961" s="9" t="n">
        <v>19.99</v>
      </c>
      <c r="I1961" s="9" t="n">
        <v>7</v>
      </c>
      <c r="J1961" s="10" t="n">
        <v>0.15</v>
      </c>
      <c r="K1961" s="9" t="n">
        <f aca="false">G1961*H1961*(1-J1961)</f>
        <v>186.9065</v>
      </c>
      <c r="L1961" s="9" t="n">
        <f aca="false">G1961*I1961</f>
        <v>77</v>
      </c>
      <c r="M1961" s="9" t="n">
        <f aca="false">K1961-L1961</f>
        <v>109.9065</v>
      </c>
      <c r="N1961" s="11" t="n">
        <f aca="false">IF(K1961=0,0,M1961/K1961)</f>
        <v>0.588029308772033</v>
      </c>
      <c r="O1961" s="9" t="n">
        <f aca="false">(G1961*H1961)-K1961</f>
        <v>32.9835</v>
      </c>
      <c r="P1961" s="8" t="s">
        <v>21</v>
      </c>
    </row>
    <row r="1962" customFormat="false" ht="15" hidden="false" customHeight="false" outlineLevel="0" collapsed="false">
      <c r="A1962" s="2" t="n">
        <v>46060</v>
      </c>
      <c r="B1962" s="3" t="s">
        <v>58</v>
      </c>
      <c r="C1962" s="3" t="s">
        <v>58</v>
      </c>
      <c r="D1962" s="3" t="s">
        <v>55</v>
      </c>
      <c r="E1962" s="3" t="s">
        <v>56</v>
      </c>
      <c r="F1962" s="3" t="s">
        <v>57</v>
      </c>
      <c r="G1962" s="3" t="n">
        <v>20</v>
      </c>
      <c r="H1962" s="4" t="n">
        <v>29.99</v>
      </c>
      <c r="I1962" s="4" t="n">
        <v>11</v>
      </c>
      <c r="J1962" s="5" t="n">
        <v>0.1</v>
      </c>
      <c r="K1962" s="4" t="n">
        <f aca="false">G1962*H1962*(1-J1962)</f>
        <v>539.82</v>
      </c>
      <c r="L1962" s="4" t="n">
        <f aca="false">G1962*I1962</f>
        <v>220</v>
      </c>
      <c r="M1962" s="4" t="n">
        <f aca="false">K1962-L1962</f>
        <v>319.82</v>
      </c>
      <c r="N1962" s="6" t="n">
        <f aca="false">IF(K1962=0,0,M1962/K1962)</f>
        <v>0.592456744840873</v>
      </c>
      <c r="O1962" s="4" t="n">
        <f aca="false">(G1962*H1962)-K1962</f>
        <v>59.98</v>
      </c>
      <c r="P1962" s="3" t="s">
        <v>21</v>
      </c>
    </row>
    <row r="1963" customFormat="false" ht="15" hidden="false" customHeight="false" outlineLevel="0" collapsed="false">
      <c r="A1963" s="7" t="n">
        <v>46098</v>
      </c>
      <c r="B1963" s="8" t="s">
        <v>31</v>
      </c>
      <c r="C1963" s="8" t="s">
        <v>23</v>
      </c>
      <c r="D1963" s="8" t="s">
        <v>70</v>
      </c>
      <c r="E1963" s="8" t="s">
        <v>71</v>
      </c>
      <c r="F1963" s="8" t="s">
        <v>20</v>
      </c>
      <c r="G1963" s="8" t="n">
        <v>27</v>
      </c>
      <c r="H1963" s="9" t="n">
        <v>49.99</v>
      </c>
      <c r="I1963" s="9" t="n">
        <v>19</v>
      </c>
      <c r="J1963" s="10" t="n">
        <v>0.1</v>
      </c>
      <c r="K1963" s="9" t="n">
        <f aca="false">G1963*H1963*(1-J1963)</f>
        <v>1214.757</v>
      </c>
      <c r="L1963" s="9" t="n">
        <f aca="false">G1963*I1963</f>
        <v>513</v>
      </c>
      <c r="M1963" s="9" t="n">
        <f aca="false">K1963-L1963</f>
        <v>701.757</v>
      </c>
      <c r="N1963" s="11" t="n">
        <f aca="false">IF(K1963=0,0,M1963/K1963)</f>
        <v>0.577693316441066</v>
      </c>
      <c r="O1963" s="9" t="n">
        <f aca="false">(G1963*H1963)-K1963</f>
        <v>134.973</v>
      </c>
      <c r="P1963" s="8" t="s">
        <v>21</v>
      </c>
    </row>
    <row r="1964" customFormat="false" ht="15" hidden="false" customHeight="false" outlineLevel="0" collapsed="false">
      <c r="A1964" s="2" t="n">
        <v>46037</v>
      </c>
      <c r="B1964" s="3" t="s">
        <v>41</v>
      </c>
      <c r="C1964" s="3" t="s">
        <v>28</v>
      </c>
      <c r="D1964" s="3" t="s">
        <v>95</v>
      </c>
      <c r="E1964" s="3" t="s">
        <v>96</v>
      </c>
      <c r="F1964" s="3" t="s">
        <v>50</v>
      </c>
      <c r="G1964" s="3" t="n">
        <v>4</v>
      </c>
      <c r="H1964" s="4" t="n">
        <v>34.99</v>
      </c>
      <c r="I1964" s="4" t="n">
        <v>12</v>
      </c>
      <c r="J1964" s="5" t="n">
        <v>0.05</v>
      </c>
      <c r="K1964" s="4" t="n">
        <f aca="false">G1964*H1964*(1-J1964)</f>
        <v>132.962</v>
      </c>
      <c r="L1964" s="4" t="n">
        <f aca="false">G1964*I1964</f>
        <v>48</v>
      </c>
      <c r="M1964" s="4" t="n">
        <f aca="false">K1964-L1964</f>
        <v>84.962</v>
      </c>
      <c r="N1964" s="6" t="n">
        <f aca="false">IF(K1964=0,0,M1964/K1964)</f>
        <v>0.638994599960891</v>
      </c>
      <c r="O1964" s="4" t="n">
        <f aca="false">(G1964*H1964)-K1964</f>
        <v>6.99800000000002</v>
      </c>
      <c r="P1964" s="3" t="s">
        <v>21</v>
      </c>
    </row>
    <row r="1965" customFormat="false" ht="15" hidden="false" customHeight="false" outlineLevel="0" collapsed="false">
      <c r="A1965" s="7" t="n">
        <v>46047</v>
      </c>
      <c r="B1965" s="8" t="s">
        <v>37</v>
      </c>
      <c r="C1965" s="8" t="s">
        <v>17</v>
      </c>
      <c r="D1965" s="8" t="s">
        <v>88</v>
      </c>
      <c r="E1965" s="8" t="s">
        <v>89</v>
      </c>
      <c r="F1965" s="8" t="s">
        <v>57</v>
      </c>
      <c r="G1965" s="8" t="n">
        <v>13</v>
      </c>
      <c r="H1965" s="9" t="n">
        <v>12.99</v>
      </c>
      <c r="I1965" s="9" t="n">
        <v>4.5</v>
      </c>
      <c r="J1965" s="10" t="n">
        <v>0</v>
      </c>
      <c r="K1965" s="9" t="n">
        <f aca="false">G1965*H1965*(1-J1965)</f>
        <v>168.87</v>
      </c>
      <c r="L1965" s="9" t="n">
        <f aca="false">G1965*I1965</f>
        <v>58.5</v>
      </c>
      <c r="M1965" s="9" t="n">
        <f aca="false">K1965-L1965</f>
        <v>110.37</v>
      </c>
      <c r="N1965" s="11" t="n">
        <f aca="false">IF(K1965=0,0,M1965/K1965)</f>
        <v>0.653579676674365</v>
      </c>
      <c r="O1965" s="9" t="n">
        <f aca="false">(G1965*H1965)-K1965</f>
        <v>0</v>
      </c>
      <c r="P1965" s="8" t="s">
        <v>21</v>
      </c>
    </row>
    <row r="1966" customFormat="false" ht="15" hidden="false" customHeight="false" outlineLevel="0" collapsed="false">
      <c r="A1966" s="2" t="n">
        <v>46070</v>
      </c>
      <c r="B1966" s="3" t="s">
        <v>58</v>
      </c>
      <c r="C1966" s="3" t="s">
        <v>58</v>
      </c>
      <c r="D1966" s="3" t="s">
        <v>86</v>
      </c>
      <c r="E1966" s="3" t="s">
        <v>87</v>
      </c>
      <c r="F1966" s="3" t="s">
        <v>40</v>
      </c>
      <c r="G1966" s="3" t="n">
        <v>17</v>
      </c>
      <c r="H1966" s="4" t="n">
        <v>16.99</v>
      </c>
      <c r="I1966" s="4" t="n">
        <v>5.5</v>
      </c>
      <c r="J1966" s="5" t="n">
        <v>0.15</v>
      </c>
      <c r="K1966" s="4" t="n">
        <f aca="false">G1966*H1966*(1-J1966)</f>
        <v>245.5055</v>
      </c>
      <c r="L1966" s="4" t="n">
        <f aca="false">G1966*I1966</f>
        <v>93.5</v>
      </c>
      <c r="M1966" s="4" t="n">
        <f aca="false">K1966-L1966</f>
        <v>152.0055</v>
      </c>
      <c r="N1966" s="6" t="n">
        <f aca="false">IF(K1966=0,0,M1966/K1966)</f>
        <v>0.619153135062147</v>
      </c>
      <c r="O1966" s="4" t="n">
        <f aca="false">(G1966*H1966)-K1966</f>
        <v>43.3245</v>
      </c>
      <c r="P1966" s="3" t="s">
        <v>21</v>
      </c>
    </row>
    <row r="1967" customFormat="false" ht="15" hidden="false" customHeight="false" outlineLevel="0" collapsed="false">
      <c r="A1967" s="7" t="n">
        <v>46098</v>
      </c>
      <c r="B1967" s="8" t="s">
        <v>16</v>
      </c>
      <c r="C1967" s="8" t="s">
        <v>17</v>
      </c>
      <c r="D1967" s="8" t="s">
        <v>42</v>
      </c>
      <c r="E1967" s="8" t="s">
        <v>43</v>
      </c>
      <c r="F1967" s="8" t="s">
        <v>34</v>
      </c>
      <c r="G1967" s="8" t="n">
        <v>4</v>
      </c>
      <c r="H1967" s="9" t="n">
        <v>11.99</v>
      </c>
      <c r="I1967" s="9" t="n">
        <v>3.5</v>
      </c>
      <c r="J1967" s="10" t="n">
        <v>0.2</v>
      </c>
      <c r="K1967" s="9" t="n">
        <f aca="false">G1967*H1967*(1-J1967)</f>
        <v>38.368</v>
      </c>
      <c r="L1967" s="9" t="n">
        <f aca="false">G1967*I1967</f>
        <v>14</v>
      </c>
      <c r="M1967" s="9" t="n">
        <f aca="false">K1967-L1967</f>
        <v>24.368</v>
      </c>
      <c r="N1967" s="11" t="n">
        <f aca="false">IF(K1967=0,0,M1967/K1967)</f>
        <v>0.63511259382819</v>
      </c>
      <c r="O1967" s="9" t="n">
        <f aca="false">(G1967*H1967)-K1967</f>
        <v>9.592</v>
      </c>
      <c r="P1967" s="8" t="s">
        <v>21</v>
      </c>
    </row>
    <row r="1968" customFormat="false" ht="15" hidden="false" customHeight="false" outlineLevel="0" collapsed="false">
      <c r="A1968" s="2" t="n">
        <v>46081</v>
      </c>
      <c r="B1968" s="3" t="s">
        <v>16</v>
      </c>
      <c r="C1968" s="3" t="s">
        <v>17</v>
      </c>
      <c r="D1968" s="3" t="s">
        <v>48</v>
      </c>
      <c r="E1968" s="3" t="s">
        <v>49</v>
      </c>
      <c r="F1968" s="3" t="s">
        <v>50</v>
      </c>
      <c r="G1968" s="3" t="n">
        <v>28</v>
      </c>
      <c r="H1968" s="4" t="n">
        <v>54.99</v>
      </c>
      <c r="I1968" s="4" t="n">
        <v>20</v>
      </c>
      <c r="J1968" s="5" t="n">
        <v>0</v>
      </c>
      <c r="K1968" s="4" t="n">
        <f aca="false">G1968*H1968*(1-J1968)</f>
        <v>1539.72</v>
      </c>
      <c r="L1968" s="4" t="n">
        <f aca="false">G1968*I1968</f>
        <v>560</v>
      </c>
      <c r="M1968" s="4" t="n">
        <f aca="false">K1968-L1968</f>
        <v>979.72</v>
      </c>
      <c r="N1968" s="6" t="n">
        <f aca="false">IF(K1968=0,0,M1968/K1968)</f>
        <v>0.636297508637934</v>
      </c>
      <c r="O1968" s="4" t="n">
        <f aca="false">(G1968*H1968)-K1968</f>
        <v>0</v>
      </c>
      <c r="P1968" s="3" t="s">
        <v>21</v>
      </c>
    </row>
    <row r="1969" customFormat="false" ht="15" hidden="false" customHeight="false" outlineLevel="0" collapsed="false">
      <c r="A1969" s="7" t="n">
        <v>46090</v>
      </c>
      <c r="B1969" s="8" t="s">
        <v>22</v>
      </c>
      <c r="C1969" s="8" t="s">
        <v>23</v>
      </c>
      <c r="D1969" s="8" t="s">
        <v>93</v>
      </c>
      <c r="E1969" s="8" t="s">
        <v>94</v>
      </c>
      <c r="F1969" s="8" t="s">
        <v>34</v>
      </c>
      <c r="G1969" s="8" t="n">
        <v>3</v>
      </c>
      <c r="H1969" s="9" t="n">
        <v>29.99</v>
      </c>
      <c r="I1969" s="9" t="n">
        <v>9</v>
      </c>
      <c r="J1969" s="10" t="n">
        <v>0.15</v>
      </c>
      <c r="K1969" s="9" t="n">
        <f aca="false">G1969*H1969*(1-J1969)</f>
        <v>76.4745</v>
      </c>
      <c r="L1969" s="9" t="n">
        <f aca="false">G1969*I1969</f>
        <v>27</v>
      </c>
      <c r="M1969" s="9" t="n">
        <f aca="false">K1969-L1969</f>
        <v>49.4745</v>
      </c>
      <c r="N1969" s="11" t="n">
        <f aca="false">IF(K1969=0,0,M1969/K1969)</f>
        <v>0.646941137241826</v>
      </c>
      <c r="O1969" s="9" t="n">
        <f aca="false">(G1969*H1969)-K1969</f>
        <v>13.4955</v>
      </c>
      <c r="P1969" s="8" t="s">
        <v>21</v>
      </c>
    </row>
    <row r="1970" customFormat="false" ht="15" hidden="false" customHeight="false" outlineLevel="0" collapsed="false">
      <c r="A1970" s="2" t="n">
        <v>46100</v>
      </c>
      <c r="B1970" s="3" t="s">
        <v>27</v>
      </c>
      <c r="C1970" s="3" t="s">
        <v>28</v>
      </c>
      <c r="D1970" s="3" t="s">
        <v>90</v>
      </c>
      <c r="E1970" s="3" t="s">
        <v>91</v>
      </c>
      <c r="F1970" s="3" t="s">
        <v>26</v>
      </c>
      <c r="G1970" s="3" t="n">
        <v>22</v>
      </c>
      <c r="H1970" s="4" t="n">
        <v>29.99</v>
      </c>
      <c r="I1970" s="4" t="n">
        <v>11</v>
      </c>
      <c r="J1970" s="5" t="n">
        <v>0</v>
      </c>
      <c r="K1970" s="4" t="n">
        <f aca="false">G1970*H1970*(1-J1970)</f>
        <v>659.78</v>
      </c>
      <c r="L1970" s="4" t="n">
        <f aca="false">G1970*I1970</f>
        <v>242</v>
      </c>
      <c r="M1970" s="4" t="n">
        <f aca="false">K1970-L1970</f>
        <v>417.78</v>
      </c>
      <c r="N1970" s="6" t="n">
        <f aca="false">IF(K1970=0,0,M1970/K1970)</f>
        <v>0.633211070356786</v>
      </c>
      <c r="O1970" s="4" t="n">
        <f aca="false">(G1970*H1970)-K1970</f>
        <v>0</v>
      </c>
      <c r="P1970" s="3" t="s">
        <v>21</v>
      </c>
    </row>
    <row r="1971" customFormat="false" ht="15" hidden="false" customHeight="false" outlineLevel="0" collapsed="false">
      <c r="A1971" s="7" t="n">
        <v>46083</v>
      </c>
      <c r="B1971" s="8" t="s">
        <v>41</v>
      </c>
      <c r="C1971" s="8" t="s">
        <v>28</v>
      </c>
      <c r="D1971" s="8" t="s">
        <v>95</v>
      </c>
      <c r="E1971" s="8" t="s">
        <v>96</v>
      </c>
      <c r="F1971" s="8" t="s">
        <v>50</v>
      </c>
      <c r="G1971" s="8" t="n">
        <v>12</v>
      </c>
      <c r="H1971" s="9" t="n">
        <v>34.99</v>
      </c>
      <c r="I1971" s="9" t="n">
        <v>12</v>
      </c>
      <c r="J1971" s="10" t="n">
        <v>0.05</v>
      </c>
      <c r="K1971" s="9" t="n">
        <f aca="false">G1971*H1971*(1-J1971)</f>
        <v>398.886</v>
      </c>
      <c r="L1971" s="9" t="n">
        <f aca="false">G1971*I1971</f>
        <v>144</v>
      </c>
      <c r="M1971" s="9" t="n">
        <f aca="false">K1971-L1971</f>
        <v>254.886</v>
      </c>
      <c r="N1971" s="11" t="n">
        <f aca="false">IF(K1971=0,0,M1971/K1971)</f>
        <v>0.638994599960891</v>
      </c>
      <c r="O1971" s="9" t="n">
        <f aca="false">(G1971*H1971)-K1971</f>
        <v>20.994</v>
      </c>
      <c r="P1971" s="8" t="s">
        <v>21</v>
      </c>
    </row>
    <row r="1972" customFormat="false" ht="15" hidden="false" customHeight="false" outlineLevel="0" collapsed="false">
      <c r="A1972" s="2" t="n">
        <v>46115</v>
      </c>
      <c r="B1972" s="3" t="s">
        <v>58</v>
      </c>
      <c r="C1972" s="3" t="s">
        <v>58</v>
      </c>
      <c r="D1972" s="3" t="s">
        <v>53</v>
      </c>
      <c r="E1972" s="3" t="s">
        <v>54</v>
      </c>
      <c r="F1972" s="3" t="s">
        <v>50</v>
      </c>
      <c r="G1972" s="3" t="n">
        <v>6</v>
      </c>
      <c r="H1972" s="4" t="n">
        <v>22.99</v>
      </c>
      <c r="I1972" s="4" t="n">
        <v>8</v>
      </c>
      <c r="J1972" s="5" t="n">
        <v>0.1</v>
      </c>
      <c r="K1972" s="4" t="n">
        <f aca="false">G1972*H1972*(1-J1972)</f>
        <v>124.146</v>
      </c>
      <c r="L1972" s="4" t="n">
        <f aca="false">G1972*I1972</f>
        <v>48</v>
      </c>
      <c r="M1972" s="4" t="n">
        <f aca="false">K1972-L1972</f>
        <v>76.146</v>
      </c>
      <c r="N1972" s="6" t="n">
        <f aca="false">IF(K1972=0,0,M1972/K1972)</f>
        <v>0.613358465033106</v>
      </c>
      <c r="O1972" s="4" t="n">
        <f aca="false">(G1972*H1972)-K1972</f>
        <v>13.794</v>
      </c>
      <c r="P1972" s="3" t="s">
        <v>21</v>
      </c>
    </row>
    <row r="1973" customFormat="false" ht="15" hidden="false" customHeight="false" outlineLevel="0" collapsed="false">
      <c r="A1973" s="7" t="n">
        <v>46114</v>
      </c>
      <c r="B1973" s="8" t="s">
        <v>58</v>
      </c>
      <c r="C1973" s="8" t="s">
        <v>58</v>
      </c>
      <c r="D1973" s="8" t="s">
        <v>53</v>
      </c>
      <c r="E1973" s="8" t="s">
        <v>54</v>
      </c>
      <c r="F1973" s="8" t="s">
        <v>50</v>
      </c>
      <c r="G1973" s="8" t="n">
        <v>26</v>
      </c>
      <c r="H1973" s="9" t="n">
        <v>22.99</v>
      </c>
      <c r="I1973" s="9" t="n">
        <v>8</v>
      </c>
      <c r="J1973" s="10" t="n">
        <v>0</v>
      </c>
      <c r="K1973" s="9" t="n">
        <f aca="false">G1973*H1973*(1-J1973)</f>
        <v>597.74</v>
      </c>
      <c r="L1973" s="9" t="n">
        <f aca="false">G1973*I1973</f>
        <v>208</v>
      </c>
      <c r="M1973" s="9" t="n">
        <f aca="false">K1973-L1973</f>
        <v>389.74</v>
      </c>
      <c r="N1973" s="11" t="n">
        <f aca="false">IF(K1973=0,0,M1973/K1973)</f>
        <v>0.652022618529796</v>
      </c>
      <c r="O1973" s="9" t="n">
        <f aca="false">(G1973*H1973)-K1973</f>
        <v>0</v>
      </c>
      <c r="P1973" s="8" t="s">
        <v>21</v>
      </c>
    </row>
    <row r="1974" customFormat="false" ht="15" hidden="false" customHeight="false" outlineLevel="0" collapsed="false">
      <c r="A1974" s="2" t="n">
        <v>46091</v>
      </c>
      <c r="B1974" s="3" t="s">
        <v>58</v>
      </c>
      <c r="C1974" s="3" t="s">
        <v>58</v>
      </c>
      <c r="D1974" s="3" t="s">
        <v>18</v>
      </c>
      <c r="E1974" s="3" t="s">
        <v>19</v>
      </c>
      <c r="F1974" s="3" t="s">
        <v>20</v>
      </c>
      <c r="G1974" s="3" t="n">
        <v>202</v>
      </c>
      <c r="H1974" s="4" t="n">
        <v>26.99</v>
      </c>
      <c r="I1974" s="4" t="n">
        <v>10.5</v>
      </c>
      <c r="J1974" s="5" t="n">
        <v>0</v>
      </c>
      <c r="K1974" s="4" t="n">
        <f aca="false">G1974*H1974*(1-J1974)</f>
        <v>5451.98</v>
      </c>
      <c r="L1974" s="4" t="n">
        <f aca="false">G1974*I1974</f>
        <v>2121</v>
      </c>
      <c r="M1974" s="4" t="n">
        <f aca="false">K1974-L1974</f>
        <v>3330.98</v>
      </c>
      <c r="N1974" s="6" t="n">
        <f aca="false">IF(K1974=0,0,M1974/K1974)</f>
        <v>0.610967024824009</v>
      </c>
      <c r="O1974" s="4" t="n">
        <f aca="false">(G1974*H1974)-K1974</f>
        <v>0</v>
      </c>
      <c r="P1974" s="13" t="s">
        <v>92</v>
      </c>
    </row>
    <row r="1975" customFormat="false" ht="15" hidden="false" customHeight="false" outlineLevel="0" collapsed="false">
      <c r="A1975" s="7" t="n">
        <v>46056</v>
      </c>
      <c r="B1975" s="8" t="s">
        <v>64</v>
      </c>
      <c r="C1975" s="8" t="s">
        <v>65</v>
      </c>
      <c r="D1975" s="8" t="s">
        <v>59</v>
      </c>
      <c r="E1975" s="8" t="s">
        <v>60</v>
      </c>
      <c r="F1975" s="8" t="s">
        <v>50</v>
      </c>
      <c r="G1975" s="8" t="n">
        <v>15</v>
      </c>
      <c r="H1975" s="9" t="n">
        <v>24.99</v>
      </c>
      <c r="I1975" s="9" t="n">
        <v>8.5</v>
      </c>
      <c r="J1975" s="10" t="n">
        <v>0.3</v>
      </c>
      <c r="K1975" s="9" t="n">
        <f aca="false">G1975*H1975*(1-J1975)</f>
        <v>262.395</v>
      </c>
      <c r="L1975" s="9" t="n">
        <f aca="false">G1975*I1975</f>
        <v>127.5</v>
      </c>
      <c r="M1975" s="9" t="n">
        <f aca="false">K1975-L1975</f>
        <v>134.895</v>
      </c>
      <c r="N1975" s="11" t="n">
        <f aca="false">IF(K1975=0,0,M1975/K1975)</f>
        <v>0.514091350826045</v>
      </c>
      <c r="O1975" s="9" t="n">
        <f aca="false">(G1975*H1975)-K1975</f>
        <v>112.455</v>
      </c>
      <c r="P1975" s="8" t="s">
        <v>21</v>
      </c>
    </row>
    <row r="1976" customFormat="false" ht="15" hidden="false" customHeight="false" outlineLevel="0" collapsed="false">
      <c r="A1976" s="2" t="n">
        <v>46030</v>
      </c>
      <c r="B1976" s="3" t="s">
        <v>27</v>
      </c>
      <c r="C1976" s="3" t="s">
        <v>28</v>
      </c>
      <c r="D1976" s="3" t="s">
        <v>44</v>
      </c>
      <c r="E1976" s="3" t="s">
        <v>45</v>
      </c>
      <c r="F1976" s="3" t="s">
        <v>40</v>
      </c>
      <c r="G1976" s="3" t="n">
        <v>9</v>
      </c>
      <c r="H1976" s="4" t="n">
        <v>29.99</v>
      </c>
      <c r="I1976" s="4" t="n">
        <v>11</v>
      </c>
      <c r="J1976" s="5" t="n">
        <v>0</v>
      </c>
      <c r="K1976" s="4" t="n">
        <f aca="false">G1976*H1976*(1-J1976)</f>
        <v>269.91</v>
      </c>
      <c r="L1976" s="4" t="n">
        <f aca="false">G1976*I1976</f>
        <v>99</v>
      </c>
      <c r="M1976" s="4" t="n">
        <f aca="false">K1976-L1976</f>
        <v>170.91</v>
      </c>
      <c r="N1976" s="6" t="n">
        <f aca="false">IF(K1976=0,0,M1976/K1976)</f>
        <v>0.633211070356786</v>
      </c>
      <c r="O1976" s="4" t="n">
        <f aca="false">(G1976*H1976)-K1976</f>
        <v>0</v>
      </c>
      <c r="P1976" s="3" t="s">
        <v>21</v>
      </c>
    </row>
    <row r="1977" customFormat="false" ht="15" hidden="false" customHeight="false" outlineLevel="0" collapsed="false">
      <c r="A1977" s="7" t="n">
        <v>46117</v>
      </c>
      <c r="B1977" s="8" t="s">
        <v>64</v>
      </c>
      <c r="C1977" s="8" t="s">
        <v>65</v>
      </c>
      <c r="D1977" s="8" t="s">
        <v>74</v>
      </c>
      <c r="E1977" s="8" t="s">
        <v>75</v>
      </c>
      <c r="F1977" s="8" t="s">
        <v>40</v>
      </c>
      <c r="G1977" s="8" t="n">
        <v>15</v>
      </c>
      <c r="H1977" s="9" t="n">
        <v>29.99</v>
      </c>
      <c r="I1977" s="9" t="n">
        <v>13</v>
      </c>
      <c r="J1977" s="10" t="n">
        <v>0.05</v>
      </c>
      <c r="K1977" s="9" t="n">
        <f aca="false">G1977*H1977*(1-J1977)</f>
        <v>427.3575</v>
      </c>
      <c r="L1977" s="9" t="n">
        <f aca="false">G1977*I1977</f>
        <v>195</v>
      </c>
      <c r="M1977" s="9" t="n">
        <f aca="false">K1977-L1977</f>
        <v>232.3575</v>
      </c>
      <c r="N1977" s="11" t="n">
        <f aca="false">IF(K1977=0,0,M1977/K1977)</f>
        <v>0.54370755164002</v>
      </c>
      <c r="O1977" s="9" t="n">
        <f aca="false">(G1977*H1977)-K1977</f>
        <v>22.4925</v>
      </c>
      <c r="P1977" s="8" t="s">
        <v>21</v>
      </c>
    </row>
    <row r="1978" customFormat="false" ht="15" hidden="false" customHeight="false" outlineLevel="0" collapsed="false">
      <c r="A1978" s="2" t="n">
        <v>46062</v>
      </c>
      <c r="B1978" s="3" t="s">
        <v>41</v>
      </c>
      <c r="C1978" s="3" t="s">
        <v>28</v>
      </c>
      <c r="D1978" s="3" t="s">
        <v>95</v>
      </c>
      <c r="E1978" s="3" t="s">
        <v>96</v>
      </c>
      <c r="F1978" s="3" t="s">
        <v>50</v>
      </c>
      <c r="G1978" s="3" t="n">
        <v>9</v>
      </c>
      <c r="H1978" s="4" t="n">
        <v>34.99</v>
      </c>
      <c r="I1978" s="4" t="n">
        <v>12</v>
      </c>
      <c r="J1978" s="5" t="n">
        <v>0</v>
      </c>
      <c r="K1978" s="4" t="n">
        <f aca="false">G1978*H1978*(1-J1978)</f>
        <v>314.91</v>
      </c>
      <c r="L1978" s="4" t="n">
        <f aca="false">G1978*I1978</f>
        <v>108</v>
      </c>
      <c r="M1978" s="4" t="n">
        <f aca="false">K1978-L1978</f>
        <v>206.91</v>
      </c>
      <c r="N1978" s="6" t="n">
        <f aca="false">IF(K1978=0,0,M1978/K1978)</f>
        <v>0.657044869962847</v>
      </c>
      <c r="O1978" s="4" t="n">
        <f aca="false">(G1978*H1978)-K1978</f>
        <v>0</v>
      </c>
      <c r="P1978" s="3" t="s">
        <v>21</v>
      </c>
    </row>
    <row r="1979" customFormat="false" ht="15" hidden="false" customHeight="false" outlineLevel="0" collapsed="false">
      <c r="A1979" s="7" t="n">
        <v>46079</v>
      </c>
      <c r="B1979" s="8" t="s">
        <v>31</v>
      </c>
      <c r="C1979" s="8" t="s">
        <v>23</v>
      </c>
      <c r="D1979" s="8" t="s">
        <v>90</v>
      </c>
      <c r="E1979" s="8" t="s">
        <v>91</v>
      </c>
      <c r="F1979" s="8" t="s">
        <v>26</v>
      </c>
      <c r="G1979" s="8" t="n">
        <v>7</v>
      </c>
      <c r="H1979" s="9" t="n">
        <v>29.99</v>
      </c>
      <c r="I1979" s="9" t="n">
        <v>11</v>
      </c>
      <c r="J1979" s="10" t="n">
        <v>0</v>
      </c>
      <c r="K1979" s="9" t="n">
        <f aca="false">G1979*H1979*(1-J1979)</f>
        <v>209.93</v>
      </c>
      <c r="L1979" s="9" t="n">
        <f aca="false">G1979*I1979</f>
        <v>77</v>
      </c>
      <c r="M1979" s="9" t="n">
        <f aca="false">K1979-L1979</f>
        <v>132.93</v>
      </c>
      <c r="N1979" s="11" t="n">
        <f aca="false">IF(K1979=0,0,M1979/K1979)</f>
        <v>0.633211070356786</v>
      </c>
      <c r="O1979" s="9" t="n">
        <f aca="false">(G1979*H1979)-K1979</f>
        <v>0</v>
      </c>
      <c r="P1979" s="8" t="s">
        <v>21</v>
      </c>
    </row>
    <row r="1980" customFormat="false" ht="15" hidden="false" customHeight="false" outlineLevel="0" collapsed="false">
      <c r="A1980" s="2" t="n">
        <v>46093</v>
      </c>
      <c r="B1980" s="3" t="s">
        <v>58</v>
      </c>
      <c r="C1980" s="3" t="s">
        <v>58</v>
      </c>
      <c r="D1980" s="3" t="s">
        <v>70</v>
      </c>
      <c r="E1980" s="3" t="s">
        <v>71</v>
      </c>
      <c r="F1980" s="3" t="s">
        <v>20</v>
      </c>
      <c r="G1980" s="3" t="n">
        <v>2</v>
      </c>
      <c r="H1980" s="4" t="n">
        <v>49.99</v>
      </c>
      <c r="I1980" s="4" t="n">
        <v>19</v>
      </c>
      <c r="J1980" s="5" t="n">
        <v>0.1</v>
      </c>
      <c r="K1980" s="4" t="n">
        <f aca="false">G1980*H1980*(1-J1980)</f>
        <v>89.982</v>
      </c>
      <c r="L1980" s="4" t="n">
        <f aca="false">G1980*I1980</f>
        <v>38</v>
      </c>
      <c r="M1980" s="4" t="n">
        <f aca="false">K1980-L1980</f>
        <v>51.982</v>
      </c>
      <c r="N1980" s="6" t="n">
        <f aca="false">IF(K1980=0,0,M1980/K1980)</f>
        <v>0.577693316441066</v>
      </c>
      <c r="O1980" s="4" t="n">
        <f aca="false">(G1980*H1980)-K1980</f>
        <v>9.99800000000001</v>
      </c>
      <c r="P1980" s="3" t="s">
        <v>21</v>
      </c>
    </row>
    <row r="1981" customFormat="false" ht="15" hidden="false" customHeight="false" outlineLevel="0" collapsed="false">
      <c r="A1981" s="7" t="n">
        <v>46047</v>
      </c>
      <c r="B1981" s="8" t="s">
        <v>41</v>
      </c>
      <c r="C1981" s="8" t="s">
        <v>28</v>
      </c>
      <c r="D1981" s="8" t="s">
        <v>72</v>
      </c>
      <c r="E1981" s="8" t="s">
        <v>73</v>
      </c>
      <c r="F1981" s="8" t="s">
        <v>57</v>
      </c>
      <c r="G1981" s="8" t="n">
        <v>10</v>
      </c>
      <c r="H1981" s="9" t="n">
        <v>19.99</v>
      </c>
      <c r="I1981" s="9" t="n">
        <v>7</v>
      </c>
      <c r="J1981" s="10" t="n">
        <v>0</v>
      </c>
      <c r="K1981" s="9" t="n">
        <f aca="false">G1981*H1981*(1-J1981)</f>
        <v>199.9</v>
      </c>
      <c r="L1981" s="9" t="n">
        <f aca="false">G1981*I1981</f>
        <v>70</v>
      </c>
      <c r="M1981" s="9" t="n">
        <f aca="false">K1981-L1981</f>
        <v>129.9</v>
      </c>
      <c r="N1981" s="11" t="n">
        <f aca="false">IF(K1981=0,0,M1981/K1981)</f>
        <v>0.649824912456228</v>
      </c>
      <c r="O1981" s="9" t="n">
        <f aca="false">(G1981*H1981)-K1981</f>
        <v>0</v>
      </c>
      <c r="P1981" s="8" t="s">
        <v>21</v>
      </c>
    </row>
    <row r="1982" customFormat="false" ht="15" hidden="false" customHeight="false" outlineLevel="0" collapsed="false">
      <c r="A1982" s="2" t="n">
        <v>46102</v>
      </c>
      <c r="B1982" s="3" t="s">
        <v>41</v>
      </c>
      <c r="C1982" s="3" t="s">
        <v>28</v>
      </c>
      <c r="D1982" s="3" t="s">
        <v>42</v>
      </c>
      <c r="E1982" s="3" t="s">
        <v>43</v>
      </c>
      <c r="F1982" s="3" t="s">
        <v>34</v>
      </c>
      <c r="G1982" s="3" t="n">
        <v>20</v>
      </c>
      <c r="H1982" s="4" t="n">
        <v>11.99</v>
      </c>
      <c r="I1982" s="4" t="n">
        <v>3.5</v>
      </c>
      <c r="J1982" s="5" t="n">
        <v>0</v>
      </c>
      <c r="K1982" s="4" t="n">
        <f aca="false">G1982*H1982*(1-J1982)</f>
        <v>239.8</v>
      </c>
      <c r="L1982" s="4" t="n">
        <f aca="false">G1982*I1982</f>
        <v>70</v>
      </c>
      <c r="M1982" s="4" t="n">
        <f aca="false">K1982-L1982</f>
        <v>169.8</v>
      </c>
      <c r="N1982" s="6" t="n">
        <f aca="false">IF(K1982=0,0,M1982/K1982)</f>
        <v>0.708090075062552</v>
      </c>
      <c r="O1982" s="4" t="n">
        <f aca="false">(G1982*H1982)-K1982</f>
        <v>0</v>
      </c>
      <c r="P1982" s="3" t="s">
        <v>21</v>
      </c>
    </row>
    <row r="1983" customFormat="false" ht="15" hidden="false" customHeight="false" outlineLevel="0" collapsed="false">
      <c r="A1983" s="7" t="n">
        <v>46065</v>
      </c>
      <c r="B1983" s="8" t="s">
        <v>16</v>
      </c>
      <c r="C1983" s="8" t="s">
        <v>17</v>
      </c>
      <c r="D1983" s="8" t="s">
        <v>74</v>
      </c>
      <c r="E1983" s="8" t="s">
        <v>75</v>
      </c>
      <c r="F1983" s="8" t="s">
        <v>40</v>
      </c>
      <c r="G1983" s="8" t="n">
        <v>29</v>
      </c>
      <c r="H1983" s="9" t="n">
        <v>29.99</v>
      </c>
      <c r="I1983" s="9" t="n">
        <v>13</v>
      </c>
      <c r="J1983" s="10" t="n">
        <v>0.25</v>
      </c>
      <c r="K1983" s="9" t="n">
        <f aca="false">G1983*H1983*(1-J1983)</f>
        <v>652.2825</v>
      </c>
      <c r="L1983" s="9" t="n">
        <f aca="false">G1983*I1983</f>
        <v>377</v>
      </c>
      <c r="M1983" s="9" t="n">
        <f aca="false">K1983-L1983</f>
        <v>275.2825</v>
      </c>
      <c r="N1983" s="11" t="n">
        <f aca="false">IF(K1983=0,0,M1983/K1983)</f>
        <v>0.422029565410692</v>
      </c>
      <c r="O1983" s="9" t="n">
        <f aca="false">(G1983*H1983)-K1983</f>
        <v>217.4275</v>
      </c>
      <c r="P1983" s="8" t="s">
        <v>21</v>
      </c>
    </row>
    <row r="1984" customFormat="false" ht="15" hidden="false" customHeight="false" outlineLevel="0" collapsed="false">
      <c r="A1984" s="2" t="n">
        <v>46069</v>
      </c>
      <c r="B1984" s="3" t="s">
        <v>58</v>
      </c>
      <c r="C1984" s="3" t="s">
        <v>58</v>
      </c>
      <c r="D1984" s="3" t="s">
        <v>18</v>
      </c>
      <c r="E1984" s="3" t="s">
        <v>19</v>
      </c>
      <c r="F1984" s="3" t="s">
        <v>20</v>
      </c>
      <c r="G1984" s="3" t="n">
        <v>25</v>
      </c>
      <c r="H1984" s="4" t="n">
        <v>26.99</v>
      </c>
      <c r="I1984" s="4" t="n">
        <v>10.5</v>
      </c>
      <c r="J1984" s="5" t="n">
        <v>0.3</v>
      </c>
      <c r="K1984" s="4" t="n">
        <f aca="false">G1984*H1984*(1-J1984)</f>
        <v>472.325</v>
      </c>
      <c r="L1984" s="4" t="n">
        <f aca="false">G1984*I1984</f>
        <v>262.5</v>
      </c>
      <c r="M1984" s="4" t="n">
        <f aca="false">K1984-L1984</f>
        <v>209.825</v>
      </c>
      <c r="N1984" s="6" t="n">
        <f aca="false">IF(K1984=0,0,M1984/K1984)</f>
        <v>0.444238606891441</v>
      </c>
      <c r="O1984" s="4" t="n">
        <f aca="false">(G1984*H1984)-K1984</f>
        <v>202.425</v>
      </c>
      <c r="P1984" s="3" t="s">
        <v>21</v>
      </c>
    </row>
    <row r="1985" customFormat="false" ht="15" hidden="false" customHeight="false" outlineLevel="0" collapsed="false">
      <c r="A1985" s="7" t="n">
        <v>46119</v>
      </c>
      <c r="B1985" s="8" t="s">
        <v>37</v>
      </c>
      <c r="C1985" s="8" t="s">
        <v>17</v>
      </c>
      <c r="D1985" s="8" t="s">
        <v>29</v>
      </c>
      <c r="E1985" s="8" t="s">
        <v>30</v>
      </c>
      <c r="F1985" s="8" t="s">
        <v>20</v>
      </c>
      <c r="G1985" s="8" t="n">
        <v>30</v>
      </c>
      <c r="H1985" s="9" t="n">
        <v>79.99</v>
      </c>
      <c r="I1985" s="9" t="n">
        <v>42</v>
      </c>
      <c r="J1985" s="10" t="n">
        <v>0.1</v>
      </c>
      <c r="K1985" s="9" t="n">
        <f aca="false">G1985*H1985*(1-J1985)</f>
        <v>2159.73</v>
      </c>
      <c r="L1985" s="9" t="n">
        <f aca="false">G1985*I1985</f>
        <v>1260</v>
      </c>
      <c r="M1985" s="9" t="n">
        <f aca="false">K1985-L1985</f>
        <v>899.73</v>
      </c>
      <c r="N1985" s="11" t="n">
        <f aca="false">IF(K1985=0,0,M1985/K1985)</f>
        <v>0.416593740884277</v>
      </c>
      <c r="O1985" s="9" t="n">
        <f aca="false">(G1985*H1985)-K1985</f>
        <v>239.97</v>
      </c>
      <c r="P1985" s="8" t="s">
        <v>21</v>
      </c>
    </row>
    <row r="1986" customFormat="false" ht="15" hidden="false" customHeight="false" outlineLevel="0" collapsed="false">
      <c r="A1986" s="2" t="n">
        <v>46055</v>
      </c>
      <c r="B1986" s="3" t="s">
        <v>31</v>
      </c>
      <c r="C1986" s="3" t="s">
        <v>23</v>
      </c>
      <c r="D1986" s="3" t="s">
        <v>42</v>
      </c>
      <c r="E1986" s="3" t="s">
        <v>43</v>
      </c>
      <c r="F1986" s="3" t="s">
        <v>34</v>
      </c>
      <c r="G1986" s="3" t="n">
        <v>21</v>
      </c>
      <c r="H1986" s="4" t="n">
        <v>11.99</v>
      </c>
      <c r="I1986" s="4" t="n">
        <v>3.5</v>
      </c>
      <c r="J1986" s="5" t="n">
        <v>0</v>
      </c>
      <c r="K1986" s="4" t="n">
        <f aca="false">G1986*H1986*(1-J1986)</f>
        <v>251.79</v>
      </c>
      <c r="L1986" s="4" t="n">
        <f aca="false">G1986*I1986</f>
        <v>73.5</v>
      </c>
      <c r="M1986" s="4" t="n">
        <f aca="false">K1986-L1986</f>
        <v>178.29</v>
      </c>
      <c r="N1986" s="6" t="n">
        <f aca="false">IF(K1986=0,0,M1986/K1986)</f>
        <v>0.708090075062552</v>
      </c>
      <c r="O1986" s="4" t="n">
        <f aca="false">(G1986*H1986)-K1986</f>
        <v>0</v>
      </c>
      <c r="P1986" s="3" t="s">
        <v>21</v>
      </c>
    </row>
    <row r="1987" customFormat="false" ht="15" hidden="false" customHeight="false" outlineLevel="0" collapsed="false">
      <c r="A1987" s="7" t="n">
        <v>46035</v>
      </c>
      <c r="B1987" s="8" t="s">
        <v>31</v>
      </c>
      <c r="C1987" s="8" t="s">
        <v>23</v>
      </c>
      <c r="D1987" s="8" t="s">
        <v>59</v>
      </c>
      <c r="E1987" s="8" t="s">
        <v>60</v>
      </c>
      <c r="F1987" s="8" t="s">
        <v>50</v>
      </c>
      <c r="G1987" s="8" t="n">
        <v>24</v>
      </c>
      <c r="H1987" s="9" t="n">
        <v>24.99</v>
      </c>
      <c r="I1987" s="9" t="n">
        <v>8.5</v>
      </c>
      <c r="J1987" s="10" t="n">
        <v>0.1</v>
      </c>
      <c r="K1987" s="9" t="n">
        <f aca="false">G1987*H1987*(1-J1987)</f>
        <v>539.784</v>
      </c>
      <c r="L1987" s="9" t="n">
        <f aca="false">G1987*I1987</f>
        <v>204</v>
      </c>
      <c r="M1987" s="9" t="n">
        <f aca="false">K1987-L1987</f>
        <v>335.784</v>
      </c>
      <c r="N1987" s="11" t="n">
        <f aca="false">IF(K1987=0,0,M1987/K1987)</f>
        <v>0.622071050642479</v>
      </c>
      <c r="O1987" s="9" t="n">
        <f aca="false">(G1987*H1987)-K1987</f>
        <v>59.976</v>
      </c>
      <c r="P1987" s="8" t="s">
        <v>21</v>
      </c>
    </row>
    <row r="1988" customFormat="false" ht="15" hidden="false" customHeight="false" outlineLevel="0" collapsed="false">
      <c r="A1988" s="2" t="n">
        <v>46040</v>
      </c>
      <c r="B1988" s="3" t="s">
        <v>22</v>
      </c>
      <c r="C1988" s="3" t="s">
        <v>23</v>
      </c>
      <c r="D1988" s="3" t="s">
        <v>70</v>
      </c>
      <c r="E1988" s="3" t="s">
        <v>71</v>
      </c>
      <c r="F1988" s="3" t="s">
        <v>20</v>
      </c>
      <c r="G1988" s="3" t="n">
        <v>7</v>
      </c>
      <c r="H1988" s="4" t="n">
        <v>49.99</v>
      </c>
      <c r="I1988" s="4" t="n">
        <v>19</v>
      </c>
      <c r="J1988" s="5" t="n">
        <v>0.05</v>
      </c>
      <c r="K1988" s="4" t="n">
        <f aca="false">G1988*H1988*(1-J1988)</f>
        <v>332.4335</v>
      </c>
      <c r="L1988" s="4" t="n">
        <f aca="false">G1988*I1988</f>
        <v>133</v>
      </c>
      <c r="M1988" s="4" t="n">
        <f aca="false">K1988-L1988</f>
        <v>199.4335</v>
      </c>
      <c r="N1988" s="6" t="n">
        <f aca="false">IF(K1988=0,0,M1988/K1988)</f>
        <v>0.599919983996799</v>
      </c>
      <c r="O1988" s="4" t="n">
        <f aca="false">(G1988*H1988)-K1988</f>
        <v>17.4965</v>
      </c>
      <c r="P1988" s="3" t="s">
        <v>21</v>
      </c>
    </row>
    <row r="1989" customFormat="false" ht="15" hidden="false" customHeight="false" outlineLevel="0" collapsed="false">
      <c r="A1989" s="7" t="n">
        <v>46088</v>
      </c>
      <c r="B1989" s="8" t="s">
        <v>41</v>
      </c>
      <c r="C1989" s="8" t="s">
        <v>28</v>
      </c>
      <c r="D1989" s="8" t="s">
        <v>18</v>
      </c>
      <c r="E1989" s="8" t="s">
        <v>19</v>
      </c>
      <c r="F1989" s="8" t="s">
        <v>20</v>
      </c>
      <c r="G1989" s="8" t="n">
        <v>12</v>
      </c>
      <c r="H1989" s="9" t="n">
        <v>26.99</v>
      </c>
      <c r="I1989" s="9" t="n">
        <v>10.5</v>
      </c>
      <c r="J1989" s="10" t="n">
        <v>0.05</v>
      </c>
      <c r="K1989" s="9" t="n">
        <f aca="false">G1989*H1989*(1-J1989)</f>
        <v>307.686</v>
      </c>
      <c r="L1989" s="9" t="n">
        <f aca="false">G1989*I1989</f>
        <v>126</v>
      </c>
      <c r="M1989" s="9" t="n">
        <f aca="false">K1989-L1989</f>
        <v>181.686</v>
      </c>
      <c r="N1989" s="11" t="n">
        <f aca="false">IF(K1989=0,0,M1989/K1989)</f>
        <v>0.590491605077904</v>
      </c>
      <c r="O1989" s="9" t="n">
        <f aca="false">(G1989*H1989)-K1989</f>
        <v>16.194</v>
      </c>
      <c r="P1989" s="8" t="s">
        <v>21</v>
      </c>
    </row>
    <row r="1990" customFormat="false" ht="15" hidden="false" customHeight="false" outlineLevel="0" collapsed="false">
      <c r="A1990" s="2" t="n">
        <v>46119</v>
      </c>
      <c r="B1990" s="3" t="s">
        <v>58</v>
      </c>
      <c r="C1990" s="3" t="s">
        <v>58</v>
      </c>
      <c r="D1990" s="3" t="s">
        <v>76</v>
      </c>
      <c r="E1990" s="3" t="s">
        <v>77</v>
      </c>
      <c r="F1990" s="3" t="s">
        <v>34</v>
      </c>
      <c r="G1990" s="3" t="n">
        <v>430</v>
      </c>
      <c r="H1990" s="4" t="n">
        <v>49.99</v>
      </c>
      <c r="I1990" s="4" t="n">
        <v>14</v>
      </c>
      <c r="J1990" s="5" t="n">
        <v>0</v>
      </c>
      <c r="K1990" s="4" t="n">
        <f aca="false">G1990*H1990*(1-J1990)</f>
        <v>21495.7</v>
      </c>
      <c r="L1990" s="4" t="n">
        <f aca="false">G1990*I1990</f>
        <v>6020</v>
      </c>
      <c r="M1990" s="4" t="n">
        <f aca="false">K1990-L1990</f>
        <v>15475.7</v>
      </c>
      <c r="N1990" s="6" t="n">
        <f aca="false">IF(K1990=0,0,M1990/K1990)</f>
        <v>0.71994398879776</v>
      </c>
      <c r="O1990" s="4" t="n">
        <f aca="false">(G1990*H1990)-K1990</f>
        <v>0</v>
      </c>
      <c r="P1990" s="13" t="s">
        <v>92</v>
      </c>
    </row>
    <row r="1991" customFormat="false" ht="15" hidden="false" customHeight="false" outlineLevel="0" collapsed="false">
      <c r="A1991" s="7" t="n">
        <v>46036</v>
      </c>
      <c r="B1991" s="8" t="s">
        <v>16</v>
      </c>
      <c r="C1991" s="8" t="s">
        <v>17</v>
      </c>
      <c r="D1991" s="8" t="s">
        <v>29</v>
      </c>
      <c r="E1991" s="8" t="s">
        <v>30</v>
      </c>
      <c r="F1991" s="8" t="s">
        <v>20</v>
      </c>
      <c r="G1991" s="8" t="n">
        <v>1</v>
      </c>
      <c r="H1991" s="9" t="n">
        <v>89.99</v>
      </c>
      <c r="I1991" s="9" t="n">
        <v>42</v>
      </c>
      <c r="J1991" s="10" t="n">
        <v>0.25</v>
      </c>
      <c r="K1991" s="9" t="n">
        <f aca="false">G1991*H1991*(1-J1991)</f>
        <v>67.4925</v>
      </c>
      <c r="L1991" s="9" t="n">
        <f aca="false">G1991*I1991</f>
        <v>42</v>
      </c>
      <c r="M1991" s="9" t="n">
        <f aca="false">K1991-L1991</f>
        <v>25.4925</v>
      </c>
      <c r="N1991" s="11" t="n">
        <f aca="false">IF(K1991=0,0,M1991/K1991)</f>
        <v>0.377708634292699</v>
      </c>
      <c r="O1991" s="9" t="n">
        <f aca="false">(G1991*H1991)-K1991</f>
        <v>22.4975</v>
      </c>
      <c r="P1991" s="8" t="s">
        <v>21</v>
      </c>
    </row>
    <row r="1992" customFormat="false" ht="15" hidden="false" customHeight="false" outlineLevel="0" collapsed="false">
      <c r="A1992" s="2" t="n">
        <v>46037</v>
      </c>
      <c r="B1992" s="3" t="s">
        <v>27</v>
      </c>
      <c r="C1992" s="3" t="s">
        <v>28</v>
      </c>
      <c r="D1992" s="3" t="s">
        <v>95</v>
      </c>
      <c r="E1992" s="3" t="s">
        <v>96</v>
      </c>
      <c r="F1992" s="3" t="s">
        <v>50</v>
      </c>
      <c r="G1992" s="3" t="n">
        <v>6</v>
      </c>
      <c r="H1992" s="4" t="n">
        <v>34.99</v>
      </c>
      <c r="I1992" s="4" t="n">
        <v>12</v>
      </c>
      <c r="J1992" s="5" t="n">
        <v>0.15</v>
      </c>
      <c r="K1992" s="4" t="n">
        <f aca="false">G1992*H1992*(1-J1992)</f>
        <v>178.449</v>
      </c>
      <c r="L1992" s="4" t="n">
        <f aca="false">G1992*I1992</f>
        <v>72</v>
      </c>
      <c r="M1992" s="4" t="n">
        <f aca="false">K1992-L1992</f>
        <v>106.449</v>
      </c>
      <c r="N1992" s="6" t="n">
        <f aca="false">IF(K1992=0,0,M1992/K1992)</f>
        <v>0.596523376426878</v>
      </c>
      <c r="O1992" s="4" t="n">
        <f aca="false">(G1992*H1992)-K1992</f>
        <v>31.491</v>
      </c>
      <c r="P1992" s="3" t="s">
        <v>21</v>
      </c>
    </row>
    <row r="1993" customFormat="false" ht="15" hidden="false" customHeight="false" outlineLevel="0" collapsed="false">
      <c r="A1993" s="7" t="n">
        <v>46028</v>
      </c>
      <c r="B1993" s="8" t="s">
        <v>22</v>
      </c>
      <c r="C1993" s="8" t="s">
        <v>23</v>
      </c>
      <c r="D1993" s="8" t="s">
        <v>93</v>
      </c>
      <c r="E1993" s="8" t="s">
        <v>94</v>
      </c>
      <c r="F1993" s="8" t="s">
        <v>34</v>
      </c>
      <c r="G1993" s="8" t="n">
        <v>2</v>
      </c>
      <c r="H1993" s="9" t="n">
        <v>29.99</v>
      </c>
      <c r="I1993" s="9" t="n">
        <v>9</v>
      </c>
      <c r="J1993" s="10" t="n">
        <v>0.2</v>
      </c>
      <c r="K1993" s="9" t="n">
        <f aca="false">G1993*H1993*(1-J1993)</f>
        <v>47.984</v>
      </c>
      <c r="L1993" s="9" t="n">
        <f aca="false">G1993*I1993</f>
        <v>18</v>
      </c>
      <c r="M1993" s="9" t="n">
        <f aca="false">K1993-L1993</f>
        <v>29.984</v>
      </c>
      <c r="N1993" s="11" t="n">
        <f aca="false">IF(K1993=0,0,M1993/K1993)</f>
        <v>0.62487495831944</v>
      </c>
      <c r="O1993" s="9" t="n">
        <f aca="false">(G1993*H1993)-K1993</f>
        <v>11.996</v>
      </c>
      <c r="P1993" s="8" t="s">
        <v>21</v>
      </c>
    </row>
    <row r="1994" customFormat="false" ht="15" hidden="false" customHeight="false" outlineLevel="0" collapsed="false">
      <c r="A1994" s="2" t="n">
        <v>46088</v>
      </c>
      <c r="B1994" s="3" t="s">
        <v>27</v>
      </c>
      <c r="C1994" s="3" t="s">
        <v>28</v>
      </c>
      <c r="D1994" s="3" t="s">
        <v>95</v>
      </c>
      <c r="E1994" s="3" t="s">
        <v>96</v>
      </c>
      <c r="F1994" s="3" t="s">
        <v>50</v>
      </c>
      <c r="G1994" s="3" t="n">
        <v>27</v>
      </c>
      <c r="H1994" s="4" t="n">
        <v>34.99</v>
      </c>
      <c r="I1994" s="4" t="n">
        <v>12</v>
      </c>
      <c r="J1994" s="5" t="n">
        <v>0.15</v>
      </c>
      <c r="K1994" s="4" t="n">
        <f aca="false">G1994*H1994*(1-J1994)</f>
        <v>803.0205</v>
      </c>
      <c r="L1994" s="4" t="n">
        <f aca="false">G1994*I1994</f>
        <v>324</v>
      </c>
      <c r="M1994" s="4" t="n">
        <f aca="false">K1994-L1994</f>
        <v>479.0205</v>
      </c>
      <c r="N1994" s="6" t="n">
        <f aca="false">IF(K1994=0,0,M1994/K1994)</f>
        <v>0.596523376426878</v>
      </c>
      <c r="O1994" s="4" t="n">
        <f aca="false">(G1994*H1994)-K1994</f>
        <v>141.7095</v>
      </c>
      <c r="P1994" s="3" t="s">
        <v>21</v>
      </c>
    </row>
    <row r="1995" customFormat="false" ht="15" hidden="false" customHeight="false" outlineLevel="0" collapsed="false">
      <c r="A1995" s="7" t="n">
        <v>46039</v>
      </c>
      <c r="B1995" s="8" t="s">
        <v>64</v>
      </c>
      <c r="C1995" s="8" t="s">
        <v>65</v>
      </c>
      <c r="D1995" s="8" t="s">
        <v>70</v>
      </c>
      <c r="E1995" s="8" t="s">
        <v>71</v>
      </c>
      <c r="F1995" s="8" t="s">
        <v>20</v>
      </c>
      <c r="G1995" s="8" t="n">
        <v>6</v>
      </c>
      <c r="H1995" s="9" t="n">
        <v>49.99</v>
      </c>
      <c r="I1995" s="9" t="n">
        <v>19</v>
      </c>
      <c r="J1995" s="10" t="n">
        <v>0</v>
      </c>
      <c r="K1995" s="9" t="n">
        <f aca="false">G1995*H1995*(1-J1995)</f>
        <v>299.94</v>
      </c>
      <c r="L1995" s="9" t="n">
        <f aca="false">G1995*I1995</f>
        <v>114</v>
      </c>
      <c r="M1995" s="9" t="n">
        <f aca="false">K1995-L1995</f>
        <v>185.94</v>
      </c>
      <c r="N1995" s="11" t="n">
        <f aca="false">IF(K1995=0,0,M1995/K1995)</f>
        <v>0.619923984796959</v>
      </c>
      <c r="O1995" s="9" t="n">
        <f aca="false">(G1995*H1995)-K1995</f>
        <v>0</v>
      </c>
      <c r="P1995" s="8" t="s">
        <v>21</v>
      </c>
    </row>
    <row r="1996" customFormat="false" ht="15" hidden="false" customHeight="false" outlineLevel="0" collapsed="false">
      <c r="A1996" s="2" t="n">
        <v>46077</v>
      </c>
      <c r="B1996" s="3" t="s">
        <v>22</v>
      </c>
      <c r="C1996" s="3" t="s">
        <v>23</v>
      </c>
      <c r="D1996" s="3" t="s">
        <v>59</v>
      </c>
      <c r="E1996" s="3" t="s">
        <v>60</v>
      </c>
      <c r="F1996" s="3" t="s">
        <v>50</v>
      </c>
      <c r="G1996" s="3" t="n">
        <v>13</v>
      </c>
      <c r="H1996" s="4" t="n">
        <v>24.99</v>
      </c>
      <c r="I1996" s="4" t="n">
        <v>8.5</v>
      </c>
      <c r="J1996" s="5" t="n">
        <v>0.25</v>
      </c>
      <c r="K1996" s="4" t="n">
        <f aca="false">G1996*H1996*(1-J1996)</f>
        <v>243.6525</v>
      </c>
      <c r="L1996" s="4" t="n">
        <f aca="false">G1996*I1996</f>
        <v>110.5</v>
      </c>
      <c r="M1996" s="4" t="n">
        <f aca="false">K1996-L1996</f>
        <v>133.1525</v>
      </c>
      <c r="N1996" s="6" t="n">
        <f aca="false">IF(K1996=0,0,M1996/K1996)</f>
        <v>0.546485260770975</v>
      </c>
      <c r="O1996" s="4" t="n">
        <f aca="false">(G1996*H1996)-K1996</f>
        <v>81.2175</v>
      </c>
      <c r="P1996" s="3" t="s">
        <v>21</v>
      </c>
    </row>
    <row r="1997" customFormat="false" ht="15" hidden="false" customHeight="false" outlineLevel="0" collapsed="false">
      <c r="A1997" s="7" t="n">
        <v>46119</v>
      </c>
      <c r="B1997" s="8" t="s">
        <v>37</v>
      </c>
      <c r="C1997" s="8" t="s">
        <v>17</v>
      </c>
      <c r="D1997" s="8" t="s">
        <v>68</v>
      </c>
      <c r="E1997" s="8" t="s">
        <v>69</v>
      </c>
      <c r="F1997" s="8" t="s">
        <v>40</v>
      </c>
      <c r="G1997" s="8" t="n">
        <v>22</v>
      </c>
      <c r="H1997" s="9" t="n">
        <v>24.99</v>
      </c>
      <c r="I1997" s="9" t="n">
        <v>9</v>
      </c>
      <c r="J1997" s="10" t="n">
        <v>0.3</v>
      </c>
      <c r="K1997" s="9" t="n">
        <f aca="false">G1997*H1997*(1-J1997)</f>
        <v>384.846</v>
      </c>
      <c r="L1997" s="9" t="n">
        <f aca="false">G1997*I1997</f>
        <v>198</v>
      </c>
      <c r="M1997" s="9" t="n">
        <f aca="false">K1997-L1997</f>
        <v>186.846</v>
      </c>
      <c r="N1997" s="11" t="n">
        <f aca="false">IF(K1997=0,0,M1997/K1997)</f>
        <v>0.48550848910993</v>
      </c>
      <c r="O1997" s="9" t="n">
        <f aca="false">(G1997*H1997)-K1997</f>
        <v>164.934</v>
      </c>
      <c r="P1997" s="8" t="s">
        <v>21</v>
      </c>
    </row>
    <row r="1998" customFormat="false" ht="15" hidden="false" customHeight="false" outlineLevel="0" collapsed="false">
      <c r="A1998" s="2" t="n">
        <v>46041</v>
      </c>
      <c r="B1998" s="3" t="s">
        <v>37</v>
      </c>
      <c r="C1998" s="3" t="s">
        <v>17</v>
      </c>
      <c r="D1998" s="3" t="s">
        <v>53</v>
      </c>
      <c r="E1998" s="3" t="s">
        <v>54</v>
      </c>
      <c r="F1998" s="3" t="s">
        <v>50</v>
      </c>
      <c r="G1998" s="3" t="n">
        <v>21</v>
      </c>
      <c r="H1998" s="4" t="n">
        <v>22.99</v>
      </c>
      <c r="I1998" s="4" t="n">
        <v>8</v>
      </c>
      <c r="J1998" s="5" t="n">
        <v>0.05</v>
      </c>
      <c r="K1998" s="4" t="n">
        <f aca="false">G1998*H1998*(1-J1998)</f>
        <v>458.6505</v>
      </c>
      <c r="L1998" s="4" t="n">
        <f aca="false">G1998*I1998</f>
        <v>168</v>
      </c>
      <c r="M1998" s="4" t="n">
        <f aca="false">K1998-L1998</f>
        <v>290.6505</v>
      </c>
      <c r="N1998" s="6" t="n">
        <f aca="false">IF(K1998=0,0,M1998/K1998)</f>
        <v>0.633708019505048</v>
      </c>
      <c r="O1998" s="4" t="n">
        <f aca="false">(G1998*H1998)-K1998</f>
        <v>24.1395</v>
      </c>
      <c r="P1998" s="3" t="s">
        <v>21</v>
      </c>
    </row>
    <row r="1999" customFormat="false" ht="15" hidden="false" customHeight="false" outlineLevel="0" collapsed="false">
      <c r="A1999" s="7" t="n">
        <v>46067</v>
      </c>
      <c r="B1999" s="8" t="s">
        <v>64</v>
      </c>
      <c r="C1999" s="8" t="s">
        <v>65</v>
      </c>
      <c r="D1999" s="8" t="s">
        <v>93</v>
      </c>
      <c r="E1999" s="8" t="s">
        <v>94</v>
      </c>
      <c r="F1999" s="8" t="s">
        <v>34</v>
      </c>
      <c r="G1999" s="8" t="n">
        <v>18</v>
      </c>
      <c r="H1999" s="9" t="n">
        <v>29.99</v>
      </c>
      <c r="I1999" s="9" t="n">
        <v>9</v>
      </c>
      <c r="J1999" s="10" t="n">
        <v>0.1</v>
      </c>
      <c r="K1999" s="9" t="n">
        <f aca="false">G1999*H1999*(1-J1999)</f>
        <v>485.838</v>
      </c>
      <c r="L1999" s="9" t="n">
        <f aca="false">G1999*I1999</f>
        <v>162</v>
      </c>
      <c r="M1999" s="9" t="n">
        <f aca="false">K1999-L1999</f>
        <v>323.838</v>
      </c>
      <c r="N1999" s="11" t="n">
        <f aca="false">IF(K1999=0,0,M1999/K1999)</f>
        <v>0.666555518506169</v>
      </c>
      <c r="O1999" s="9" t="n">
        <f aca="false">(G1999*H1999)-K1999</f>
        <v>53.982</v>
      </c>
      <c r="P1999" s="8" t="s">
        <v>21</v>
      </c>
    </row>
    <row r="2000" customFormat="false" ht="15" hidden="false" customHeight="false" outlineLevel="0" collapsed="false">
      <c r="A2000" s="2" t="n">
        <v>46127</v>
      </c>
      <c r="B2000" s="3" t="s">
        <v>31</v>
      </c>
      <c r="C2000" s="3" t="s">
        <v>23</v>
      </c>
      <c r="D2000" s="3" t="s">
        <v>42</v>
      </c>
      <c r="E2000" s="3" t="s">
        <v>43</v>
      </c>
      <c r="F2000" s="3" t="s">
        <v>34</v>
      </c>
      <c r="G2000" s="3" t="n">
        <v>1</v>
      </c>
      <c r="H2000" s="4" t="n">
        <v>11.99</v>
      </c>
      <c r="I2000" s="4" t="n">
        <v>3.5</v>
      </c>
      <c r="J2000" s="5" t="n">
        <v>0.1</v>
      </c>
      <c r="K2000" s="4" t="n">
        <f aca="false">G2000*H2000*(1-J2000)</f>
        <v>10.791</v>
      </c>
      <c r="L2000" s="4" t="n">
        <f aca="false">G2000*I2000</f>
        <v>3.5</v>
      </c>
      <c r="M2000" s="4" t="n">
        <f aca="false">K2000-L2000</f>
        <v>7.291</v>
      </c>
      <c r="N2000" s="6" t="n">
        <f aca="false">IF(K2000=0,0,M2000/K2000)</f>
        <v>0.675655638958391</v>
      </c>
      <c r="O2000" s="4" t="n">
        <f aca="false">(G2000*H2000)-K2000</f>
        <v>1.199</v>
      </c>
      <c r="P2000" s="3" t="s">
        <v>21</v>
      </c>
    </row>
    <row r="2001" customFormat="false" ht="15" hidden="false" customHeight="false" outlineLevel="0" collapsed="false">
      <c r="A2001" s="7" t="n">
        <v>46129</v>
      </c>
      <c r="B2001" s="8" t="s">
        <v>22</v>
      </c>
      <c r="C2001" s="8" t="s">
        <v>23</v>
      </c>
      <c r="D2001" s="8" t="s">
        <v>44</v>
      </c>
      <c r="E2001" s="8" t="s">
        <v>45</v>
      </c>
      <c r="F2001" s="8" t="s">
        <v>40</v>
      </c>
      <c r="G2001" s="8" t="n">
        <v>27</v>
      </c>
      <c r="H2001" s="9" t="n">
        <v>29.99</v>
      </c>
      <c r="I2001" s="9" t="n">
        <v>11</v>
      </c>
      <c r="J2001" s="10" t="n">
        <v>0</v>
      </c>
      <c r="K2001" s="9" t="n">
        <f aca="false">G2001*H2001*(1-J2001)</f>
        <v>809.73</v>
      </c>
      <c r="L2001" s="9" t="n">
        <f aca="false">G2001*I2001</f>
        <v>297</v>
      </c>
      <c r="M2001" s="9" t="n">
        <f aca="false">K2001-L2001</f>
        <v>512.73</v>
      </c>
      <c r="N2001" s="11" t="n">
        <f aca="false">IF(K2001=0,0,M2001/K2001)</f>
        <v>0.633211070356786</v>
      </c>
      <c r="O2001" s="9" t="n">
        <f aca="false">(G2001*H2001)-K2001</f>
        <v>0</v>
      </c>
      <c r="P2001" s="8" t="s">
        <v>21</v>
      </c>
    </row>
  </sheetData>
  <autoFilter ref="A1:P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3.8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99</v>
      </c>
      <c r="E1" s="1" t="s">
        <v>100</v>
      </c>
      <c r="F1" s="1" t="s">
        <v>101</v>
      </c>
    </row>
    <row r="2" customFormat="false" ht="15" hidden="false" customHeight="false" outlineLevel="0" collapsed="false">
      <c r="A2" s="8" t="s">
        <v>18</v>
      </c>
      <c r="B2" s="8" t="s">
        <v>19</v>
      </c>
      <c r="C2" s="8" t="s">
        <v>20</v>
      </c>
      <c r="D2" s="9" t="n">
        <v>24.99</v>
      </c>
      <c r="E2" s="9" t="n">
        <v>10.5</v>
      </c>
      <c r="F2" s="10" t="n">
        <v>0.58</v>
      </c>
    </row>
    <row r="3" customFormat="false" ht="15" hidden="false" customHeight="false" outlineLevel="0" collapsed="false">
      <c r="A3" s="3" t="s">
        <v>78</v>
      </c>
      <c r="B3" s="3" t="s">
        <v>79</v>
      </c>
      <c r="C3" s="3" t="s">
        <v>20</v>
      </c>
      <c r="D3" s="4" t="n">
        <v>39.99</v>
      </c>
      <c r="E3" s="4" t="n">
        <v>16</v>
      </c>
      <c r="F3" s="5" t="n">
        <v>0.6</v>
      </c>
    </row>
    <row r="4" customFormat="false" ht="15" hidden="false" customHeight="false" outlineLevel="0" collapsed="false">
      <c r="A4" s="8" t="s">
        <v>84</v>
      </c>
      <c r="B4" s="8" t="s">
        <v>85</v>
      </c>
      <c r="C4" s="8" t="s">
        <v>20</v>
      </c>
      <c r="D4" s="9" t="n">
        <v>34.99</v>
      </c>
      <c r="E4" s="9" t="n">
        <v>13</v>
      </c>
      <c r="F4" s="10" t="n">
        <v>0.63</v>
      </c>
    </row>
    <row r="5" customFormat="false" ht="15" hidden="false" customHeight="false" outlineLevel="0" collapsed="false">
      <c r="A5" s="3" t="s">
        <v>46</v>
      </c>
      <c r="B5" s="3" t="s">
        <v>47</v>
      </c>
      <c r="C5" s="3" t="s">
        <v>20</v>
      </c>
      <c r="D5" s="4" t="n">
        <v>44.99</v>
      </c>
      <c r="E5" s="4" t="n">
        <v>18</v>
      </c>
      <c r="F5" s="5" t="n">
        <v>0.6</v>
      </c>
    </row>
    <row r="6" customFormat="false" ht="15" hidden="false" customHeight="false" outlineLevel="0" collapsed="false">
      <c r="A6" s="8" t="s">
        <v>70</v>
      </c>
      <c r="B6" s="8" t="s">
        <v>71</v>
      </c>
      <c r="C6" s="8" t="s">
        <v>20</v>
      </c>
      <c r="D6" s="9" t="n">
        <v>49.99</v>
      </c>
      <c r="E6" s="9" t="n">
        <v>19</v>
      </c>
      <c r="F6" s="10" t="n">
        <v>0.62</v>
      </c>
    </row>
    <row r="7" customFormat="false" ht="15" hidden="false" customHeight="false" outlineLevel="0" collapsed="false">
      <c r="A7" s="3" t="s">
        <v>29</v>
      </c>
      <c r="B7" s="3" t="s">
        <v>30</v>
      </c>
      <c r="C7" s="3" t="s">
        <v>20</v>
      </c>
      <c r="D7" s="4" t="n">
        <v>89.99</v>
      </c>
      <c r="E7" s="4" t="n">
        <v>42</v>
      </c>
      <c r="F7" s="5" t="n">
        <v>0.53</v>
      </c>
    </row>
    <row r="8" customFormat="false" ht="15" hidden="false" customHeight="false" outlineLevel="0" collapsed="false">
      <c r="A8" s="8" t="s">
        <v>24</v>
      </c>
      <c r="B8" s="8" t="s">
        <v>25</v>
      </c>
      <c r="C8" s="8" t="s">
        <v>26</v>
      </c>
      <c r="D8" s="9" t="n">
        <v>59.99</v>
      </c>
      <c r="E8" s="9" t="n">
        <v>24</v>
      </c>
      <c r="F8" s="10" t="n">
        <v>0.6</v>
      </c>
    </row>
    <row r="9" customFormat="false" ht="15" hidden="false" customHeight="false" outlineLevel="0" collapsed="false">
      <c r="A9" s="3" t="s">
        <v>82</v>
      </c>
      <c r="B9" s="3" t="s">
        <v>83</v>
      </c>
      <c r="C9" s="3" t="s">
        <v>26</v>
      </c>
      <c r="D9" s="4" t="n">
        <v>44.99</v>
      </c>
      <c r="E9" s="4" t="n">
        <v>18</v>
      </c>
      <c r="F9" s="5" t="n">
        <v>0.6</v>
      </c>
    </row>
    <row r="10" customFormat="false" ht="15" hidden="false" customHeight="false" outlineLevel="0" collapsed="false">
      <c r="A10" s="8" t="s">
        <v>35</v>
      </c>
      <c r="B10" s="8" t="s">
        <v>36</v>
      </c>
      <c r="C10" s="8" t="s">
        <v>26</v>
      </c>
      <c r="D10" s="9" t="n">
        <v>69.99</v>
      </c>
      <c r="E10" s="9" t="n">
        <v>30</v>
      </c>
      <c r="F10" s="10" t="n">
        <v>0.57</v>
      </c>
    </row>
    <row r="11" customFormat="false" ht="15" hidden="false" customHeight="false" outlineLevel="0" collapsed="false">
      <c r="A11" s="3" t="s">
        <v>90</v>
      </c>
      <c r="B11" s="3" t="s">
        <v>91</v>
      </c>
      <c r="C11" s="3" t="s">
        <v>26</v>
      </c>
      <c r="D11" s="4" t="n">
        <v>29.99</v>
      </c>
      <c r="E11" s="4" t="n">
        <v>11</v>
      </c>
      <c r="F11" s="5" t="n">
        <v>0.63</v>
      </c>
    </row>
    <row r="12" customFormat="false" ht="15" hidden="false" customHeight="false" outlineLevel="0" collapsed="false">
      <c r="A12" s="8" t="s">
        <v>48</v>
      </c>
      <c r="B12" s="8" t="s">
        <v>49</v>
      </c>
      <c r="C12" s="8" t="s">
        <v>50</v>
      </c>
      <c r="D12" s="9" t="n">
        <v>54.99</v>
      </c>
      <c r="E12" s="9" t="n">
        <v>20</v>
      </c>
      <c r="F12" s="10" t="n">
        <v>0.64</v>
      </c>
    </row>
    <row r="13" customFormat="false" ht="15" hidden="false" customHeight="false" outlineLevel="0" collapsed="false">
      <c r="A13" s="3" t="s">
        <v>51</v>
      </c>
      <c r="B13" s="3" t="s">
        <v>52</v>
      </c>
      <c r="C13" s="3" t="s">
        <v>50</v>
      </c>
      <c r="D13" s="4" t="n">
        <v>19.99</v>
      </c>
      <c r="E13" s="4" t="n">
        <v>7</v>
      </c>
      <c r="F13" s="5" t="n">
        <v>0.65</v>
      </c>
    </row>
    <row r="14" customFormat="false" ht="15" hidden="false" customHeight="false" outlineLevel="0" collapsed="false">
      <c r="A14" s="8" t="s">
        <v>59</v>
      </c>
      <c r="B14" s="8" t="s">
        <v>60</v>
      </c>
      <c r="C14" s="8" t="s">
        <v>50</v>
      </c>
      <c r="D14" s="9" t="n">
        <v>24.99</v>
      </c>
      <c r="E14" s="9" t="n">
        <v>8.5</v>
      </c>
      <c r="F14" s="10" t="n">
        <v>0.66</v>
      </c>
    </row>
    <row r="15" customFormat="false" ht="15" hidden="false" customHeight="false" outlineLevel="0" collapsed="false">
      <c r="A15" s="3" t="s">
        <v>95</v>
      </c>
      <c r="B15" s="3" t="s">
        <v>96</v>
      </c>
      <c r="C15" s="3" t="s">
        <v>50</v>
      </c>
      <c r="D15" s="4" t="n">
        <v>34.99</v>
      </c>
      <c r="E15" s="4" t="n">
        <v>12</v>
      </c>
      <c r="F15" s="5" t="n">
        <v>0.66</v>
      </c>
    </row>
    <row r="16" customFormat="false" ht="15" hidden="false" customHeight="false" outlineLevel="0" collapsed="false">
      <c r="A16" s="8" t="s">
        <v>53</v>
      </c>
      <c r="B16" s="8" t="s">
        <v>54</v>
      </c>
      <c r="C16" s="8" t="s">
        <v>50</v>
      </c>
      <c r="D16" s="9" t="n">
        <v>22.99</v>
      </c>
      <c r="E16" s="9" t="n">
        <v>8</v>
      </c>
      <c r="F16" s="10" t="n">
        <v>0.65</v>
      </c>
    </row>
    <row r="17" customFormat="false" ht="15" hidden="false" customHeight="false" outlineLevel="0" collapsed="false">
      <c r="A17" s="3" t="s">
        <v>66</v>
      </c>
      <c r="B17" s="3" t="s">
        <v>67</v>
      </c>
      <c r="C17" s="3" t="s">
        <v>57</v>
      </c>
      <c r="D17" s="4" t="n">
        <v>14.99</v>
      </c>
      <c r="E17" s="4" t="n">
        <v>5.5</v>
      </c>
      <c r="F17" s="5" t="n">
        <v>0.63</v>
      </c>
    </row>
    <row r="18" customFormat="false" ht="15" hidden="false" customHeight="false" outlineLevel="0" collapsed="false">
      <c r="A18" s="8" t="s">
        <v>55</v>
      </c>
      <c r="B18" s="8" t="s">
        <v>56</v>
      </c>
      <c r="C18" s="8" t="s">
        <v>57</v>
      </c>
      <c r="D18" s="9" t="n">
        <v>29.99</v>
      </c>
      <c r="E18" s="9" t="n">
        <v>11</v>
      </c>
      <c r="F18" s="10" t="n">
        <v>0.63</v>
      </c>
    </row>
    <row r="19" customFormat="false" ht="15" hidden="false" customHeight="false" outlineLevel="0" collapsed="false">
      <c r="A19" s="3" t="s">
        <v>72</v>
      </c>
      <c r="B19" s="3" t="s">
        <v>73</v>
      </c>
      <c r="C19" s="3" t="s">
        <v>57</v>
      </c>
      <c r="D19" s="4" t="n">
        <v>19.99</v>
      </c>
      <c r="E19" s="4" t="n">
        <v>7</v>
      </c>
      <c r="F19" s="5" t="n">
        <v>0.65</v>
      </c>
    </row>
    <row r="20" customFormat="false" ht="15" hidden="false" customHeight="false" outlineLevel="0" collapsed="false">
      <c r="A20" s="8" t="s">
        <v>88</v>
      </c>
      <c r="B20" s="8" t="s">
        <v>89</v>
      </c>
      <c r="C20" s="8" t="s">
        <v>57</v>
      </c>
      <c r="D20" s="9" t="n">
        <v>12.99</v>
      </c>
      <c r="E20" s="9" t="n">
        <v>4.5</v>
      </c>
      <c r="F20" s="10" t="n">
        <v>0.65</v>
      </c>
    </row>
    <row r="21" customFormat="false" ht="15" hidden="false" customHeight="false" outlineLevel="0" collapsed="false">
      <c r="A21" s="3" t="s">
        <v>80</v>
      </c>
      <c r="B21" s="3" t="s">
        <v>81</v>
      </c>
      <c r="C21" s="3" t="s">
        <v>57</v>
      </c>
      <c r="D21" s="4" t="n">
        <v>17.99</v>
      </c>
      <c r="E21" s="4" t="n">
        <v>6.5</v>
      </c>
      <c r="F21" s="5" t="n">
        <v>0.64</v>
      </c>
    </row>
    <row r="22" customFormat="false" ht="15" hidden="false" customHeight="false" outlineLevel="0" collapsed="false">
      <c r="A22" s="8" t="s">
        <v>32</v>
      </c>
      <c r="B22" s="8" t="s">
        <v>33</v>
      </c>
      <c r="C22" s="8" t="s">
        <v>34</v>
      </c>
      <c r="D22" s="9" t="n">
        <v>18.99</v>
      </c>
      <c r="E22" s="9" t="n">
        <v>6</v>
      </c>
      <c r="F22" s="10" t="n">
        <v>0.68</v>
      </c>
    </row>
    <row r="23" customFormat="false" ht="15" hidden="false" customHeight="false" outlineLevel="0" collapsed="false">
      <c r="A23" s="3" t="s">
        <v>76</v>
      </c>
      <c r="B23" s="3" t="s">
        <v>77</v>
      </c>
      <c r="C23" s="3" t="s">
        <v>34</v>
      </c>
      <c r="D23" s="4" t="n">
        <v>44.99</v>
      </c>
      <c r="E23" s="4" t="n">
        <v>14</v>
      </c>
      <c r="F23" s="5" t="n">
        <v>0.69</v>
      </c>
    </row>
    <row r="24" customFormat="false" ht="15" hidden="false" customHeight="false" outlineLevel="0" collapsed="false">
      <c r="A24" s="8" t="s">
        <v>61</v>
      </c>
      <c r="B24" s="8" t="s">
        <v>62</v>
      </c>
      <c r="C24" s="8" t="s">
        <v>34</v>
      </c>
      <c r="D24" s="9" t="n">
        <v>14.99</v>
      </c>
      <c r="E24" s="9" t="n">
        <v>4.5</v>
      </c>
      <c r="F24" s="10" t="n">
        <v>0.7</v>
      </c>
    </row>
    <row r="25" customFormat="false" ht="15" hidden="false" customHeight="false" outlineLevel="0" collapsed="false">
      <c r="A25" s="3" t="s">
        <v>93</v>
      </c>
      <c r="B25" s="3" t="s">
        <v>94</v>
      </c>
      <c r="C25" s="3" t="s">
        <v>34</v>
      </c>
      <c r="D25" s="4" t="n">
        <v>29.99</v>
      </c>
      <c r="E25" s="4" t="n">
        <v>9</v>
      </c>
      <c r="F25" s="5" t="n">
        <v>0.7</v>
      </c>
    </row>
    <row r="26" customFormat="false" ht="15" hidden="false" customHeight="false" outlineLevel="0" collapsed="false">
      <c r="A26" s="8" t="s">
        <v>42</v>
      </c>
      <c r="B26" s="8" t="s">
        <v>43</v>
      </c>
      <c r="C26" s="8" t="s">
        <v>34</v>
      </c>
      <c r="D26" s="9" t="n">
        <v>11.99</v>
      </c>
      <c r="E26" s="9" t="n">
        <v>3.5</v>
      </c>
      <c r="F26" s="10" t="n">
        <v>0.71</v>
      </c>
    </row>
    <row r="27" customFormat="false" ht="15" hidden="false" customHeight="false" outlineLevel="0" collapsed="false">
      <c r="A27" s="3" t="s">
        <v>74</v>
      </c>
      <c r="B27" s="3" t="s">
        <v>75</v>
      </c>
      <c r="C27" s="3" t="s">
        <v>40</v>
      </c>
      <c r="D27" s="4" t="n">
        <v>34.99</v>
      </c>
      <c r="E27" s="4" t="n">
        <v>13</v>
      </c>
      <c r="F27" s="5" t="n">
        <v>0.63</v>
      </c>
    </row>
    <row r="28" customFormat="false" ht="15" hidden="false" customHeight="false" outlineLevel="0" collapsed="false">
      <c r="A28" s="8" t="s">
        <v>44</v>
      </c>
      <c r="B28" s="8" t="s">
        <v>45</v>
      </c>
      <c r="C28" s="8" t="s">
        <v>40</v>
      </c>
      <c r="D28" s="9" t="n">
        <v>29.99</v>
      </c>
      <c r="E28" s="9" t="n">
        <v>11</v>
      </c>
      <c r="F28" s="10" t="n">
        <v>0.63</v>
      </c>
    </row>
    <row r="29" customFormat="false" ht="15" hidden="false" customHeight="false" outlineLevel="0" collapsed="false">
      <c r="A29" s="3" t="s">
        <v>68</v>
      </c>
      <c r="B29" s="3" t="s">
        <v>69</v>
      </c>
      <c r="C29" s="3" t="s">
        <v>40</v>
      </c>
      <c r="D29" s="4" t="n">
        <v>24.99</v>
      </c>
      <c r="E29" s="4" t="n">
        <v>9</v>
      </c>
      <c r="F29" s="5" t="n">
        <v>0.64</v>
      </c>
    </row>
    <row r="30" customFormat="false" ht="15" hidden="false" customHeight="false" outlineLevel="0" collapsed="false">
      <c r="A30" s="8" t="s">
        <v>86</v>
      </c>
      <c r="B30" s="8" t="s">
        <v>87</v>
      </c>
      <c r="C30" s="8" t="s">
        <v>40</v>
      </c>
      <c r="D30" s="9" t="n">
        <v>16.99</v>
      </c>
      <c r="E30" s="9" t="n">
        <v>5.5</v>
      </c>
      <c r="F30" s="10" t="n">
        <v>0.68</v>
      </c>
    </row>
    <row r="31" customFormat="false" ht="15" hidden="false" customHeight="false" outlineLevel="0" collapsed="false">
      <c r="A31" s="3" t="s">
        <v>38</v>
      </c>
      <c r="B31" s="3" t="s">
        <v>39</v>
      </c>
      <c r="C31" s="3" t="s">
        <v>40</v>
      </c>
      <c r="D31" s="4" t="n">
        <v>12.99</v>
      </c>
      <c r="E31" s="4" t="n">
        <v>4</v>
      </c>
      <c r="F31" s="5" t="n">
        <v>0.69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102</v>
      </c>
      <c r="D1" s="1" t="s">
        <v>103</v>
      </c>
      <c r="E1" s="1" t="s">
        <v>104</v>
      </c>
      <c r="F1" s="1" t="s">
        <v>105</v>
      </c>
    </row>
    <row r="2" customFormat="false" ht="15" hidden="false" customHeight="false" outlineLevel="0" collapsed="false">
      <c r="A2" s="8" t="s">
        <v>31</v>
      </c>
      <c r="B2" s="8" t="s">
        <v>23</v>
      </c>
      <c r="C2" s="8" t="s">
        <v>106</v>
      </c>
      <c r="D2" s="8" t="s">
        <v>107</v>
      </c>
      <c r="E2" s="7" t="n">
        <v>40179</v>
      </c>
      <c r="F2" s="16" t="n">
        <v>480000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108</v>
      </c>
      <c r="D3" s="3" t="s">
        <v>109</v>
      </c>
      <c r="E3" s="2" t="n">
        <v>41640</v>
      </c>
      <c r="F3" s="17" t="n">
        <v>320000</v>
      </c>
    </row>
    <row r="4" customFormat="false" ht="15" hidden="false" customHeight="false" outlineLevel="0" collapsed="false">
      <c r="A4" s="8" t="s">
        <v>16</v>
      </c>
      <c r="B4" s="8" t="s">
        <v>17</v>
      </c>
      <c r="C4" s="8" t="s">
        <v>106</v>
      </c>
      <c r="D4" s="8" t="s">
        <v>110</v>
      </c>
      <c r="E4" s="7" t="n">
        <v>39448</v>
      </c>
      <c r="F4" s="16" t="n">
        <v>410000</v>
      </c>
    </row>
    <row r="5" customFormat="false" ht="15" hidden="false" customHeight="false" outlineLevel="0" collapsed="false">
      <c r="A5" s="3" t="s">
        <v>37</v>
      </c>
      <c r="B5" s="3" t="s">
        <v>17</v>
      </c>
      <c r="C5" s="3" t="s">
        <v>108</v>
      </c>
      <c r="D5" s="3" t="s">
        <v>111</v>
      </c>
      <c r="E5" s="2" t="n">
        <v>40909</v>
      </c>
      <c r="F5" s="17" t="n">
        <v>290000</v>
      </c>
    </row>
    <row r="6" customFormat="false" ht="15" hidden="false" customHeight="false" outlineLevel="0" collapsed="false">
      <c r="A6" s="8" t="s">
        <v>27</v>
      </c>
      <c r="B6" s="8" t="s">
        <v>28</v>
      </c>
      <c r="C6" s="8" t="s">
        <v>106</v>
      </c>
      <c r="D6" s="8" t="s">
        <v>112</v>
      </c>
      <c r="E6" s="7" t="n">
        <v>40544</v>
      </c>
      <c r="F6" s="16" t="n">
        <v>520000</v>
      </c>
    </row>
    <row r="7" customFormat="false" ht="15" hidden="false" customHeight="false" outlineLevel="0" collapsed="false">
      <c r="A7" s="3" t="s">
        <v>41</v>
      </c>
      <c r="B7" s="3" t="s">
        <v>28</v>
      </c>
      <c r="C7" s="3" t="s">
        <v>108</v>
      </c>
      <c r="D7" s="3" t="s">
        <v>113</v>
      </c>
      <c r="E7" s="2" t="n">
        <v>42370</v>
      </c>
      <c r="F7" s="17" t="n">
        <v>280000</v>
      </c>
    </row>
    <row r="8" customFormat="false" ht="15" hidden="false" customHeight="false" outlineLevel="0" collapsed="false">
      <c r="A8" s="8" t="s">
        <v>64</v>
      </c>
      <c r="B8" s="8" t="s">
        <v>65</v>
      </c>
      <c r="C8" s="8" t="s">
        <v>106</v>
      </c>
      <c r="D8" s="8" t="s">
        <v>114</v>
      </c>
      <c r="E8" s="7" t="n">
        <v>39814</v>
      </c>
      <c r="F8" s="16" t="n">
        <v>370000</v>
      </c>
    </row>
    <row r="9" customFormat="false" ht="15" hidden="false" customHeight="false" outlineLevel="0" collapsed="false">
      <c r="A9" s="3" t="s">
        <v>58</v>
      </c>
      <c r="B9" s="3" t="s">
        <v>58</v>
      </c>
      <c r="C9" s="3" t="s">
        <v>106</v>
      </c>
      <c r="D9" s="3" t="s">
        <v>115</v>
      </c>
      <c r="E9" s="2" t="n">
        <v>38353</v>
      </c>
      <c r="F9" s="17" t="n">
        <v>680000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1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23.85" hidden="false" customHeight="false" outlineLevel="0" collapsed="false">
      <c r="A1" s="1" t="s">
        <v>116</v>
      </c>
      <c r="B1" s="1" t="s">
        <v>1</v>
      </c>
      <c r="C1" s="1" t="s">
        <v>2</v>
      </c>
      <c r="D1" s="1" t="s">
        <v>5</v>
      </c>
      <c r="E1" s="1" t="s">
        <v>117</v>
      </c>
      <c r="F1" s="1" t="s">
        <v>118</v>
      </c>
      <c r="G1" s="1" t="s">
        <v>119</v>
      </c>
    </row>
    <row r="2" customFormat="false" ht="15" hidden="false" customHeight="false" outlineLevel="0" collapsed="false">
      <c r="A2" s="18" t="n">
        <v>46023</v>
      </c>
      <c r="B2" s="3" t="s">
        <v>31</v>
      </c>
      <c r="C2" s="3" t="s">
        <v>23</v>
      </c>
      <c r="D2" s="3" t="s">
        <v>20</v>
      </c>
      <c r="E2" s="17" t="n">
        <v>10080</v>
      </c>
      <c r="F2" s="17" t="n">
        <v>5850</v>
      </c>
      <c r="G2" s="6" t="n">
        <v>0.58</v>
      </c>
    </row>
    <row r="3" customFormat="false" ht="15" hidden="false" customHeight="false" outlineLevel="0" collapsed="false">
      <c r="A3" s="19" t="n">
        <v>46023</v>
      </c>
      <c r="B3" s="8" t="s">
        <v>31</v>
      </c>
      <c r="C3" s="8" t="s">
        <v>23</v>
      </c>
      <c r="D3" s="8" t="s">
        <v>26</v>
      </c>
      <c r="E3" s="16" t="n">
        <v>7200</v>
      </c>
      <c r="F3" s="16" t="n">
        <v>4320</v>
      </c>
      <c r="G3" s="11" t="n">
        <v>0.6</v>
      </c>
    </row>
    <row r="4" customFormat="false" ht="15" hidden="false" customHeight="false" outlineLevel="0" collapsed="false">
      <c r="A4" s="18" t="n">
        <v>46023</v>
      </c>
      <c r="B4" s="3" t="s">
        <v>31</v>
      </c>
      <c r="C4" s="3" t="s">
        <v>23</v>
      </c>
      <c r="D4" s="3" t="s">
        <v>50</v>
      </c>
      <c r="E4" s="17" t="n">
        <v>5400</v>
      </c>
      <c r="F4" s="17" t="n">
        <v>3510</v>
      </c>
      <c r="G4" s="6" t="n">
        <v>0.65</v>
      </c>
    </row>
    <row r="5" customFormat="false" ht="15" hidden="false" customHeight="false" outlineLevel="0" collapsed="false">
      <c r="A5" s="19" t="n">
        <v>46023</v>
      </c>
      <c r="B5" s="8" t="s">
        <v>31</v>
      </c>
      <c r="C5" s="8" t="s">
        <v>23</v>
      </c>
      <c r="D5" s="8" t="s">
        <v>57</v>
      </c>
      <c r="E5" s="16" t="n">
        <v>4320</v>
      </c>
      <c r="F5" s="16" t="n">
        <v>2760</v>
      </c>
      <c r="G5" s="11" t="n">
        <v>0.64</v>
      </c>
    </row>
    <row r="6" customFormat="false" ht="15" hidden="false" customHeight="false" outlineLevel="0" collapsed="false">
      <c r="A6" s="18" t="n">
        <v>46023</v>
      </c>
      <c r="B6" s="3" t="s">
        <v>31</v>
      </c>
      <c r="C6" s="3" t="s">
        <v>23</v>
      </c>
      <c r="D6" s="3" t="s">
        <v>34</v>
      </c>
      <c r="E6" s="17" t="n">
        <v>4320</v>
      </c>
      <c r="F6" s="17" t="n">
        <v>2980</v>
      </c>
      <c r="G6" s="6" t="n">
        <v>0.69</v>
      </c>
    </row>
    <row r="7" customFormat="false" ht="15" hidden="false" customHeight="false" outlineLevel="0" collapsed="false">
      <c r="A7" s="19" t="n">
        <v>46023</v>
      </c>
      <c r="B7" s="8" t="s">
        <v>31</v>
      </c>
      <c r="C7" s="8" t="s">
        <v>23</v>
      </c>
      <c r="D7" s="8" t="s">
        <v>40</v>
      </c>
      <c r="E7" s="16" t="n">
        <v>4680</v>
      </c>
      <c r="F7" s="16" t="n">
        <v>3040</v>
      </c>
      <c r="G7" s="11" t="n">
        <v>0.65</v>
      </c>
    </row>
    <row r="8" customFormat="false" ht="15" hidden="false" customHeight="false" outlineLevel="0" collapsed="false">
      <c r="A8" s="18" t="n">
        <v>46023</v>
      </c>
      <c r="B8" s="3" t="s">
        <v>22</v>
      </c>
      <c r="C8" s="3" t="s">
        <v>23</v>
      </c>
      <c r="D8" s="3" t="s">
        <v>20</v>
      </c>
      <c r="E8" s="17" t="n">
        <v>6800</v>
      </c>
      <c r="F8" s="17" t="n">
        <v>3940</v>
      </c>
      <c r="G8" s="6" t="n">
        <v>0.58</v>
      </c>
    </row>
    <row r="9" customFormat="false" ht="15" hidden="false" customHeight="false" outlineLevel="0" collapsed="false">
      <c r="A9" s="19" t="n">
        <v>46023</v>
      </c>
      <c r="B9" s="8" t="s">
        <v>22</v>
      </c>
      <c r="C9" s="8" t="s">
        <v>23</v>
      </c>
      <c r="D9" s="8" t="s">
        <v>26</v>
      </c>
      <c r="E9" s="16" t="n">
        <v>4860</v>
      </c>
      <c r="F9" s="16" t="n">
        <v>2920</v>
      </c>
      <c r="G9" s="11" t="n">
        <v>0.6</v>
      </c>
    </row>
    <row r="10" customFormat="false" ht="15" hidden="false" customHeight="false" outlineLevel="0" collapsed="false">
      <c r="A10" s="18" t="n">
        <v>46023</v>
      </c>
      <c r="B10" s="3" t="s">
        <v>22</v>
      </c>
      <c r="C10" s="3" t="s">
        <v>23</v>
      </c>
      <c r="D10" s="3" t="s">
        <v>50</v>
      </c>
      <c r="E10" s="17" t="n">
        <v>3640</v>
      </c>
      <c r="F10" s="17" t="n">
        <v>2370</v>
      </c>
      <c r="G10" s="6" t="n">
        <v>0.65</v>
      </c>
    </row>
    <row r="11" customFormat="false" ht="15" hidden="false" customHeight="false" outlineLevel="0" collapsed="false">
      <c r="A11" s="19" t="n">
        <v>46023</v>
      </c>
      <c r="B11" s="8" t="s">
        <v>22</v>
      </c>
      <c r="C11" s="8" t="s">
        <v>23</v>
      </c>
      <c r="D11" s="8" t="s">
        <v>57</v>
      </c>
      <c r="E11" s="16" t="n">
        <v>2920</v>
      </c>
      <c r="F11" s="16" t="n">
        <v>1870</v>
      </c>
      <c r="G11" s="11" t="n">
        <v>0.64</v>
      </c>
    </row>
    <row r="12" customFormat="false" ht="15" hidden="false" customHeight="false" outlineLevel="0" collapsed="false">
      <c r="A12" s="18" t="n">
        <v>46023</v>
      </c>
      <c r="B12" s="3" t="s">
        <v>22</v>
      </c>
      <c r="C12" s="3" t="s">
        <v>23</v>
      </c>
      <c r="D12" s="3" t="s">
        <v>34</v>
      </c>
      <c r="E12" s="17" t="n">
        <v>2920</v>
      </c>
      <c r="F12" s="17" t="n">
        <v>2010</v>
      </c>
      <c r="G12" s="6" t="n">
        <v>0.69</v>
      </c>
    </row>
    <row r="13" customFormat="false" ht="15" hidden="false" customHeight="false" outlineLevel="0" collapsed="false">
      <c r="A13" s="19" t="n">
        <v>46023</v>
      </c>
      <c r="B13" s="8" t="s">
        <v>22</v>
      </c>
      <c r="C13" s="8" t="s">
        <v>23</v>
      </c>
      <c r="D13" s="8" t="s">
        <v>40</v>
      </c>
      <c r="E13" s="16" t="n">
        <v>3160</v>
      </c>
      <c r="F13" s="16" t="n">
        <v>2050</v>
      </c>
      <c r="G13" s="11" t="n">
        <v>0.65</v>
      </c>
    </row>
    <row r="14" customFormat="false" ht="15" hidden="false" customHeight="false" outlineLevel="0" collapsed="false">
      <c r="A14" s="18" t="n">
        <v>46023</v>
      </c>
      <c r="B14" s="3" t="s">
        <v>16</v>
      </c>
      <c r="C14" s="3" t="s">
        <v>17</v>
      </c>
      <c r="D14" s="3" t="s">
        <v>20</v>
      </c>
      <c r="E14" s="17" t="n">
        <v>8820</v>
      </c>
      <c r="F14" s="17" t="n">
        <v>5120</v>
      </c>
      <c r="G14" s="6" t="n">
        <v>0.58</v>
      </c>
    </row>
    <row r="15" customFormat="false" ht="15" hidden="false" customHeight="false" outlineLevel="0" collapsed="false">
      <c r="A15" s="19" t="n">
        <v>46023</v>
      </c>
      <c r="B15" s="8" t="s">
        <v>16</v>
      </c>
      <c r="C15" s="8" t="s">
        <v>17</v>
      </c>
      <c r="D15" s="8" t="s">
        <v>26</v>
      </c>
      <c r="E15" s="16" t="n">
        <v>6300</v>
      </c>
      <c r="F15" s="16" t="n">
        <v>3780</v>
      </c>
      <c r="G15" s="11" t="n">
        <v>0.6</v>
      </c>
    </row>
    <row r="16" customFormat="false" ht="15" hidden="false" customHeight="false" outlineLevel="0" collapsed="false">
      <c r="A16" s="18" t="n">
        <v>46023</v>
      </c>
      <c r="B16" s="3" t="s">
        <v>16</v>
      </c>
      <c r="C16" s="3" t="s">
        <v>17</v>
      </c>
      <c r="D16" s="3" t="s">
        <v>50</v>
      </c>
      <c r="E16" s="17" t="n">
        <v>4720</v>
      </c>
      <c r="F16" s="17" t="n">
        <v>3070</v>
      </c>
      <c r="G16" s="6" t="n">
        <v>0.65</v>
      </c>
    </row>
    <row r="17" customFormat="false" ht="15" hidden="false" customHeight="false" outlineLevel="0" collapsed="false">
      <c r="A17" s="19" t="n">
        <v>46023</v>
      </c>
      <c r="B17" s="8" t="s">
        <v>16</v>
      </c>
      <c r="C17" s="8" t="s">
        <v>17</v>
      </c>
      <c r="D17" s="8" t="s">
        <v>57</v>
      </c>
      <c r="E17" s="16" t="n">
        <v>3780</v>
      </c>
      <c r="F17" s="16" t="n">
        <v>2420</v>
      </c>
      <c r="G17" s="11" t="n">
        <v>0.64</v>
      </c>
    </row>
    <row r="18" customFormat="false" ht="15" hidden="false" customHeight="false" outlineLevel="0" collapsed="false">
      <c r="A18" s="18" t="n">
        <v>46023</v>
      </c>
      <c r="B18" s="3" t="s">
        <v>16</v>
      </c>
      <c r="C18" s="3" t="s">
        <v>17</v>
      </c>
      <c r="D18" s="3" t="s">
        <v>34</v>
      </c>
      <c r="E18" s="17" t="n">
        <v>3780</v>
      </c>
      <c r="F18" s="17" t="n">
        <v>2610</v>
      </c>
      <c r="G18" s="6" t="n">
        <v>0.69</v>
      </c>
    </row>
    <row r="19" customFormat="false" ht="15" hidden="false" customHeight="false" outlineLevel="0" collapsed="false">
      <c r="A19" s="19" t="n">
        <v>46023</v>
      </c>
      <c r="B19" s="8" t="s">
        <v>16</v>
      </c>
      <c r="C19" s="8" t="s">
        <v>17</v>
      </c>
      <c r="D19" s="8" t="s">
        <v>40</v>
      </c>
      <c r="E19" s="16" t="n">
        <v>4100</v>
      </c>
      <c r="F19" s="16" t="n">
        <v>2660</v>
      </c>
      <c r="G19" s="11" t="n">
        <v>0.65</v>
      </c>
    </row>
    <row r="20" customFormat="false" ht="15" hidden="false" customHeight="false" outlineLevel="0" collapsed="false">
      <c r="A20" s="18" t="n">
        <v>46023</v>
      </c>
      <c r="B20" s="3" t="s">
        <v>37</v>
      </c>
      <c r="C20" s="3" t="s">
        <v>17</v>
      </c>
      <c r="D20" s="3" t="s">
        <v>20</v>
      </c>
      <c r="E20" s="17" t="n">
        <v>6050</v>
      </c>
      <c r="F20" s="17" t="n">
        <v>3510</v>
      </c>
      <c r="G20" s="6" t="n">
        <v>0.58</v>
      </c>
    </row>
    <row r="21" customFormat="false" ht="15" hidden="false" customHeight="false" outlineLevel="0" collapsed="false">
      <c r="A21" s="19" t="n">
        <v>46023</v>
      </c>
      <c r="B21" s="8" t="s">
        <v>37</v>
      </c>
      <c r="C21" s="8" t="s">
        <v>17</v>
      </c>
      <c r="D21" s="8" t="s">
        <v>26</v>
      </c>
      <c r="E21" s="16" t="n">
        <v>4320</v>
      </c>
      <c r="F21" s="16" t="n">
        <v>2590</v>
      </c>
      <c r="G21" s="11" t="n">
        <v>0.6</v>
      </c>
    </row>
    <row r="22" customFormat="false" ht="15" hidden="false" customHeight="false" outlineLevel="0" collapsed="false">
      <c r="A22" s="18" t="n">
        <v>46023</v>
      </c>
      <c r="B22" s="3" t="s">
        <v>37</v>
      </c>
      <c r="C22" s="3" t="s">
        <v>17</v>
      </c>
      <c r="D22" s="3" t="s">
        <v>50</v>
      </c>
      <c r="E22" s="17" t="n">
        <v>3240</v>
      </c>
      <c r="F22" s="17" t="n">
        <v>2110</v>
      </c>
      <c r="G22" s="6" t="n">
        <v>0.65</v>
      </c>
    </row>
    <row r="23" customFormat="false" ht="15" hidden="false" customHeight="false" outlineLevel="0" collapsed="false">
      <c r="A23" s="19" t="n">
        <v>46023</v>
      </c>
      <c r="B23" s="8" t="s">
        <v>37</v>
      </c>
      <c r="C23" s="8" t="s">
        <v>17</v>
      </c>
      <c r="D23" s="8" t="s">
        <v>57</v>
      </c>
      <c r="E23" s="16" t="n">
        <v>2590</v>
      </c>
      <c r="F23" s="16" t="n">
        <v>1660</v>
      </c>
      <c r="G23" s="11" t="n">
        <v>0.64</v>
      </c>
    </row>
    <row r="24" customFormat="false" ht="15" hidden="false" customHeight="false" outlineLevel="0" collapsed="false">
      <c r="A24" s="18" t="n">
        <v>46023</v>
      </c>
      <c r="B24" s="3" t="s">
        <v>37</v>
      </c>
      <c r="C24" s="3" t="s">
        <v>17</v>
      </c>
      <c r="D24" s="3" t="s">
        <v>34</v>
      </c>
      <c r="E24" s="17" t="n">
        <v>2590</v>
      </c>
      <c r="F24" s="17" t="n">
        <v>1790</v>
      </c>
      <c r="G24" s="6" t="n">
        <v>0.69</v>
      </c>
    </row>
    <row r="25" customFormat="false" ht="15" hidden="false" customHeight="false" outlineLevel="0" collapsed="false">
      <c r="A25" s="19" t="n">
        <v>46023</v>
      </c>
      <c r="B25" s="8" t="s">
        <v>37</v>
      </c>
      <c r="C25" s="8" t="s">
        <v>17</v>
      </c>
      <c r="D25" s="8" t="s">
        <v>40</v>
      </c>
      <c r="E25" s="16" t="n">
        <v>2810</v>
      </c>
      <c r="F25" s="16" t="n">
        <v>1830</v>
      </c>
      <c r="G25" s="11" t="n">
        <v>0.65</v>
      </c>
    </row>
    <row r="26" customFormat="false" ht="15" hidden="false" customHeight="false" outlineLevel="0" collapsed="false">
      <c r="A26" s="18" t="n">
        <v>46023</v>
      </c>
      <c r="B26" s="3" t="s">
        <v>27</v>
      </c>
      <c r="C26" s="3" t="s">
        <v>28</v>
      </c>
      <c r="D26" s="3" t="s">
        <v>20</v>
      </c>
      <c r="E26" s="17" t="n">
        <v>11090</v>
      </c>
      <c r="F26" s="17" t="n">
        <v>6430</v>
      </c>
      <c r="G26" s="6" t="n">
        <v>0.58</v>
      </c>
    </row>
    <row r="27" customFormat="false" ht="15" hidden="false" customHeight="false" outlineLevel="0" collapsed="false">
      <c r="A27" s="19" t="n">
        <v>46023</v>
      </c>
      <c r="B27" s="8" t="s">
        <v>27</v>
      </c>
      <c r="C27" s="8" t="s">
        <v>28</v>
      </c>
      <c r="D27" s="8" t="s">
        <v>26</v>
      </c>
      <c r="E27" s="16" t="n">
        <v>7920</v>
      </c>
      <c r="F27" s="16" t="n">
        <v>4750</v>
      </c>
      <c r="G27" s="11" t="n">
        <v>0.6</v>
      </c>
    </row>
    <row r="28" customFormat="false" ht="15" hidden="false" customHeight="false" outlineLevel="0" collapsed="false">
      <c r="A28" s="18" t="n">
        <v>46023</v>
      </c>
      <c r="B28" s="3" t="s">
        <v>27</v>
      </c>
      <c r="C28" s="3" t="s">
        <v>28</v>
      </c>
      <c r="D28" s="3" t="s">
        <v>50</v>
      </c>
      <c r="E28" s="17" t="n">
        <v>5940</v>
      </c>
      <c r="F28" s="17" t="n">
        <v>3860</v>
      </c>
      <c r="G28" s="6" t="n">
        <v>0.65</v>
      </c>
    </row>
    <row r="29" customFormat="false" ht="15" hidden="false" customHeight="false" outlineLevel="0" collapsed="false">
      <c r="A29" s="19" t="n">
        <v>46023</v>
      </c>
      <c r="B29" s="8" t="s">
        <v>27</v>
      </c>
      <c r="C29" s="8" t="s">
        <v>28</v>
      </c>
      <c r="D29" s="8" t="s">
        <v>57</v>
      </c>
      <c r="E29" s="16" t="n">
        <v>4750</v>
      </c>
      <c r="F29" s="16" t="n">
        <v>3040</v>
      </c>
      <c r="G29" s="11" t="n">
        <v>0.64</v>
      </c>
    </row>
    <row r="30" customFormat="false" ht="15" hidden="false" customHeight="false" outlineLevel="0" collapsed="false">
      <c r="A30" s="18" t="n">
        <v>46023</v>
      </c>
      <c r="B30" s="3" t="s">
        <v>27</v>
      </c>
      <c r="C30" s="3" t="s">
        <v>28</v>
      </c>
      <c r="D30" s="3" t="s">
        <v>34</v>
      </c>
      <c r="E30" s="17" t="n">
        <v>4750</v>
      </c>
      <c r="F30" s="17" t="n">
        <v>3280</v>
      </c>
      <c r="G30" s="6" t="n">
        <v>0.69</v>
      </c>
    </row>
    <row r="31" customFormat="false" ht="15" hidden="false" customHeight="false" outlineLevel="0" collapsed="false">
      <c r="A31" s="19" t="n">
        <v>46023</v>
      </c>
      <c r="B31" s="8" t="s">
        <v>27</v>
      </c>
      <c r="C31" s="8" t="s">
        <v>28</v>
      </c>
      <c r="D31" s="8" t="s">
        <v>40</v>
      </c>
      <c r="E31" s="16" t="n">
        <v>5150</v>
      </c>
      <c r="F31" s="16" t="n">
        <v>3350</v>
      </c>
      <c r="G31" s="11" t="n">
        <v>0.65</v>
      </c>
    </row>
    <row r="32" customFormat="false" ht="15" hidden="false" customHeight="false" outlineLevel="0" collapsed="false">
      <c r="A32" s="18" t="n">
        <v>46023</v>
      </c>
      <c r="B32" s="3" t="s">
        <v>41</v>
      </c>
      <c r="C32" s="3" t="s">
        <v>28</v>
      </c>
      <c r="D32" s="3" t="s">
        <v>20</v>
      </c>
      <c r="E32" s="17" t="n">
        <v>5800</v>
      </c>
      <c r="F32" s="17" t="n">
        <v>3360</v>
      </c>
      <c r="G32" s="6" t="n">
        <v>0.58</v>
      </c>
    </row>
    <row r="33" customFormat="false" ht="15" hidden="false" customHeight="false" outlineLevel="0" collapsed="false">
      <c r="A33" s="19" t="n">
        <v>46023</v>
      </c>
      <c r="B33" s="8" t="s">
        <v>41</v>
      </c>
      <c r="C33" s="8" t="s">
        <v>28</v>
      </c>
      <c r="D33" s="8" t="s">
        <v>26</v>
      </c>
      <c r="E33" s="16" t="n">
        <v>4140</v>
      </c>
      <c r="F33" s="16" t="n">
        <v>2480</v>
      </c>
      <c r="G33" s="11" t="n">
        <v>0.6</v>
      </c>
    </row>
    <row r="34" customFormat="false" ht="15" hidden="false" customHeight="false" outlineLevel="0" collapsed="false">
      <c r="A34" s="18" t="n">
        <v>46023</v>
      </c>
      <c r="B34" s="3" t="s">
        <v>41</v>
      </c>
      <c r="C34" s="3" t="s">
        <v>28</v>
      </c>
      <c r="D34" s="3" t="s">
        <v>50</v>
      </c>
      <c r="E34" s="17" t="n">
        <v>3100</v>
      </c>
      <c r="F34" s="17" t="n">
        <v>2020</v>
      </c>
      <c r="G34" s="6" t="n">
        <v>0.65</v>
      </c>
    </row>
    <row r="35" customFormat="false" ht="15" hidden="false" customHeight="false" outlineLevel="0" collapsed="false">
      <c r="A35" s="19" t="n">
        <v>46023</v>
      </c>
      <c r="B35" s="8" t="s">
        <v>41</v>
      </c>
      <c r="C35" s="8" t="s">
        <v>28</v>
      </c>
      <c r="D35" s="8" t="s">
        <v>57</v>
      </c>
      <c r="E35" s="16" t="n">
        <v>2480</v>
      </c>
      <c r="F35" s="16" t="n">
        <v>1590</v>
      </c>
      <c r="G35" s="11" t="n">
        <v>0.64</v>
      </c>
    </row>
    <row r="36" customFormat="false" ht="15" hidden="false" customHeight="false" outlineLevel="0" collapsed="false">
      <c r="A36" s="18" t="n">
        <v>46023</v>
      </c>
      <c r="B36" s="3" t="s">
        <v>41</v>
      </c>
      <c r="C36" s="3" t="s">
        <v>28</v>
      </c>
      <c r="D36" s="3" t="s">
        <v>34</v>
      </c>
      <c r="E36" s="17" t="n">
        <v>2480</v>
      </c>
      <c r="F36" s="17" t="n">
        <v>1710</v>
      </c>
      <c r="G36" s="6" t="n">
        <v>0.69</v>
      </c>
    </row>
    <row r="37" customFormat="false" ht="15" hidden="false" customHeight="false" outlineLevel="0" collapsed="false">
      <c r="A37" s="19" t="n">
        <v>46023</v>
      </c>
      <c r="B37" s="8" t="s">
        <v>41</v>
      </c>
      <c r="C37" s="8" t="s">
        <v>28</v>
      </c>
      <c r="D37" s="8" t="s">
        <v>40</v>
      </c>
      <c r="E37" s="16" t="n">
        <v>2690</v>
      </c>
      <c r="F37" s="16" t="n">
        <v>1750</v>
      </c>
      <c r="G37" s="11" t="n">
        <v>0.65</v>
      </c>
    </row>
    <row r="38" customFormat="false" ht="15" hidden="false" customHeight="false" outlineLevel="0" collapsed="false">
      <c r="A38" s="18" t="n">
        <v>46023</v>
      </c>
      <c r="B38" s="3" t="s">
        <v>64</v>
      </c>
      <c r="C38" s="3" t="s">
        <v>65</v>
      </c>
      <c r="D38" s="3" t="s">
        <v>20</v>
      </c>
      <c r="E38" s="17" t="n">
        <v>7810</v>
      </c>
      <c r="F38" s="17" t="n">
        <v>4530</v>
      </c>
      <c r="G38" s="6" t="n">
        <v>0.58</v>
      </c>
    </row>
    <row r="39" customFormat="false" ht="15" hidden="false" customHeight="false" outlineLevel="0" collapsed="false">
      <c r="A39" s="19" t="n">
        <v>46023</v>
      </c>
      <c r="B39" s="8" t="s">
        <v>64</v>
      </c>
      <c r="C39" s="8" t="s">
        <v>65</v>
      </c>
      <c r="D39" s="8" t="s">
        <v>26</v>
      </c>
      <c r="E39" s="16" t="n">
        <v>5580</v>
      </c>
      <c r="F39" s="16" t="n">
        <v>3350</v>
      </c>
      <c r="G39" s="11" t="n">
        <v>0.6</v>
      </c>
    </row>
    <row r="40" customFormat="false" ht="15" hidden="false" customHeight="false" outlineLevel="0" collapsed="false">
      <c r="A40" s="18" t="n">
        <v>46023</v>
      </c>
      <c r="B40" s="3" t="s">
        <v>64</v>
      </c>
      <c r="C40" s="3" t="s">
        <v>65</v>
      </c>
      <c r="D40" s="3" t="s">
        <v>50</v>
      </c>
      <c r="E40" s="17" t="n">
        <v>4180</v>
      </c>
      <c r="F40" s="17" t="n">
        <v>2720</v>
      </c>
      <c r="G40" s="6" t="n">
        <v>0.65</v>
      </c>
    </row>
    <row r="41" customFormat="false" ht="15" hidden="false" customHeight="false" outlineLevel="0" collapsed="false">
      <c r="A41" s="19" t="n">
        <v>46023</v>
      </c>
      <c r="B41" s="8" t="s">
        <v>64</v>
      </c>
      <c r="C41" s="8" t="s">
        <v>65</v>
      </c>
      <c r="D41" s="8" t="s">
        <v>57</v>
      </c>
      <c r="E41" s="16" t="n">
        <v>3350</v>
      </c>
      <c r="F41" s="16" t="n">
        <v>2140</v>
      </c>
      <c r="G41" s="11" t="n">
        <v>0.64</v>
      </c>
    </row>
    <row r="42" customFormat="false" ht="15" hidden="false" customHeight="false" outlineLevel="0" collapsed="false">
      <c r="A42" s="18" t="n">
        <v>46023</v>
      </c>
      <c r="B42" s="3" t="s">
        <v>64</v>
      </c>
      <c r="C42" s="3" t="s">
        <v>65</v>
      </c>
      <c r="D42" s="3" t="s">
        <v>34</v>
      </c>
      <c r="E42" s="17" t="n">
        <v>3350</v>
      </c>
      <c r="F42" s="17" t="n">
        <v>2310</v>
      </c>
      <c r="G42" s="6" t="n">
        <v>0.69</v>
      </c>
    </row>
    <row r="43" customFormat="false" ht="15" hidden="false" customHeight="false" outlineLevel="0" collapsed="false">
      <c r="A43" s="19" t="n">
        <v>46023</v>
      </c>
      <c r="B43" s="8" t="s">
        <v>64</v>
      </c>
      <c r="C43" s="8" t="s">
        <v>65</v>
      </c>
      <c r="D43" s="8" t="s">
        <v>40</v>
      </c>
      <c r="E43" s="16" t="n">
        <v>3630</v>
      </c>
      <c r="F43" s="16" t="n">
        <v>2360</v>
      </c>
      <c r="G43" s="11" t="n">
        <v>0.65</v>
      </c>
    </row>
    <row r="44" customFormat="false" ht="15" hidden="false" customHeight="false" outlineLevel="0" collapsed="false">
      <c r="A44" s="18" t="n">
        <v>46023</v>
      </c>
      <c r="B44" s="3" t="s">
        <v>58</v>
      </c>
      <c r="C44" s="3" t="s">
        <v>58</v>
      </c>
      <c r="D44" s="3" t="s">
        <v>20</v>
      </c>
      <c r="E44" s="17" t="n">
        <v>14360</v>
      </c>
      <c r="F44" s="17" t="n">
        <v>8330</v>
      </c>
      <c r="G44" s="6" t="n">
        <v>0.58</v>
      </c>
    </row>
    <row r="45" customFormat="false" ht="15" hidden="false" customHeight="false" outlineLevel="0" collapsed="false">
      <c r="A45" s="19" t="n">
        <v>46023</v>
      </c>
      <c r="B45" s="8" t="s">
        <v>58</v>
      </c>
      <c r="C45" s="8" t="s">
        <v>58</v>
      </c>
      <c r="D45" s="8" t="s">
        <v>26</v>
      </c>
      <c r="E45" s="16" t="n">
        <v>10260</v>
      </c>
      <c r="F45" s="16" t="n">
        <v>6160</v>
      </c>
      <c r="G45" s="11" t="n">
        <v>0.6</v>
      </c>
    </row>
    <row r="46" customFormat="false" ht="15" hidden="false" customHeight="false" outlineLevel="0" collapsed="false">
      <c r="A46" s="18" t="n">
        <v>46023</v>
      </c>
      <c r="B46" s="3" t="s">
        <v>58</v>
      </c>
      <c r="C46" s="3" t="s">
        <v>58</v>
      </c>
      <c r="D46" s="3" t="s">
        <v>50</v>
      </c>
      <c r="E46" s="17" t="n">
        <v>7700</v>
      </c>
      <c r="F46" s="17" t="n">
        <v>5000</v>
      </c>
      <c r="G46" s="6" t="n">
        <v>0.65</v>
      </c>
    </row>
    <row r="47" customFormat="false" ht="15" hidden="false" customHeight="false" outlineLevel="0" collapsed="false">
      <c r="A47" s="19" t="n">
        <v>46023</v>
      </c>
      <c r="B47" s="8" t="s">
        <v>58</v>
      </c>
      <c r="C47" s="8" t="s">
        <v>58</v>
      </c>
      <c r="D47" s="8" t="s">
        <v>57</v>
      </c>
      <c r="E47" s="16" t="n">
        <v>6160</v>
      </c>
      <c r="F47" s="16" t="n">
        <v>3940</v>
      </c>
      <c r="G47" s="11" t="n">
        <v>0.64</v>
      </c>
    </row>
    <row r="48" customFormat="false" ht="15" hidden="false" customHeight="false" outlineLevel="0" collapsed="false">
      <c r="A48" s="18" t="n">
        <v>46023</v>
      </c>
      <c r="B48" s="3" t="s">
        <v>58</v>
      </c>
      <c r="C48" s="3" t="s">
        <v>58</v>
      </c>
      <c r="D48" s="3" t="s">
        <v>34</v>
      </c>
      <c r="E48" s="17" t="n">
        <v>6160</v>
      </c>
      <c r="F48" s="17" t="n">
        <v>4250</v>
      </c>
      <c r="G48" s="6" t="n">
        <v>0.69</v>
      </c>
    </row>
    <row r="49" customFormat="false" ht="15" hidden="false" customHeight="false" outlineLevel="0" collapsed="false">
      <c r="A49" s="19" t="n">
        <v>46023</v>
      </c>
      <c r="B49" s="8" t="s">
        <v>58</v>
      </c>
      <c r="C49" s="8" t="s">
        <v>58</v>
      </c>
      <c r="D49" s="8" t="s">
        <v>40</v>
      </c>
      <c r="E49" s="16" t="n">
        <v>6670</v>
      </c>
      <c r="F49" s="16" t="n">
        <v>4340</v>
      </c>
      <c r="G49" s="11" t="n">
        <v>0.65</v>
      </c>
    </row>
    <row r="50" customFormat="false" ht="15" hidden="false" customHeight="false" outlineLevel="0" collapsed="false">
      <c r="A50" s="18" t="n">
        <v>46054</v>
      </c>
      <c r="B50" s="3" t="s">
        <v>31</v>
      </c>
      <c r="C50" s="3" t="s">
        <v>23</v>
      </c>
      <c r="D50" s="3" t="s">
        <v>20</v>
      </c>
      <c r="E50" s="17" t="n">
        <v>9860</v>
      </c>
      <c r="F50" s="17" t="n">
        <v>5720</v>
      </c>
      <c r="G50" s="6" t="n">
        <v>0.58</v>
      </c>
    </row>
    <row r="51" customFormat="false" ht="15" hidden="false" customHeight="false" outlineLevel="0" collapsed="false">
      <c r="A51" s="19" t="n">
        <v>46054</v>
      </c>
      <c r="B51" s="8" t="s">
        <v>31</v>
      </c>
      <c r="C51" s="8" t="s">
        <v>23</v>
      </c>
      <c r="D51" s="8" t="s">
        <v>26</v>
      </c>
      <c r="E51" s="16" t="n">
        <v>7040</v>
      </c>
      <c r="F51" s="16" t="n">
        <v>4220</v>
      </c>
      <c r="G51" s="11" t="n">
        <v>0.6</v>
      </c>
    </row>
    <row r="52" customFormat="false" ht="15" hidden="false" customHeight="false" outlineLevel="0" collapsed="false">
      <c r="A52" s="18" t="n">
        <v>46054</v>
      </c>
      <c r="B52" s="3" t="s">
        <v>31</v>
      </c>
      <c r="C52" s="3" t="s">
        <v>23</v>
      </c>
      <c r="D52" s="3" t="s">
        <v>50</v>
      </c>
      <c r="E52" s="17" t="n">
        <v>5280</v>
      </c>
      <c r="F52" s="17" t="n">
        <v>3430</v>
      </c>
      <c r="G52" s="6" t="n">
        <v>0.65</v>
      </c>
    </row>
    <row r="53" customFormat="false" ht="15" hidden="false" customHeight="false" outlineLevel="0" collapsed="false">
      <c r="A53" s="19" t="n">
        <v>46054</v>
      </c>
      <c r="B53" s="8" t="s">
        <v>31</v>
      </c>
      <c r="C53" s="8" t="s">
        <v>23</v>
      </c>
      <c r="D53" s="8" t="s">
        <v>57</v>
      </c>
      <c r="E53" s="16" t="n">
        <v>4220</v>
      </c>
      <c r="F53" s="16" t="n">
        <v>2700</v>
      </c>
      <c r="G53" s="11" t="n">
        <v>0.64</v>
      </c>
    </row>
    <row r="54" customFormat="false" ht="15" hidden="false" customHeight="false" outlineLevel="0" collapsed="false">
      <c r="A54" s="18" t="n">
        <v>46054</v>
      </c>
      <c r="B54" s="3" t="s">
        <v>31</v>
      </c>
      <c r="C54" s="3" t="s">
        <v>23</v>
      </c>
      <c r="D54" s="3" t="s">
        <v>34</v>
      </c>
      <c r="E54" s="17" t="n">
        <v>4220</v>
      </c>
      <c r="F54" s="17" t="n">
        <v>2910</v>
      </c>
      <c r="G54" s="6" t="n">
        <v>0.69</v>
      </c>
    </row>
    <row r="55" customFormat="false" ht="15" hidden="false" customHeight="false" outlineLevel="0" collapsed="false">
      <c r="A55" s="19" t="n">
        <v>46054</v>
      </c>
      <c r="B55" s="8" t="s">
        <v>31</v>
      </c>
      <c r="C55" s="8" t="s">
        <v>23</v>
      </c>
      <c r="D55" s="8" t="s">
        <v>40</v>
      </c>
      <c r="E55" s="16" t="n">
        <v>4580</v>
      </c>
      <c r="F55" s="16" t="n">
        <v>2980</v>
      </c>
      <c r="G55" s="11" t="n">
        <v>0.65</v>
      </c>
    </row>
    <row r="56" customFormat="false" ht="15" hidden="false" customHeight="false" outlineLevel="0" collapsed="false">
      <c r="A56" s="18" t="n">
        <v>46054</v>
      </c>
      <c r="B56" s="3" t="s">
        <v>22</v>
      </c>
      <c r="C56" s="3" t="s">
        <v>23</v>
      </c>
      <c r="D56" s="3" t="s">
        <v>20</v>
      </c>
      <c r="E56" s="17" t="n">
        <v>6650</v>
      </c>
      <c r="F56" s="17" t="n">
        <v>3860</v>
      </c>
      <c r="G56" s="6" t="n">
        <v>0.58</v>
      </c>
    </row>
    <row r="57" customFormat="false" ht="15" hidden="false" customHeight="false" outlineLevel="0" collapsed="false">
      <c r="A57" s="19" t="n">
        <v>46054</v>
      </c>
      <c r="B57" s="8" t="s">
        <v>22</v>
      </c>
      <c r="C57" s="8" t="s">
        <v>23</v>
      </c>
      <c r="D57" s="8" t="s">
        <v>26</v>
      </c>
      <c r="E57" s="16" t="n">
        <v>4750</v>
      </c>
      <c r="F57" s="16" t="n">
        <v>2850</v>
      </c>
      <c r="G57" s="11" t="n">
        <v>0.6</v>
      </c>
    </row>
    <row r="58" customFormat="false" ht="15" hidden="false" customHeight="false" outlineLevel="0" collapsed="false">
      <c r="A58" s="18" t="n">
        <v>46054</v>
      </c>
      <c r="B58" s="3" t="s">
        <v>22</v>
      </c>
      <c r="C58" s="3" t="s">
        <v>23</v>
      </c>
      <c r="D58" s="3" t="s">
        <v>50</v>
      </c>
      <c r="E58" s="17" t="n">
        <v>3560</v>
      </c>
      <c r="F58" s="17" t="n">
        <v>2310</v>
      </c>
      <c r="G58" s="6" t="n">
        <v>0.65</v>
      </c>
    </row>
    <row r="59" customFormat="false" ht="15" hidden="false" customHeight="false" outlineLevel="0" collapsed="false">
      <c r="A59" s="19" t="n">
        <v>46054</v>
      </c>
      <c r="B59" s="8" t="s">
        <v>22</v>
      </c>
      <c r="C59" s="8" t="s">
        <v>23</v>
      </c>
      <c r="D59" s="8" t="s">
        <v>57</v>
      </c>
      <c r="E59" s="16" t="n">
        <v>2850</v>
      </c>
      <c r="F59" s="16" t="n">
        <v>1820</v>
      </c>
      <c r="G59" s="11" t="n">
        <v>0.64</v>
      </c>
    </row>
    <row r="60" customFormat="false" ht="15" hidden="false" customHeight="false" outlineLevel="0" collapsed="false">
      <c r="A60" s="18" t="n">
        <v>46054</v>
      </c>
      <c r="B60" s="3" t="s">
        <v>22</v>
      </c>
      <c r="C60" s="3" t="s">
        <v>23</v>
      </c>
      <c r="D60" s="3" t="s">
        <v>34</v>
      </c>
      <c r="E60" s="17" t="n">
        <v>2850</v>
      </c>
      <c r="F60" s="17" t="n">
        <v>1970</v>
      </c>
      <c r="G60" s="6" t="n">
        <v>0.69</v>
      </c>
    </row>
    <row r="61" customFormat="false" ht="15" hidden="false" customHeight="false" outlineLevel="0" collapsed="false">
      <c r="A61" s="19" t="n">
        <v>46054</v>
      </c>
      <c r="B61" s="8" t="s">
        <v>22</v>
      </c>
      <c r="C61" s="8" t="s">
        <v>23</v>
      </c>
      <c r="D61" s="8" t="s">
        <v>40</v>
      </c>
      <c r="E61" s="16" t="n">
        <v>3090</v>
      </c>
      <c r="F61" s="16" t="n">
        <v>2010</v>
      </c>
      <c r="G61" s="11" t="n">
        <v>0.65</v>
      </c>
    </row>
    <row r="62" customFormat="false" ht="15" hidden="false" customHeight="false" outlineLevel="0" collapsed="false">
      <c r="A62" s="18" t="n">
        <v>46054</v>
      </c>
      <c r="B62" s="3" t="s">
        <v>16</v>
      </c>
      <c r="C62" s="3" t="s">
        <v>17</v>
      </c>
      <c r="D62" s="3" t="s">
        <v>20</v>
      </c>
      <c r="E62" s="17" t="n">
        <v>8620</v>
      </c>
      <c r="F62" s="17" t="n">
        <v>5000</v>
      </c>
      <c r="G62" s="6" t="n">
        <v>0.58</v>
      </c>
    </row>
    <row r="63" customFormat="false" ht="15" hidden="false" customHeight="false" outlineLevel="0" collapsed="false">
      <c r="A63" s="19" t="n">
        <v>46054</v>
      </c>
      <c r="B63" s="8" t="s">
        <v>16</v>
      </c>
      <c r="C63" s="8" t="s">
        <v>17</v>
      </c>
      <c r="D63" s="8" t="s">
        <v>26</v>
      </c>
      <c r="E63" s="16" t="n">
        <v>6160</v>
      </c>
      <c r="F63" s="16" t="n">
        <v>3700</v>
      </c>
      <c r="G63" s="11" t="n">
        <v>0.6</v>
      </c>
    </row>
    <row r="64" customFormat="false" ht="15" hidden="false" customHeight="false" outlineLevel="0" collapsed="false">
      <c r="A64" s="18" t="n">
        <v>46054</v>
      </c>
      <c r="B64" s="3" t="s">
        <v>16</v>
      </c>
      <c r="C64" s="3" t="s">
        <v>17</v>
      </c>
      <c r="D64" s="3" t="s">
        <v>50</v>
      </c>
      <c r="E64" s="17" t="n">
        <v>4620</v>
      </c>
      <c r="F64" s="17" t="n">
        <v>3000</v>
      </c>
      <c r="G64" s="6" t="n">
        <v>0.65</v>
      </c>
    </row>
    <row r="65" customFormat="false" ht="15" hidden="false" customHeight="false" outlineLevel="0" collapsed="false">
      <c r="A65" s="19" t="n">
        <v>46054</v>
      </c>
      <c r="B65" s="8" t="s">
        <v>16</v>
      </c>
      <c r="C65" s="8" t="s">
        <v>17</v>
      </c>
      <c r="D65" s="8" t="s">
        <v>57</v>
      </c>
      <c r="E65" s="16" t="n">
        <v>3700</v>
      </c>
      <c r="F65" s="16" t="n">
        <v>2370</v>
      </c>
      <c r="G65" s="11" t="n">
        <v>0.64</v>
      </c>
    </row>
    <row r="66" customFormat="false" ht="15" hidden="false" customHeight="false" outlineLevel="0" collapsed="false">
      <c r="A66" s="18" t="n">
        <v>46054</v>
      </c>
      <c r="B66" s="3" t="s">
        <v>16</v>
      </c>
      <c r="C66" s="3" t="s">
        <v>17</v>
      </c>
      <c r="D66" s="3" t="s">
        <v>34</v>
      </c>
      <c r="E66" s="17" t="n">
        <v>3700</v>
      </c>
      <c r="F66" s="17" t="n">
        <v>2550</v>
      </c>
      <c r="G66" s="6" t="n">
        <v>0.69</v>
      </c>
    </row>
    <row r="67" customFormat="false" ht="15" hidden="false" customHeight="false" outlineLevel="0" collapsed="false">
      <c r="A67" s="19" t="n">
        <v>46054</v>
      </c>
      <c r="B67" s="8" t="s">
        <v>16</v>
      </c>
      <c r="C67" s="8" t="s">
        <v>17</v>
      </c>
      <c r="D67" s="8" t="s">
        <v>40</v>
      </c>
      <c r="E67" s="16" t="n">
        <v>4000</v>
      </c>
      <c r="F67" s="16" t="n">
        <v>2600</v>
      </c>
      <c r="G67" s="11" t="n">
        <v>0.65</v>
      </c>
    </row>
    <row r="68" customFormat="false" ht="15" hidden="false" customHeight="false" outlineLevel="0" collapsed="false">
      <c r="A68" s="18" t="n">
        <v>46054</v>
      </c>
      <c r="B68" s="3" t="s">
        <v>37</v>
      </c>
      <c r="C68" s="3" t="s">
        <v>17</v>
      </c>
      <c r="D68" s="3" t="s">
        <v>20</v>
      </c>
      <c r="E68" s="17" t="n">
        <v>5910</v>
      </c>
      <c r="F68" s="17" t="n">
        <v>3430</v>
      </c>
      <c r="G68" s="6" t="n">
        <v>0.58</v>
      </c>
    </row>
    <row r="69" customFormat="false" ht="15" hidden="false" customHeight="false" outlineLevel="0" collapsed="false">
      <c r="A69" s="19" t="n">
        <v>46054</v>
      </c>
      <c r="B69" s="8" t="s">
        <v>37</v>
      </c>
      <c r="C69" s="8" t="s">
        <v>17</v>
      </c>
      <c r="D69" s="8" t="s">
        <v>26</v>
      </c>
      <c r="E69" s="16" t="n">
        <v>4220</v>
      </c>
      <c r="F69" s="16" t="n">
        <v>2530</v>
      </c>
      <c r="G69" s="11" t="n">
        <v>0.6</v>
      </c>
    </row>
    <row r="70" customFormat="false" ht="15" hidden="false" customHeight="false" outlineLevel="0" collapsed="false">
      <c r="A70" s="18" t="n">
        <v>46054</v>
      </c>
      <c r="B70" s="3" t="s">
        <v>37</v>
      </c>
      <c r="C70" s="3" t="s">
        <v>17</v>
      </c>
      <c r="D70" s="3" t="s">
        <v>50</v>
      </c>
      <c r="E70" s="17" t="n">
        <v>3170</v>
      </c>
      <c r="F70" s="17" t="n">
        <v>2060</v>
      </c>
      <c r="G70" s="6" t="n">
        <v>0.65</v>
      </c>
    </row>
    <row r="71" customFormat="false" ht="15" hidden="false" customHeight="false" outlineLevel="0" collapsed="false">
      <c r="A71" s="19" t="n">
        <v>46054</v>
      </c>
      <c r="B71" s="8" t="s">
        <v>37</v>
      </c>
      <c r="C71" s="8" t="s">
        <v>17</v>
      </c>
      <c r="D71" s="8" t="s">
        <v>57</v>
      </c>
      <c r="E71" s="16" t="n">
        <v>2530</v>
      </c>
      <c r="F71" s="16" t="n">
        <v>1620</v>
      </c>
      <c r="G71" s="11" t="n">
        <v>0.64</v>
      </c>
    </row>
    <row r="72" customFormat="false" ht="15" hidden="false" customHeight="false" outlineLevel="0" collapsed="false">
      <c r="A72" s="18" t="n">
        <v>46054</v>
      </c>
      <c r="B72" s="3" t="s">
        <v>37</v>
      </c>
      <c r="C72" s="3" t="s">
        <v>17</v>
      </c>
      <c r="D72" s="3" t="s">
        <v>34</v>
      </c>
      <c r="E72" s="17" t="n">
        <v>2530</v>
      </c>
      <c r="F72" s="17" t="n">
        <v>1750</v>
      </c>
      <c r="G72" s="6" t="n">
        <v>0.69</v>
      </c>
    </row>
    <row r="73" customFormat="false" ht="15" hidden="false" customHeight="false" outlineLevel="0" collapsed="false">
      <c r="A73" s="19" t="n">
        <v>46054</v>
      </c>
      <c r="B73" s="8" t="s">
        <v>37</v>
      </c>
      <c r="C73" s="8" t="s">
        <v>17</v>
      </c>
      <c r="D73" s="8" t="s">
        <v>40</v>
      </c>
      <c r="E73" s="16" t="n">
        <v>2750</v>
      </c>
      <c r="F73" s="16" t="n">
        <v>1790</v>
      </c>
      <c r="G73" s="11" t="n">
        <v>0.65</v>
      </c>
    </row>
    <row r="74" customFormat="false" ht="15" hidden="false" customHeight="false" outlineLevel="0" collapsed="false">
      <c r="A74" s="18" t="n">
        <v>46054</v>
      </c>
      <c r="B74" s="3" t="s">
        <v>27</v>
      </c>
      <c r="C74" s="3" t="s">
        <v>28</v>
      </c>
      <c r="D74" s="3" t="s">
        <v>20</v>
      </c>
      <c r="E74" s="17" t="n">
        <v>10840</v>
      </c>
      <c r="F74" s="17" t="n">
        <v>6290</v>
      </c>
      <c r="G74" s="6" t="n">
        <v>0.58</v>
      </c>
    </row>
    <row r="75" customFormat="false" ht="15" hidden="false" customHeight="false" outlineLevel="0" collapsed="false">
      <c r="A75" s="19" t="n">
        <v>46054</v>
      </c>
      <c r="B75" s="8" t="s">
        <v>27</v>
      </c>
      <c r="C75" s="8" t="s">
        <v>28</v>
      </c>
      <c r="D75" s="8" t="s">
        <v>26</v>
      </c>
      <c r="E75" s="16" t="n">
        <v>7740</v>
      </c>
      <c r="F75" s="16" t="n">
        <v>4640</v>
      </c>
      <c r="G75" s="11" t="n">
        <v>0.6</v>
      </c>
    </row>
    <row r="76" customFormat="false" ht="15" hidden="false" customHeight="false" outlineLevel="0" collapsed="false">
      <c r="A76" s="18" t="n">
        <v>46054</v>
      </c>
      <c r="B76" s="3" t="s">
        <v>27</v>
      </c>
      <c r="C76" s="3" t="s">
        <v>28</v>
      </c>
      <c r="D76" s="3" t="s">
        <v>50</v>
      </c>
      <c r="E76" s="17" t="n">
        <v>5810</v>
      </c>
      <c r="F76" s="17" t="n">
        <v>3780</v>
      </c>
      <c r="G76" s="6" t="n">
        <v>0.65</v>
      </c>
    </row>
    <row r="77" customFormat="false" ht="15" hidden="false" customHeight="false" outlineLevel="0" collapsed="false">
      <c r="A77" s="19" t="n">
        <v>46054</v>
      </c>
      <c r="B77" s="8" t="s">
        <v>27</v>
      </c>
      <c r="C77" s="8" t="s">
        <v>28</v>
      </c>
      <c r="D77" s="8" t="s">
        <v>57</v>
      </c>
      <c r="E77" s="16" t="n">
        <v>4650</v>
      </c>
      <c r="F77" s="16" t="n">
        <v>2980</v>
      </c>
      <c r="G77" s="11" t="n">
        <v>0.64</v>
      </c>
    </row>
    <row r="78" customFormat="false" ht="15" hidden="false" customHeight="false" outlineLevel="0" collapsed="false">
      <c r="A78" s="18" t="n">
        <v>46054</v>
      </c>
      <c r="B78" s="3" t="s">
        <v>27</v>
      </c>
      <c r="C78" s="3" t="s">
        <v>28</v>
      </c>
      <c r="D78" s="3" t="s">
        <v>34</v>
      </c>
      <c r="E78" s="17" t="n">
        <v>4650</v>
      </c>
      <c r="F78" s="17" t="n">
        <v>3210</v>
      </c>
      <c r="G78" s="6" t="n">
        <v>0.69</v>
      </c>
    </row>
    <row r="79" customFormat="false" ht="15" hidden="false" customHeight="false" outlineLevel="0" collapsed="false">
      <c r="A79" s="19" t="n">
        <v>46054</v>
      </c>
      <c r="B79" s="8" t="s">
        <v>27</v>
      </c>
      <c r="C79" s="8" t="s">
        <v>28</v>
      </c>
      <c r="D79" s="8" t="s">
        <v>40</v>
      </c>
      <c r="E79" s="16" t="n">
        <v>5030</v>
      </c>
      <c r="F79" s="16" t="n">
        <v>3270</v>
      </c>
      <c r="G79" s="11" t="n">
        <v>0.65</v>
      </c>
    </row>
    <row r="80" customFormat="false" ht="15" hidden="false" customHeight="false" outlineLevel="0" collapsed="false">
      <c r="A80" s="18" t="n">
        <v>46054</v>
      </c>
      <c r="B80" s="3" t="s">
        <v>41</v>
      </c>
      <c r="C80" s="3" t="s">
        <v>28</v>
      </c>
      <c r="D80" s="3" t="s">
        <v>20</v>
      </c>
      <c r="E80" s="17" t="n">
        <v>5670</v>
      </c>
      <c r="F80" s="17" t="n">
        <v>3290</v>
      </c>
      <c r="G80" s="6" t="n">
        <v>0.58</v>
      </c>
    </row>
    <row r="81" customFormat="false" ht="15" hidden="false" customHeight="false" outlineLevel="0" collapsed="false">
      <c r="A81" s="19" t="n">
        <v>46054</v>
      </c>
      <c r="B81" s="8" t="s">
        <v>41</v>
      </c>
      <c r="C81" s="8" t="s">
        <v>28</v>
      </c>
      <c r="D81" s="8" t="s">
        <v>26</v>
      </c>
      <c r="E81" s="16" t="n">
        <v>4050</v>
      </c>
      <c r="F81" s="16" t="n">
        <v>2430</v>
      </c>
      <c r="G81" s="11" t="n">
        <v>0.6</v>
      </c>
    </row>
    <row r="82" customFormat="false" ht="15" hidden="false" customHeight="false" outlineLevel="0" collapsed="false">
      <c r="A82" s="18" t="n">
        <v>46054</v>
      </c>
      <c r="B82" s="3" t="s">
        <v>41</v>
      </c>
      <c r="C82" s="3" t="s">
        <v>28</v>
      </c>
      <c r="D82" s="3" t="s">
        <v>50</v>
      </c>
      <c r="E82" s="17" t="n">
        <v>3040</v>
      </c>
      <c r="F82" s="17" t="n">
        <v>1980</v>
      </c>
      <c r="G82" s="6" t="n">
        <v>0.65</v>
      </c>
    </row>
    <row r="83" customFormat="false" ht="15" hidden="false" customHeight="false" outlineLevel="0" collapsed="false">
      <c r="A83" s="19" t="n">
        <v>46054</v>
      </c>
      <c r="B83" s="8" t="s">
        <v>41</v>
      </c>
      <c r="C83" s="8" t="s">
        <v>28</v>
      </c>
      <c r="D83" s="8" t="s">
        <v>57</v>
      </c>
      <c r="E83" s="16" t="n">
        <v>2430</v>
      </c>
      <c r="F83" s="16" t="n">
        <v>1560</v>
      </c>
      <c r="G83" s="11" t="n">
        <v>0.64</v>
      </c>
    </row>
    <row r="84" customFormat="false" ht="15" hidden="false" customHeight="false" outlineLevel="0" collapsed="false">
      <c r="A84" s="18" t="n">
        <v>46054</v>
      </c>
      <c r="B84" s="3" t="s">
        <v>41</v>
      </c>
      <c r="C84" s="3" t="s">
        <v>28</v>
      </c>
      <c r="D84" s="3" t="s">
        <v>34</v>
      </c>
      <c r="E84" s="17" t="n">
        <v>2430</v>
      </c>
      <c r="F84" s="17" t="n">
        <v>1680</v>
      </c>
      <c r="G84" s="6" t="n">
        <v>0.69</v>
      </c>
    </row>
    <row r="85" customFormat="false" ht="15" hidden="false" customHeight="false" outlineLevel="0" collapsed="false">
      <c r="A85" s="19" t="n">
        <v>46054</v>
      </c>
      <c r="B85" s="8" t="s">
        <v>41</v>
      </c>
      <c r="C85" s="8" t="s">
        <v>28</v>
      </c>
      <c r="D85" s="8" t="s">
        <v>40</v>
      </c>
      <c r="E85" s="16" t="n">
        <v>2630</v>
      </c>
      <c r="F85" s="16" t="n">
        <v>1710</v>
      </c>
      <c r="G85" s="11" t="n">
        <v>0.65</v>
      </c>
    </row>
    <row r="86" customFormat="false" ht="15" hidden="false" customHeight="false" outlineLevel="0" collapsed="false">
      <c r="A86" s="18" t="n">
        <v>46054</v>
      </c>
      <c r="B86" s="3" t="s">
        <v>64</v>
      </c>
      <c r="C86" s="3" t="s">
        <v>65</v>
      </c>
      <c r="D86" s="3" t="s">
        <v>20</v>
      </c>
      <c r="E86" s="17" t="n">
        <v>7640</v>
      </c>
      <c r="F86" s="17" t="n">
        <v>4430</v>
      </c>
      <c r="G86" s="6" t="n">
        <v>0.58</v>
      </c>
    </row>
    <row r="87" customFormat="false" ht="15" hidden="false" customHeight="false" outlineLevel="0" collapsed="false">
      <c r="A87" s="19" t="n">
        <v>46054</v>
      </c>
      <c r="B87" s="8" t="s">
        <v>64</v>
      </c>
      <c r="C87" s="8" t="s">
        <v>65</v>
      </c>
      <c r="D87" s="8" t="s">
        <v>26</v>
      </c>
      <c r="E87" s="16" t="n">
        <v>5460</v>
      </c>
      <c r="F87" s="16" t="n">
        <v>3280</v>
      </c>
      <c r="G87" s="11" t="n">
        <v>0.6</v>
      </c>
    </row>
    <row r="88" customFormat="false" ht="15" hidden="false" customHeight="false" outlineLevel="0" collapsed="false">
      <c r="A88" s="18" t="n">
        <v>46054</v>
      </c>
      <c r="B88" s="3" t="s">
        <v>64</v>
      </c>
      <c r="C88" s="3" t="s">
        <v>65</v>
      </c>
      <c r="D88" s="3" t="s">
        <v>50</v>
      </c>
      <c r="E88" s="17" t="n">
        <v>4090</v>
      </c>
      <c r="F88" s="17" t="n">
        <v>2660</v>
      </c>
      <c r="G88" s="6" t="n">
        <v>0.65</v>
      </c>
    </row>
    <row r="89" customFormat="false" ht="15" hidden="false" customHeight="false" outlineLevel="0" collapsed="false">
      <c r="A89" s="19" t="n">
        <v>46054</v>
      </c>
      <c r="B89" s="8" t="s">
        <v>64</v>
      </c>
      <c r="C89" s="8" t="s">
        <v>65</v>
      </c>
      <c r="D89" s="8" t="s">
        <v>57</v>
      </c>
      <c r="E89" s="16" t="n">
        <v>3270</v>
      </c>
      <c r="F89" s="16" t="n">
        <v>2090</v>
      </c>
      <c r="G89" s="11" t="n">
        <v>0.64</v>
      </c>
    </row>
    <row r="90" customFormat="false" ht="15" hidden="false" customHeight="false" outlineLevel="0" collapsed="false">
      <c r="A90" s="18" t="n">
        <v>46054</v>
      </c>
      <c r="B90" s="3" t="s">
        <v>64</v>
      </c>
      <c r="C90" s="3" t="s">
        <v>65</v>
      </c>
      <c r="D90" s="3" t="s">
        <v>34</v>
      </c>
      <c r="E90" s="17" t="n">
        <v>3270</v>
      </c>
      <c r="F90" s="17" t="n">
        <v>2260</v>
      </c>
      <c r="G90" s="6" t="n">
        <v>0.69</v>
      </c>
    </row>
    <row r="91" customFormat="false" ht="15" hidden="false" customHeight="false" outlineLevel="0" collapsed="false">
      <c r="A91" s="19" t="n">
        <v>46054</v>
      </c>
      <c r="B91" s="8" t="s">
        <v>64</v>
      </c>
      <c r="C91" s="8" t="s">
        <v>65</v>
      </c>
      <c r="D91" s="8" t="s">
        <v>40</v>
      </c>
      <c r="E91" s="16" t="n">
        <v>3550</v>
      </c>
      <c r="F91" s="16" t="n">
        <v>2310</v>
      </c>
      <c r="G91" s="11" t="n">
        <v>0.65</v>
      </c>
    </row>
    <row r="92" customFormat="false" ht="15" hidden="false" customHeight="false" outlineLevel="0" collapsed="false">
      <c r="A92" s="18" t="n">
        <v>46054</v>
      </c>
      <c r="B92" s="3" t="s">
        <v>58</v>
      </c>
      <c r="C92" s="3" t="s">
        <v>58</v>
      </c>
      <c r="D92" s="3" t="s">
        <v>20</v>
      </c>
      <c r="E92" s="17" t="n">
        <v>14040</v>
      </c>
      <c r="F92" s="17" t="n">
        <v>8140</v>
      </c>
      <c r="G92" s="6" t="n">
        <v>0.58</v>
      </c>
    </row>
    <row r="93" customFormat="false" ht="15" hidden="false" customHeight="false" outlineLevel="0" collapsed="false">
      <c r="A93" s="19" t="n">
        <v>46054</v>
      </c>
      <c r="B93" s="8" t="s">
        <v>58</v>
      </c>
      <c r="C93" s="8" t="s">
        <v>58</v>
      </c>
      <c r="D93" s="8" t="s">
        <v>26</v>
      </c>
      <c r="E93" s="16" t="n">
        <v>10030</v>
      </c>
      <c r="F93" s="16" t="n">
        <v>6020</v>
      </c>
      <c r="G93" s="11" t="n">
        <v>0.6</v>
      </c>
    </row>
    <row r="94" customFormat="false" ht="15" hidden="false" customHeight="false" outlineLevel="0" collapsed="false">
      <c r="A94" s="18" t="n">
        <v>46054</v>
      </c>
      <c r="B94" s="3" t="s">
        <v>58</v>
      </c>
      <c r="C94" s="3" t="s">
        <v>58</v>
      </c>
      <c r="D94" s="3" t="s">
        <v>50</v>
      </c>
      <c r="E94" s="17" t="n">
        <v>7520</v>
      </c>
      <c r="F94" s="17" t="n">
        <v>4890</v>
      </c>
      <c r="G94" s="6" t="n">
        <v>0.65</v>
      </c>
    </row>
    <row r="95" customFormat="false" ht="15" hidden="false" customHeight="false" outlineLevel="0" collapsed="false">
      <c r="A95" s="19" t="n">
        <v>46054</v>
      </c>
      <c r="B95" s="8" t="s">
        <v>58</v>
      </c>
      <c r="C95" s="8" t="s">
        <v>58</v>
      </c>
      <c r="D95" s="8" t="s">
        <v>57</v>
      </c>
      <c r="E95" s="16" t="n">
        <v>6020</v>
      </c>
      <c r="F95" s="16" t="n">
        <v>3850</v>
      </c>
      <c r="G95" s="11" t="n">
        <v>0.64</v>
      </c>
    </row>
    <row r="96" customFormat="false" ht="15" hidden="false" customHeight="false" outlineLevel="0" collapsed="false">
      <c r="A96" s="18" t="n">
        <v>46054</v>
      </c>
      <c r="B96" s="3" t="s">
        <v>58</v>
      </c>
      <c r="C96" s="3" t="s">
        <v>58</v>
      </c>
      <c r="D96" s="3" t="s">
        <v>34</v>
      </c>
      <c r="E96" s="17" t="n">
        <v>6020</v>
      </c>
      <c r="F96" s="17" t="n">
        <v>4150</v>
      </c>
      <c r="G96" s="6" t="n">
        <v>0.69</v>
      </c>
    </row>
    <row r="97" customFormat="false" ht="15" hidden="false" customHeight="false" outlineLevel="0" collapsed="false">
      <c r="A97" s="19" t="n">
        <v>46054</v>
      </c>
      <c r="B97" s="8" t="s">
        <v>58</v>
      </c>
      <c r="C97" s="8" t="s">
        <v>58</v>
      </c>
      <c r="D97" s="8" t="s">
        <v>40</v>
      </c>
      <c r="E97" s="16" t="n">
        <v>6520</v>
      </c>
      <c r="F97" s="16" t="n">
        <v>4240</v>
      </c>
      <c r="G97" s="11" t="n">
        <v>0.65</v>
      </c>
    </row>
    <row r="98" customFormat="false" ht="15" hidden="false" customHeight="false" outlineLevel="0" collapsed="false">
      <c r="A98" s="18" t="n">
        <v>46082</v>
      </c>
      <c r="B98" s="3" t="s">
        <v>31</v>
      </c>
      <c r="C98" s="3" t="s">
        <v>23</v>
      </c>
      <c r="D98" s="3" t="s">
        <v>20</v>
      </c>
      <c r="E98" s="17" t="n">
        <v>11760</v>
      </c>
      <c r="F98" s="17" t="n">
        <v>6820</v>
      </c>
      <c r="G98" s="6" t="n">
        <v>0.58</v>
      </c>
    </row>
    <row r="99" customFormat="false" ht="15" hidden="false" customHeight="false" outlineLevel="0" collapsed="false">
      <c r="A99" s="19" t="n">
        <v>46082</v>
      </c>
      <c r="B99" s="8" t="s">
        <v>31</v>
      </c>
      <c r="C99" s="8" t="s">
        <v>23</v>
      </c>
      <c r="D99" s="8" t="s">
        <v>26</v>
      </c>
      <c r="E99" s="16" t="n">
        <v>8400</v>
      </c>
      <c r="F99" s="16" t="n">
        <v>5040</v>
      </c>
      <c r="G99" s="11" t="n">
        <v>0.6</v>
      </c>
    </row>
    <row r="100" customFormat="false" ht="15" hidden="false" customHeight="false" outlineLevel="0" collapsed="false">
      <c r="A100" s="18" t="n">
        <v>46082</v>
      </c>
      <c r="B100" s="3" t="s">
        <v>31</v>
      </c>
      <c r="C100" s="3" t="s">
        <v>23</v>
      </c>
      <c r="D100" s="3" t="s">
        <v>50</v>
      </c>
      <c r="E100" s="17" t="n">
        <v>6300</v>
      </c>
      <c r="F100" s="17" t="n">
        <v>4100</v>
      </c>
      <c r="G100" s="6" t="n">
        <v>0.65</v>
      </c>
    </row>
    <row r="101" customFormat="false" ht="15" hidden="false" customHeight="false" outlineLevel="0" collapsed="false">
      <c r="A101" s="19" t="n">
        <v>46082</v>
      </c>
      <c r="B101" s="8" t="s">
        <v>31</v>
      </c>
      <c r="C101" s="8" t="s">
        <v>23</v>
      </c>
      <c r="D101" s="8" t="s">
        <v>57</v>
      </c>
      <c r="E101" s="16" t="n">
        <v>5040</v>
      </c>
      <c r="F101" s="16" t="n">
        <v>3230</v>
      </c>
      <c r="G101" s="11" t="n">
        <v>0.64</v>
      </c>
    </row>
    <row r="102" customFormat="false" ht="15" hidden="false" customHeight="false" outlineLevel="0" collapsed="false">
      <c r="A102" s="18" t="n">
        <v>46082</v>
      </c>
      <c r="B102" s="3" t="s">
        <v>31</v>
      </c>
      <c r="C102" s="3" t="s">
        <v>23</v>
      </c>
      <c r="D102" s="3" t="s">
        <v>34</v>
      </c>
      <c r="E102" s="17" t="n">
        <v>5040</v>
      </c>
      <c r="F102" s="17" t="n">
        <v>3480</v>
      </c>
      <c r="G102" s="6" t="n">
        <v>0.69</v>
      </c>
    </row>
    <row r="103" customFormat="false" ht="15" hidden="false" customHeight="false" outlineLevel="0" collapsed="false">
      <c r="A103" s="19" t="n">
        <v>46082</v>
      </c>
      <c r="B103" s="8" t="s">
        <v>31</v>
      </c>
      <c r="C103" s="8" t="s">
        <v>23</v>
      </c>
      <c r="D103" s="8" t="s">
        <v>40</v>
      </c>
      <c r="E103" s="16" t="n">
        <v>5460</v>
      </c>
      <c r="F103" s="16" t="n">
        <v>3550</v>
      </c>
      <c r="G103" s="11" t="n">
        <v>0.65</v>
      </c>
    </row>
    <row r="104" customFormat="false" ht="15" hidden="false" customHeight="false" outlineLevel="0" collapsed="false">
      <c r="A104" s="18" t="n">
        <v>46082</v>
      </c>
      <c r="B104" s="3" t="s">
        <v>22</v>
      </c>
      <c r="C104" s="3" t="s">
        <v>23</v>
      </c>
      <c r="D104" s="3" t="s">
        <v>20</v>
      </c>
      <c r="E104" s="17" t="n">
        <v>7940</v>
      </c>
      <c r="F104" s="17" t="n">
        <v>4610</v>
      </c>
      <c r="G104" s="6" t="n">
        <v>0.58</v>
      </c>
    </row>
    <row r="105" customFormat="false" ht="15" hidden="false" customHeight="false" outlineLevel="0" collapsed="false">
      <c r="A105" s="19" t="n">
        <v>46082</v>
      </c>
      <c r="B105" s="8" t="s">
        <v>22</v>
      </c>
      <c r="C105" s="8" t="s">
        <v>23</v>
      </c>
      <c r="D105" s="8" t="s">
        <v>26</v>
      </c>
      <c r="E105" s="16" t="n">
        <v>5670</v>
      </c>
      <c r="F105" s="16" t="n">
        <v>3400</v>
      </c>
      <c r="G105" s="11" t="n">
        <v>0.6</v>
      </c>
    </row>
    <row r="106" customFormat="false" ht="15" hidden="false" customHeight="false" outlineLevel="0" collapsed="false">
      <c r="A106" s="18" t="n">
        <v>46082</v>
      </c>
      <c r="B106" s="3" t="s">
        <v>22</v>
      </c>
      <c r="C106" s="3" t="s">
        <v>23</v>
      </c>
      <c r="D106" s="3" t="s">
        <v>50</v>
      </c>
      <c r="E106" s="17" t="n">
        <v>4250</v>
      </c>
      <c r="F106" s="17" t="n">
        <v>2760</v>
      </c>
      <c r="G106" s="6" t="n">
        <v>0.65</v>
      </c>
    </row>
    <row r="107" customFormat="false" ht="15" hidden="false" customHeight="false" outlineLevel="0" collapsed="false">
      <c r="A107" s="19" t="n">
        <v>46082</v>
      </c>
      <c r="B107" s="8" t="s">
        <v>22</v>
      </c>
      <c r="C107" s="8" t="s">
        <v>23</v>
      </c>
      <c r="D107" s="8" t="s">
        <v>57</v>
      </c>
      <c r="E107" s="16" t="n">
        <v>3400</v>
      </c>
      <c r="F107" s="16" t="n">
        <v>2180</v>
      </c>
      <c r="G107" s="11" t="n">
        <v>0.64</v>
      </c>
    </row>
    <row r="108" customFormat="false" ht="15" hidden="false" customHeight="false" outlineLevel="0" collapsed="false">
      <c r="A108" s="18" t="n">
        <v>46082</v>
      </c>
      <c r="B108" s="3" t="s">
        <v>22</v>
      </c>
      <c r="C108" s="3" t="s">
        <v>23</v>
      </c>
      <c r="D108" s="3" t="s">
        <v>34</v>
      </c>
      <c r="E108" s="17" t="n">
        <v>3400</v>
      </c>
      <c r="F108" s="17" t="n">
        <v>2350</v>
      </c>
      <c r="G108" s="6" t="n">
        <v>0.69</v>
      </c>
    </row>
    <row r="109" customFormat="false" ht="15" hidden="false" customHeight="false" outlineLevel="0" collapsed="false">
      <c r="A109" s="19" t="n">
        <v>46082</v>
      </c>
      <c r="B109" s="8" t="s">
        <v>22</v>
      </c>
      <c r="C109" s="8" t="s">
        <v>23</v>
      </c>
      <c r="D109" s="8" t="s">
        <v>40</v>
      </c>
      <c r="E109" s="16" t="n">
        <v>3690</v>
      </c>
      <c r="F109" s="16" t="n">
        <v>2400</v>
      </c>
      <c r="G109" s="11" t="n">
        <v>0.65</v>
      </c>
    </row>
    <row r="110" customFormat="false" ht="15" hidden="false" customHeight="false" outlineLevel="0" collapsed="false">
      <c r="A110" s="18" t="n">
        <v>46082</v>
      </c>
      <c r="B110" s="3" t="s">
        <v>16</v>
      </c>
      <c r="C110" s="3" t="s">
        <v>17</v>
      </c>
      <c r="D110" s="3" t="s">
        <v>20</v>
      </c>
      <c r="E110" s="17" t="n">
        <v>10290</v>
      </c>
      <c r="F110" s="17" t="n">
        <v>5970</v>
      </c>
      <c r="G110" s="6" t="n">
        <v>0.58</v>
      </c>
    </row>
    <row r="111" customFormat="false" ht="15" hidden="false" customHeight="false" outlineLevel="0" collapsed="false">
      <c r="A111" s="19" t="n">
        <v>46082</v>
      </c>
      <c r="B111" s="8" t="s">
        <v>16</v>
      </c>
      <c r="C111" s="8" t="s">
        <v>17</v>
      </c>
      <c r="D111" s="8" t="s">
        <v>26</v>
      </c>
      <c r="E111" s="16" t="n">
        <v>7350</v>
      </c>
      <c r="F111" s="16" t="n">
        <v>4410</v>
      </c>
      <c r="G111" s="11" t="n">
        <v>0.6</v>
      </c>
    </row>
    <row r="112" customFormat="false" ht="15" hidden="false" customHeight="false" outlineLevel="0" collapsed="false">
      <c r="A112" s="18" t="n">
        <v>46082</v>
      </c>
      <c r="B112" s="3" t="s">
        <v>16</v>
      </c>
      <c r="C112" s="3" t="s">
        <v>17</v>
      </c>
      <c r="D112" s="3" t="s">
        <v>50</v>
      </c>
      <c r="E112" s="17" t="n">
        <v>5510</v>
      </c>
      <c r="F112" s="17" t="n">
        <v>3580</v>
      </c>
      <c r="G112" s="6" t="n">
        <v>0.65</v>
      </c>
    </row>
    <row r="113" customFormat="false" ht="15" hidden="false" customHeight="false" outlineLevel="0" collapsed="false">
      <c r="A113" s="19" t="n">
        <v>46082</v>
      </c>
      <c r="B113" s="8" t="s">
        <v>16</v>
      </c>
      <c r="C113" s="8" t="s">
        <v>17</v>
      </c>
      <c r="D113" s="8" t="s">
        <v>57</v>
      </c>
      <c r="E113" s="16" t="n">
        <v>4410</v>
      </c>
      <c r="F113" s="16" t="n">
        <v>2820</v>
      </c>
      <c r="G113" s="11" t="n">
        <v>0.64</v>
      </c>
    </row>
    <row r="114" customFormat="false" ht="15" hidden="false" customHeight="false" outlineLevel="0" collapsed="false">
      <c r="A114" s="18" t="n">
        <v>46082</v>
      </c>
      <c r="B114" s="3" t="s">
        <v>16</v>
      </c>
      <c r="C114" s="3" t="s">
        <v>17</v>
      </c>
      <c r="D114" s="3" t="s">
        <v>34</v>
      </c>
      <c r="E114" s="17" t="n">
        <v>4410</v>
      </c>
      <c r="F114" s="17" t="n">
        <v>3040</v>
      </c>
      <c r="G114" s="6" t="n">
        <v>0.69</v>
      </c>
    </row>
    <row r="115" customFormat="false" ht="15" hidden="false" customHeight="false" outlineLevel="0" collapsed="false">
      <c r="A115" s="19" t="n">
        <v>46082</v>
      </c>
      <c r="B115" s="8" t="s">
        <v>16</v>
      </c>
      <c r="C115" s="8" t="s">
        <v>17</v>
      </c>
      <c r="D115" s="8" t="s">
        <v>40</v>
      </c>
      <c r="E115" s="16" t="n">
        <v>4780</v>
      </c>
      <c r="F115" s="16" t="n">
        <v>3110</v>
      </c>
      <c r="G115" s="11" t="n">
        <v>0.65</v>
      </c>
    </row>
    <row r="116" customFormat="false" ht="15" hidden="false" customHeight="false" outlineLevel="0" collapsed="false">
      <c r="A116" s="18" t="n">
        <v>46082</v>
      </c>
      <c r="B116" s="3" t="s">
        <v>37</v>
      </c>
      <c r="C116" s="3" t="s">
        <v>17</v>
      </c>
      <c r="D116" s="3" t="s">
        <v>20</v>
      </c>
      <c r="E116" s="17" t="n">
        <v>7060</v>
      </c>
      <c r="F116" s="17" t="n">
        <v>4090</v>
      </c>
      <c r="G116" s="6" t="n">
        <v>0.58</v>
      </c>
    </row>
    <row r="117" customFormat="false" ht="15" hidden="false" customHeight="false" outlineLevel="0" collapsed="false">
      <c r="A117" s="19" t="n">
        <v>46082</v>
      </c>
      <c r="B117" s="8" t="s">
        <v>37</v>
      </c>
      <c r="C117" s="8" t="s">
        <v>17</v>
      </c>
      <c r="D117" s="8" t="s">
        <v>26</v>
      </c>
      <c r="E117" s="16" t="n">
        <v>5040</v>
      </c>
      <c r="F117" s="16" t="n">
        <v>3020</v>
      </c>
      <c r="G117" s="11" t="n">
        <v>0.6</v>
      </c>
    </row>
    <row r="118" customFormat="false" ht="15" hidden="false" customHeight="false" outlineLevel="0" collapsed="false">
      <c r="A118" s="18" t="n">
        <v>46082</v>
      </c>
      <c r="B118" s="3" t="s">
        <v>37</v>
      </c>
      <c r="C118" s="3" t="s">
        <v>17</v>
      </c>
      <c r="D118" s="3" t="s">
        <v>50</v>
      </c>
      <c r="E118" s="17" t="n">
        <v>3780</v>
      </c>
      <c r="F118" s="17" t="n">
        <v>2460</v>
      </c>
      <c r="G118" s="6" t="n">
        <v>0.65</v>
      </c>
    </row>
    <row r="119" customFormat="false" ht="15" hidden="false" customHeight="false" outlineLevel="0" collapsed="false">
      <c r="A119" s="19" t="n">
        <v>46082</v>
      </c>
      <c r="B119" s="8" t="s">
        <v>37</v>
      </c>
      <c r="C119" s="8" t="s">
        <v>17</v>
      </c>
      <c r="D119" s="8" t="s">
        <v>57</v>
      </c>
      <c r="E119" s="16" t="n">
        <v>3020</v>
      </c>
      <c r="F119" s="16" t="n">
        <v>1930</v>
      </c>
      <c r="G119" s="11" t="n">
        <v>0.64</v>
      </c>
    </row>
    <row r="120" customFormat="false" ht="15" hidden="false" customHeight="false" outlineLevel="0" collapsed="false">
      <c r="A120" s="18" t="n">
        <v>46082</v>
      </c>
      <c r="B120" s="3" t="s">
        <v>37</v>
      </c>
      <c r="C120" s="3" t="s">
        <v>17</v>
      </c>
      <c r="D120" s="3" t="s">
        <v>34</v>
      </c>
      <c r="E120" s="17" t="n">
        <v>3020</v>
      </c>
      <c r="F120" s="17" t="n">
        <v>2080</v>
      </c>
      <c r="G120" s="6" t="n">
        <v>0.69</v>
      </c>
    </row>
    <row r="121" customFormat="false" ht="15" hidden="false" customHeight="false" outlineLevel="0" collapsed="false">
      <c r="A121" s="19" t="n">
        <v>46082</v>
      </c>
      <c r="B121" s="8" t="s">
        <v>37</v>
      </c>
      <c r="C121" s="8" t="s">
        <v>17</v>
      </c>
      <c r="D121" s="8" t="s">
        <v>40</v>
      </c>
      <c r="E121" s="16" t="n">
        <v>3280</v>
      </c>
      <c r="F121" s="16" t="n">
        <v>2130</v>
      </c>
      <c r="G121" s="11" t="n">
        <v>0.65</v>
      </c>
    </row>
    <row r="122" customFormat="false" ht="15" hidden="false" customHeight="false" outlineLevel="0" collapsed="false">
      <c r="A122" s="18" t="n">
        <v>46082</v>
      </c>
      <c r="B122" s="3" t="s">
        <v>27</v>
      </c>
      <c r="C122" s="3" t="s">
        <v>28</v>
      </c>
      <c r="D122" s="3" t="s">
        <v>20</v>
      </c>
      <c r="E122" s="17" t="n">
        <v>12940</v>
      </c>
      <c r="F122" s="17" t="n">
        <v>7510</v>
      </c>
      <c r="G122" s="6" t="n">
        <v>0.58</v>
      </c>
    </row>
    <row r="123" customFormat="false" ht="15" hidden="false" customHeight="false" outlineLevel="0" collapsed="false">
      <c r="A123" s="19" t="n">
        <v>46082</v>
      </c>
      <c r="B123" s="8" t="s">
        <v>27</v>
      </c>
      <c r="C123" s="8" t="s">
        <v>28</v>
      </c>
      <c r="D123" s="8" t="s">
        <v>26</v>
      </c>
      <c r="E123" s="16" t="n">
        <v>9240</v>
      </c>
      <c r="F123" s="16" t="n">
        <v>5540</v>
      </c>
      <c r="G123" s="11" t="n">
        <v>0.6</v>
      </c>
    </row>
    <row r="124" customFormat="false" ht="15" hidden="false" customHeight="false" outlineLevel="0" collapsed="false">
      <c r="A124" s="18" t="n">
        <v>46082</v>
      </c>
      <c r="B124" s="3" t="s">
        <v>27</v>
      </c>
      <c r="C124" s="3" t="s">
        <v>28</v>
      </c>
      <c r="D124" s="3" t="s">
        <v>50</v>
      </c>
      <c r="E124" s="17" t="n">
        <v>6930</v>
      </c>
      <c r="F124" s="17" t="n">
        <v>4500</v>
      </c>
      <c r="G124" s="6" t="n">
        <v>0.65</v>
      </c>
    </row>
    <row r="125" customFormat="false" ht="15" hidden="false" customHeight="false" outlineLevel="0" collapsed="false">
      <c r="A125" s="19" t="n">
        <v>46082</v>
      </c>
      <c r="B125" s="8" t="s">
        <v>27</v>
      </c>
      <c r="C125" s="8" t="s">
        <v>28</v>
      </c>
      <c r="D125" s="8" t="s">
        <v>57</v>
      </c>
      <c r="E125" s="16" t="n">
        <v>5540</v>
      </c>
      <c r="F125" s="16" t="n">
        <v>3550</v>
      </c>
      <c r="G125" s="11" t="n">
        <v>0.64</v>
      </c>
    </row>
    <row r="126" customFormat="false" ht="15" hidden="false" customHeight="false" outlineLevel="0" collapsed="false">
      <c r="A126" s="18" t="n">
        <v>46082</v>
      </c>
      <c r="B126" s="3" t="s">
        <v>27</v>
      </c>
      <c r="C126" s="3" t="s">
        <v>28</v>
      </c>
      <c r="D126" s="3" t="s">
        <v>34</v>
      </c>
      <c r="E126" s="17" t="n">
        <v>5540</v>
      </c>
      <c r="F126" s="17" t="n">
        <v>3820</v>
      </c>
      <c r="G126" s="6" t="n">
        <v>0.69</v>
      </c>
    </row>
    <row r="127" customFormat="false" ht="15" hidden="false" customHeight="false" outlineLevel="0" collapsed="false">
      <c r="A127" s="19" t="n">
        <v>46082</v>
      </c>
      <c r="B127" s="8" t="s">
        <v>27</v>
      </c>
      <c r="C127" s="8" t="s">
        <v>28</v>
      </c>
      <c r="D127" s="8" t="s">
        <v>40</v>
      </c>
      <c r="E127" s="16" t="n">
        <v>6010</v>
      </c>
      <c r="F127" s="16" t="n">
        <v>3910</v>
      </c>
      <c r="G127" s="11" t="n">
        <v>0.65</v>
      </c>
    </row>
    <row r="128" customFormat="false" ht="15" hidden="false" customHeight="false" outlineLevel="0" collapsed="false">
      <c r="A128" s="18" t="n">
        <v>46082</v>
      </c>
      <c r="B128" s="3" t="s">
        <v>41</v>
      </c>
      <c r="C128" s="3" t="s">
        <v>28</v>
      </c>
      <c r="D128" s="3" t="s">
        <v>20</v>
      </c>
      <c r="E128" s="17" t="n">
        <v>6760</v>
      </c>
      <c r="F128" s="17" t="n">
        <v>3920</v>
      </c>
      <c r="G128" s="6" t="n">
        <v>0.58</v>
      </c>
    </row>
    <row r="129" customFormat="false" ht="15" hidden="false" customHeight="false" outlineLevel="0" collapsed="false">
      <c r="A129" s="19" t="n">
        <v>46082</v>
      </c>
      <c r="B129" s="8" t="s">
        <v>41</v>
      </c>
      <c r="C129" s="8" t="s">
        <v>28</v>
      </c>
      <c r="D129" s="8" t="s">
        <v>26</v>
      </c>
      <c r="E129" s="16" t="n">
        <v>4830</v>
      </c>
      <c r="F129" s="16" t="n">
        <v>2900</v>
      </c>
      <c r="G129" s="11" t="n">
        <v>0.6</v>
      </c>
    </row>
    <row r="130" customFormat="false" ht="15" hidden="false" customHeight="false" outlineLevel="0" collapsed="false">
      <c r="A130" s="18" t="n">
        <v>46082</v>
      </c>
      <c r="B130" s="3" t="s">
        <v>41</v>
      </c>
      <c r="C130" s="3" t="s">
        <v>28</v>
      </c>
      <c r="D130" s="3" t="s">
        <v>50</v>
      </c>
      <c r="E130" s="17" t="n">
        <v>3620</v>
      </c>
      <c r="F130" s="17" t="n">
        <v>2350</v>
      </c>
      <c r="G130" s="6" t="n">
        <v>0.65</v>
      </c>
    </row>
    <row r="131" customFormat="false" ht="15" hidden="false" customHeight="false" outlineLevel="0" collapsed="false">
      <c r="A131" s="19" t="n">
        <v>46082</v>
      </c>
      <c r="B131" s="8" t="s">
        <v>41</v>
      </c>
      <c r="C131" s="8" t="s">
        <v>28</v>
      </c>
      <c r="D131" s="8" t="s">
        <v>57</v>
      </c>
      <c r="E131" s="16" t="n">
        <v>2900</v>
      </c>
      <c r="F131" s="16" t="n">
        <v>1860</v>
      </c>
      <c r="G131" s="11" t="n">
        <v>0.64</v>
      </c>
    </row>
    <row r="132" customFormat="false" ht="15" hidden="false" customHeight="false" outlineLevel="0" collapsed="false">
      <c r="A132" s="18" t="n">
        <v>46082</v>
      </c>
      <c r="B132" s="3" t="s">
        <v>41</v>
      </c>
      <c r="C132" s="3" t="s">
        <v>28</v>
      </c>
      <c r="D132" s="3" t="s">
        <v>34</v>
      </c>
      <c r="E132" s="17" t="n">
        <v>2900</v>
      </c>
      <c r="F132" s="17" t="n">
        <v>2000</v>
      </c>
      <c r="G132" s="6" t="n">
        <v>0.69</v>
      </c>
    </row>
    <row r="133" customFormat="false" ht="15" hidden="false" customHeight="false" outlineLevel="0" collapsed="false">
      <c r="A133" s="19" t="n">
        <v>46082</v>
      </c>
      <c r="B133" s="8" t="s">
        <v>41</v>
      </c>
      <c r="C133" s="8" t="s">
        <v>28</v>
      </c>
      <c r="D133" s="8" t="s">
        <v>40</v>
      </c>
      <c r="E133" s="16" t="n">
        <v>3140</v>
      </c>
      <c r="F133" s="16" t="n">
        <v>2040</v>
      </c>
      <c r="G133" s="11" t="n">
        <v>0.65</v>
      </c>
    </row>
    <row r="134" customFormat="false" ht="15" hidden="false" customHeight="false" outlineLevel="0" collapsed="false">
      <c r="A134" s="18" t="n">
        <v>46082</v>
      </c>
      <c r="B134" s="3" t="s">
        <v>64</v>
      </c>
      <c r="C134" s="3" t="s">
        <v>65</v>
      </c>
      <c r="D134" s="3" t="s">
        <v>20</v>
      </c>
      <c r="E134" s="17" t="n">
        <v>9110</v>
      </c>
      <c r="F134" s="17" t="n">
        <v>5280</v>
      </c>
      <c r="G134" s="6" t="n">
        <v>0.58</v>
      </c>
    </row>
    <row r="135" customFormat="false" ht="15" hidden="false" customHeight="false" outlineLevel="0" collapsed="false">
      <c r="A135" s="19" t="n">
        <v>46082</v>
      </c>
      <c r="B135" s="8" t="s">
        <v>64</v>
      </c>
      <c r="C135" s="8" t="s">
        <v>65</v>
      </c>
      <c r="D135" s="8" t="s">
        <v>26</v>
      </c>
      <c r="E135" s="16" t="n">
        <v>6510</v>
      </c>
      <c r="F135" s="16" t="n">
        <v>3910</v>
      </c>
      <c r="G135" s="11" t="n">
        <v>0.6</v>
      </c>
    </row>
    <row r="136" customFormat="false" ht="15" hidden="false" customHeight="false" outlineLevel="0" collapsed="false">
      <c r="A136" s="18" t="n">
        <v>46082</v>
      </c>
      <c r="B136" s="3" t="s">
        <v>64</v>
      </c>
      <c r="C136" s="3" t="s">
        <v>65</v>
      </c>
      <c r="D136" s="3" t="s">
        <v>50</v>
      </c>
      <c r="E136" s="17" t="n">
        <v>4880</v>
      </c>
      <c r="F136" s="17" t="n">
        <v>3170</v>
      </c>
      <c r="G136" s="6" t="n">
        <v>0.65</v>
      </c>
    </row>
    <row r="137" customFormat="false" ht="15" hidden="false" customHeight="false" outlineLevel="0" collapsed="false">
      <c r="A137" s="19" t="n">
        <v>46082</v>
      </c>
      <c r="B137" s="8" t="s">
        <v>64</v>
      </c>
      <c r="C137" s="8" t="s">
        <v>65</v>
      </c>
      <c r="D137" s="8" t="s">
        <v>57</v>
      </c>
      <c r="E137" s="16" t="n">
        <v>3910</v>
      </c>
      <c r="F137" s="16" t="n">
        <v>2500</v>
      </c>
      <c r="G137" s="11" t="n">
        <v>0.64</v>
      </c>
    </row>
    <row r="138" customFormat="false" ht="15" hidden="false" customHeight="false" outlineLevel="0" collapsed="false">
      <c r="A138" s="18" t="n">
        <v>46082</v>
      </c>
      <c r="B138" s="3" t="s">
        <v>64</v>
      </c>
      <c r="C138" s="3" t="s">
        <v>65</v>
      </c>
      <c r="D138" s="3" t="s">
        <v>34</v>
      </c>
      <c r="E138" s="17" t="n">
        <v>3910</v>
      </c>
      <c r="F138" s="17" t="n">
        <v>2700</v>
      </c>
      <c r="G138" s="6" t="n">
        <v>0.69</v>
      </c>
    </row>
    <row r="139" customFormat="false" ht="15" hidden="false" customHeight="false" outlineLevel="0" collapsed="false">
      <c r="A139" s="19" t="n">
        <v>46082</v>
      </c>
      <c r="B139" s="8" t="s">
        <v>64</v>
      </c>
      <c r="C139" s="8" t="s">
        <v>65</v>
      </c>
      <c r="D139" s="8" t="s">
        <v>40</v>
      </c>
      <c r="E139" s="16" t="n">
        <v>4230</v>
      </c>
      <c r="F139" s="16" t="n">
        <v>2750</v>
      </c>
      <c r="G139" s="11" t="n">
        <v>0.65</v>
      </c>
    </row>
    <row r="140" customFormat="false" ht="15" hidden="false" customHeight="false" outlineLevel="0" collapsed="false">
      <c r="A140" s="18" t="n">
        <v>46082</v>
      </c>
      <c r="B140" s="3" t="s">
        <v>58</v>
      </c>
      <c r="C140" s="3" t="s">
        <v>58</v>
      </c>
      <c r="D140" s="3" t="s">
        <v>20</v>
      </c>
      <c r="E140" s="17" t="n">
        <v>16760</v>
      </c>
      <c r="F140" s="17" t="n">
        <v>9720</v>
      </c>
      <c r="G140" s="6" t="n">
        <v>0.58</v>
      </c>
    </row>
    <row r="141" customFormat="false" ht="15" hidden="false" customHeight="false" outlineLevel="0" collapsed="false">
      <c r="A141" s="19" t="n">
        <v>46082</v>
      </c>
      <c r="B141" s="8" t="s">
        <v>58</v>
      </c>
      <c r="C141" s="8" t="s">
        <v>58</v>
      </c>
      <c r="D141" s="8" t="s">
        <v>26</v>
      </c>
      <c r="E141" s="16" t="n">
        <v>11970</v>
      </c>
      <c r="F141" s="16" t="n">
        <v>7180</v>
      </c>
      <c r="G141" s="11" t="n">
        <v>0.6</v>
      </c>
    </row>
    <row r="142" customFormat="false" ht="15" hidden="false" customHeight="false" outlineLevel="0" collapsed="false">
      <c r="A142" s="18" t="n">
        <v>46082</v>
      </c>
      <c r="B142" s="3" t="s">
        <v>58</v>
      </c>
      <c r="C142" s="3" t="s">
        <v>58</v>
      </c>
      <c r="D142" s="3" t="s">
        <v>50</v>
      </c>
      <c r="E142" s="17" t="n">
        <v>8980</v>
      </c>
      <c r="F142" s="17" t="n">
        <v>5840</v>
      </c>
      <c r="G142" s="6" t="n">
        <v>0.65</v>
      </c>
    </row>
    <row r="143" customFormat="false" ht="15" hidden="false" customHeight="false" outlineLevel="0" collapsed="false">
      <c r="A143" s="19" t="n">
        <v>46082</v>
      </c>
      <c r="B143" s="8" t="s">
        <v>58</v>
      </c>
      <c r="C143" s="8" t="s">
        <v>58</v>
      </c>
      <c r="D143" s="8" t="s">
        <v>57</v>
      </c>
      <c r="E143" s="16" t="n">
        <v>7180</v>
      </c>
      <c r="F143" s="16" t="n">
        <v>4600</v>
      </c>
      <c r="G143" s="11" t="n">
        <v>0.64</v>
      </c>
    </row>
    <row r="144" customFormat="false" ht="15" hidden="false" customHeight="false" outlineLevel="0" collapsed="false">
      <c r="A144" s="18" t="n">
        <v>46082</v>
      </c>
      <c r="B144" s="3" t="s">
        <v>58</v>
      </c>
      <c r="C144" s="3" t="s">
        <v>58</v>
      </c>
      <c r="D144" s="3" t="s">
        <v>34</v>
      </c>
      <c r="E144" s="17" t="n">
        <v>7180</v>
      </c>
      <c r="F144" s="17" t="n">
        <v>4950</v>
      </c>
      <c r="G144" s="6" t="n">
        <v>0.69</v>
      </c>
    </row>
    <row r="145" customFormat="false" ht="15" hidden="false" customHeight="false" outlineLevel="0" collapsed="false">
      <c r="A145" s="19" t="n">
        <v>46082</v>
      </c>
      <c r="B145" s="8" t="s">
        <v>58</v>
      </c>
      <c r="C145" s="8" t="s">
        <v>58</v>
      </c>
      <c r="D145" s="8" t="s">
        <v>40</v>
      </c>
      <c r="E145" s="16" t="n">
        <v>7780</v>
      </c>
      <c r="F145" s="16" t="n">
        <v>5060</v>
      </c>
      <c r="G145" s="11" t="n">
        <v>0.65</v>
      </c>
    </row>
    <row r="146" customFormat="false" ht="15" hidden="false" customHeight="false" outlineLevel="0" collapsed="false">
      <c r="A146" s="18" t="n">
        <v>46113</v>
      </c>
      <c r="B146" s="3" t="s">
        <v>31</v>
      </c>
      <c r="C146" s="3" t="s">
        <v>23</v>
      </c>
      <c r="D146" s="3" t="s">
        <v>20</v>
      </c>
      <c r="E146" s="17" t="n">
        <v>12100</v>
      </c>
      <c r="F146" s="17" t="n">
        <v>7020</v>
      </c>
      <c r="G146" s="6" t="n">
        <v>0.58</v>
      </c>
    </row>
    <row r="147" customFormat="false" ht="15" hidden="false" customHeight="false" outlineLevel="0" collapsed="false">
      <c r="A147" s="19" t="n">
        <v>46113</v>
      </c>
      <c r="B147" s="8" t="s">
        <v>31</v>
      </c>
      <c r="C147" s="8" t="s">
        <v>23</v>
      </c>
      <c r="D147" s="8" t="s">
        <v>26</v>
      </c>
      <c r="E147" s="16" t="n">
        <v>8640</v>
      </c>
      <c r="F147" s="16" t="n">
        <v>5180</v>
      </c>
      <c r="G147" s="11" t="n">
        <v>0.6</v>
      </c>
    </row>
    <row r="148" customFormat="false" ht="15" hidden="false" customHeight="false" outlineLevel="0" collapsed="false">
      <c r="A148" s="18" t="n">
        <v>46113</v>
      </c>
      <c r="B148" s="3" t="s">
        <v>31</v>
      </c>
      <c r="C148" s="3" t="s">
        <v>23</v>
      </c>
      <c r="D148" s="3" t="s">
        <v>50</v>
      </c>
      <c r="E148" s="17" t="n">
        <v>6480</v>
      </c>
      <c r="F148" s="17" t="n">
        <v>4210</v>
      </c>
      <c r="G148" s="6" t="n">
        <v>0.65</v>
      </c>
    </row>
    <row r="149" customFormat="false" ht="15" hidden="false" customHeight="false" outlineLevel="0" collapsed="false">
      <c r="A149" s="19" t="n">
        <v>46113</v>
      </c>
      <c r="B149" s="8" t="s">
        <v>31</v>
      </c>
      <c r="C149" s="8" t="s">
        <v>23</v>
      </c>
      <c r="D149" s="8" t="s">
        <v>57</v>
      </c>
      <c r="E149" s="16" t="n">
        <v>5180</v>
      </c>
      <c r="F149" s="16" t="n">
        <v>3320</v>
      </c>
      <c r="G149" s="11" t="n">
        <v>0.64</v>
      </c>
    </row>
    <row r="150" customFormat="false" ht="15" hidden="false" customHeight="false" outlineLevel="0" collapsed="false">
      <c r="A150" s="18" t="n">
        <v>46113</v>
      </c>
      <c r="B150" s="3" t="s">
        <v>31</v>
      </c>
      <c r="C150" s="3" t="s">
        <v>23</v>
      </c>
      <c r="D150" s="3" t="s">
        <v>34</v>
      </c>
      <c r="E150" s="17" t="n">
        <v>5180</v>
      </c>
      <c r="F150" s="17" t="n">
        <v>3570</v>
      </c>
      <c r="G150" s="6" t="n">
        <v>0.69</v>
      </c>
    </row>
    <row r="151" customFormat="false" ht="15" hidden="false" customHeight="false" outlineLevel="0" collapsed="false">
      <c r="A151" s="19" t="n">
        <v>46113</v>
      </c>
      <c r="B151" s="8" t="s">
        <v>31</v>
      </c>
      <c r="C151" s="8" t="s">
        <v>23</v>
      </c>
      <c r="D151" s="8" t="s">
        <v>40</v>
      </c>
      <c r="E151" s="16" t="n">
        <v>5620</v>
      </c>
      <c r="F151" s="16" t="n">
        <v>3650</v>
      </c>
      <c r="G151" s="11" t="n">
        <v>0.65</v>
      </c>
    </row>
    <row r="152" customFormat="false" ht="15" hidden="false" customHeight="false" outlineLevel="0" collapsed="false">
      <c r="A152" s="18" t="n">
        <v>46113</v>
      </c>
      <c r="B152" s="3" t="s">
        <v>22</v>
      </c>
      <c r="C152" s="3" t="s">
        <v>23</v>
      </c>
      <c r="D152" s="3" t="s">
        <v>20</v>
      </c>
      <c r="E152" s="17" t="n">
        <v>8160</v>
      </c>
      <c r="F152" s="17" t="n">
        <v>4730</v>
      </c>
      <c r="G152" s="6" t="n">
        <v>0.58</v>
      </c>
    </row>
    <row r="153" customFormat="false" ht="15" hidden="false" customHeight="false" outlineLevel="0" collapsed="false">
      <c r="A153" s="19" t="n">
        <v>46113</v>
      </c>
      <c r="B153" s="8" t="s">
        <v>22</v>
      </c>
      <c r="C153" s="8" t="s">
        <v>23</v>
      </c>
      <c r="D153" s="8" t="s">
        <v>26</v>
      </c>
      <c r="E153" s="16" t="n">
        <v>5830</v>
      </c>
      <c r="F153" s="16" t="n">
        <v>3500</v>
      </c>
      <c r="G153" s="11" t="n">
        <v>0.6</v>
      </c>
    </row>
    <row r="154" customFormat="false" ht="15" hidden="false" customHeight="false" outlineLevel="0" collapsed="false">
      <c r="A154" s="18" t="n">
        <v>46113</v>
      </c>
      <c r="B154" s="3" t="s">
        <v>22</v>
      </c>
      <c r="C154" s="3" t="s">
        <v>23</v>
      </c>
      <c r="D154" s="3" t="s">
        <v>50</v>
      </c>
      <c r="E154" s="17" t="n">
        <v>4370</v>
      </c>
      <c r="F154" s="17" t="n">
        <v>2840</v>
      </c>
      <c r="G154" s="6" t="n">
        <v>0.65</v>
      </c>
    </row>
    <row r="155" customFormat="false" ht="15" hidden="false" customHeight="false" outlineLevel="0" collapsed="false">
      <c r="A155" s="19" t="n">
        <v>46113</v>
      </c>
      <c r="B155" s="8" t="s">
        <v>22</v>
      </c>
      <c r="C155" s="8" t="s">
        <v>23</v>
      </c>
      <c r="D155" s="8" t="s">
        <v>57</v>
      </c>
      <c r="E155" s="16" t="n">
        <v>3500</v>
      </c>
      <c r="F155" s="16" t="n">
        <v>2240</v>
      </c>
      <c r="G155" s="11" t="n">
        <v>0.64</v>
      </c>
    </row>
    <row r="156" customFormat="false" ht="15" hidden="false" customHeight="false" outlineLevel="0" collapsed="false">
      <c r="A156" s="18" t="n">
        <v>46113</v>
      </c>
      <c r="B156" s="3" t="s">
        <v>22</v>
      </c>
      <c r="C156" s="3" t="s">
        <v>23</v>
      </c>
      <c r="D156" s="3" t="s">
        <v>34</v>
      </c>
      <c r="E156" s="17" t="n">
        <v>3500</v>
      </c>
      <c r="F156" s="17" t="n">
        <v>2420</v>
      </c>
      <c r="G156" s="6" t="n">
        <v>0.69</v>
      </c>
    </row>
    <row r="157" customFormat="false" ht="15" hidden="false" customHeight="false" outlineLevel="0" collapsed="false">
      <c r="A157" s="19" t="n">
        <v>46113</v>
      </c>
      <c r="B157" s="8" t="s">
        <v>22</v>
      </c>
      <c r="C157" s="8" t="s">
        <v>23</v>
      </c>
      <c r="D157" s="8" t="s">
        <v>40</v>
      </c>
      <c r="E157" s="16" t="n">
        <v>3790</v>
      </c>
      <c r="F157" s="16" t="n">
        <v>2460</v>
      </c>
      <c r="G157" s="11" t="n">
        <v>0.65</v>
      </c>
    </row>
    <row r="158" customFormat="false" ht="15" hidden="false" customHeight="false" outlineLevel="0" collapsed="false">
      <c r="A158" s="18" t="n">
        <v>46113</v>
      </c>
      <c r="B158" s="3" t="s">
        <v>16</v>
      </c>
      <c r="C158" s="3" t="s">
        <v>17</v>
      </c>
      <c r="D158" s="3" t="s">
        <v>20</v>
      </c>
      <c r="E158" s="17" t="n">
        <v>10580</v>
      </c>
      <c r="F158" s="17" t="n">
        <v>6140</v>
      </c>
      <c r="G158" s="6" t="n">
        <v>0.58</v>
      </c>
    </row>
    <row r="159" customFormat="false" ht="15" hidden="false" customHeight="false" outlineLevel="0" collapsed="false">
      <c r="A159" s="19" t="n">
        <v>46113</v>
      </c>
      <c r="B159" s="8" t="s">
        <v>16</v>
      </c>
      <c r="C159" s="8" t="s">
        <v>17</v>
      </c>
      <c r="D159" s="8" t="s">
        <v>26</v>
      </c>
      <c r="E159" s="16" t="n">
        <v>7560</v>
      </c>
      <c r="F159" s="16" t="n">
        <v>4540</v>
      </c>
      <c r="G159" s="11" t="n">
        <v>0.6</v>
      </c>
    </row>
    <row r="160" customFormat="false" ht="15" hidden="false" customHeight="false" outlineLevel="0" collapsed="false">
      <c r="A160" s="18" t="n">
        <v>46113</v>
      </c>
      <c r="B160" s="3" t="s">
        <v>16</v>
      </c>
      <c r="C160" s="3" t="s">
        <v>17</v>
      </c>
      <c r="D160" s="3" t="s">
        <v>50</v>
      </c>
      <c r="E160" s="17" t="n">
        <v>5670</v>
      </c>
      <c r="F160" s="17" t="n">
        <v>3690</v>
      </c>
      <c r="G160" s="6" t="n">
        <v>0.65</v>
      </c>
    </row>
    <row r="161" customFormat="false" ht="15" hidden="false" customHeight="false" outlineLevel="0" collapsed="false">
      <c r="A161" s="19" t="n">
        <v>46113</v>
      </c>
      <c r="B161" s="8" t="s">
        <v>16</v>
      </c>
      <c r="C161" s="8" t="s">
        <v>17</v>
      </c>
      <c r="D161" s="8" t="s">
        <v>57</v>
      </c>
      <c r="E161" s="16" t="n">
        <v>4540</v>
      </c>
      <c r="F161" s="16" t="n">
        <v>2910</v>
      </c>
      <c r="G161" s="11" t="n">
        <v>0.64</v>
      </c>
    </row>
    <row r="162" customFormat="false" ht="15" hidden="false" customHeight="false" outlineLevel="0" collapsed="false">
      <c r="A162" s="18" t="n">
        <v>46113</v>
      </c>
      <c r="B162" s="3" t="s">
        <v>16</v>
      </c>
      <c r="C162" s="3" t="s">
        <v>17</v>
      </c>
      <c r="D162" s="3" t="s">
        <v>34</v>
      </c>
      <c r="E162" s="17" t="n">
        <v>4540</v>
      </c>
      <c r="F162" s="17" t="n">
        <v>3130</v>
      </c>
      <c r="G162" s="6" t="n">
        <v>0.69</v>
      </c>
    </row>
    <row r="163" customFormat="false" ht="15" hidden="false" customHeight="false" outlineLevel="0" collapsed="false">
      <c r="A163" s="19" t="n">
        <v>46113</v>
      </c>
      <c r="B163" s="8" t="s">
        <v>16</v>
      </c>
      <c r="C163" s="8" t="s">
        <v>17</v>
      </c>
      <c r="D163" s="8" t="s">
        <v>40</v>
      </c>
      <c r="E163" s="16" t="n">
        <v>4910</v>
      </c>
      <c r="F163" s="16" t="n">
        <v>3190</v>
      </c>
      <c r="G163" s="11" t="n">
        <v>0.65</v>
      </c>
    </row>
    <row r="164" customFormat="false" ht="15" hidden="false" customHeight="false" outlineLevel="0" collapsed="false">
      <c r="A164" s="18" t="n">
        <v>46113</v>
      </c>
      <c r="B164" s="3" t="s">
        <v>37</v>
      </c>
      <c r="C164" s="3" t="s">
        <v>17</v>
      </c>
      <c r="D164" s="3" t="s">
        <v>20</v>
      </c>
      <c r="E164" s="17" t="n">
        <v>7260</v>
      </c>
      <c r="F164" s="17" t="n">
        <v>4210</v>
      </c>
      <c r="G164" s="6" t="n">
        <v>0.58</v>
      </c>
    </row>
    <row r="165" customFormat="false" ht="15" hidden="false" customHeight="false" outlineLevel="0" collapsed="false">
      <c r="A165" s="19" t="n">
        <v>46113</v>
      </c>
      <c r="B165" s="8" t="s">
        <v>37</v>
      </c>
      <c r="C165" s="8" t="s">
        <v>17</v>
      </c>
      <c r="D165" s="8" t="s">
        <v>26</v>
      </c>
      <c r="E165" s="16" t="n">
        <v>5180</v>
      </c>
      <c r="F165" s="16" t="n">
        <v>3110</v>
      </c>
      <c r="G165" s="11" t="n">
        <v>0.6</v>
      </c>
    </row>
    <row r="166" customFormat="false" ht="15" hidden="false" customHeight="false" outlineLevel="0" collapsed="false">
      <c r="A166" s="18" t="n">
        <v>46113</v>
      </c>
      <c r="B166" s="3" t="s">
        <v>37</v>
      </c>
      <c r="C166" s="3" t="s">
        <v>17</v>
      </c>
      <c r="D166" s="3" t="s">
        <v>50</v>
      </c>
      <c r="E166" s="17" t="n">
        <v>3890</v>
      </c>
      <c r="F166" s="17" t="n">
        <v>2530</v>
      </c>
      <c r="G166" s="6" t="n">
        <v>0.65</v>
      </c>
    </row>
    <row r="167" customFormat="false" ht="15" hidden="false" customHeight="false" outlineLevel="0" collapsed="false">
      <c r="A167" s="19" t="n">
        <v>46113</v>
      </c>
      <c r="B167" s="8" t="s">
        <v>37</v>
      </c>
      <c r="C167" s="8" t="s">
        <v>17</v>
      </c>
      <c r="D167" s="8" t="s">
        <v>57</v>
      </c>
      <c r="E167" s="16" t="n">
        <v>3110</v>
      </c>
      <c r="F167" s="16" t="n">
        <v>1990</v>
      </c>
      <c r="G167" s="11" t="n">
        <v>0.64</v>
      </c>
    </row>
    <row r="168" customFormat="false" ht="15" hidden="false" customHeight="false" outlineLevel="0" collapsed="false">
      <c r="A168" s="18" t="n">
        <v>46113</v>
      </c>
      <c r="B168" s="3" t="s">
        <v>37</v>
      </c>
      <c r="C168" s="3" t="s">
        <v>17</v>
      </c>
      <c r="D168" s="3" t="s">
        <v>34</v>
      </c>
      <c r="E168" s="17" t="n">
        <v>3110</v>
      </c>
      <c r="F168" s="17" t="n">
        <v>2150</v>
      </c>
      <c r="G168" s="6" t="n">
        <v>0.69</v>
      </c>
    </row>
    <row r="169" customFormat="false" ht="15" hidden="false" customHeight="false" outlineLevel="0" collapsed="false">
      <c r="A169" s="19" t="n">
        <v>46113</v>
      </c>
      <c r="B169" s="8" t="s">
        <v>37</v>
      </c>
      <c r="C169" s="8" t="s">
        <v>17</v>
      </c>
      <c r="D169" s="8" t="s">
        <v>40</v>
      </c>
      <c r="E169" s="16" t="n">
        <v>3370</v>
      </c>
      <c r="F169" s="16" t="n">
        <v>2190</v>
      </c>
      <c r="G169" s="11" t="n">
        <v>0.65</v>
      </c>
    </row>
    <row r="170" customFormat="false" ht="15" hidden="false" customHeight="false" outlineLevel="0" collapsed="false">
      <c r="A170" s="18" t="n">
        <v>46113</v>
      </c>
      <c r="B170" s="3" t="s">
        <v>27</v>
      </c>
      <c r="C170" s="3" t="s">
        <v>28</v>
      </c>
      <c r="D170" s="3" t="s">
        <v>20</v>
      </c>
      <c r="E170" s="17" t="n">
        <v>13310</v>
      </c>
      <c r="F170" s="17" t="n">
        <v>7720</v>
      </c>
      <c r="G170" s="6" t="n">
        <v>0.58</v>
      </c>
    </row>
    <row r="171" customFormat="false" ht="15" hidden="false" customHeight="false" outlineLevel="0" collapsed="false">
      <c r="A171" s="19" t="n">
        <v>46113</v>
      </c>
      <c r="B171" s="8" t="s">
        <v>27</v>
      </c>
      <c r="C171" s="8" t="s">
        <v>28</v>
      </c>
      <c r="D171" s="8" t="s">
        <v>26</v>
      </c>
      <c r="E171" s="16" t="n">
        <v>9500</v>
      </c>
      <c r="F171" s="16" t="n">
        <v>5700</v>
      </c>
      <c r="G171" s="11" t="n">
        <v>0.6</v>
      </c>
    </row>
    <row r="172" customFormat="false" ht="15" hidden="false" customHeight="false" outlineLevel="0" collapsed="false">
      <c r="A172" s="18" t="n">
        <v>46113</v>
      </c>
      <c r="B172" s="3" t="s">
        <v>27</v>
      </c>
      <c r="C172" s="3" t="s">
        <v>28</v>
      </c>
      <c r="D172" s="3" t="s">
        <v>50</v>
      </c>
      <c r="E172" s="17" t="n">
        <v>7130</v>
      </c>
      <c r="F172" s="17" t="n">
        <v>4630</v>
      </c>
      <c r="G172" s="6" t="n">
        <v>0.65</v>
      </c>
    </row>
    <row r="173" customFormat="false" ht="15" hidden="false" customHeight="false" outlineLevel="0" collapsed="false">
      <c r="A173" s="19" t="n">
        <v>46113</v>
      </c>
      <c r="B173" s="8" t="s">
        <v>27</v>
      </c>
      <c r="C173" s="8" t="s">
        <v>28</v>
      </c>
      <c r="D173" s="8" t="s">
        <v>57</v>
      </c>
      <c r="E173" s="16" t="n">
        <v>5700</v>
      </c>
      <c r="F173" s="16" t="n">
        <v>3650</v>
      </c>
      <c r="G173" s="11" t="n">
        <v>0.64</v>
      </c>
    </row>
    <row r="174" customFormat="false" ht="15" hidden="false" customHeight="false" outlineLevel="0" collapsed="false">
      <c r="A174" s="18" t="n">
        <v>46113</v>
      </c>
      <c r="B174" s="3" t="s">
        <v>27</v>
      </c>
      <c r="C174" s="3" t="s">
        <v>28</v>
      </c>
      <c r="D174" s="3" t="s">
        <v>34</v>
      </c>
      <c r="E174" s="17" t="n">
        <v>5700</v>
      </c>
      <c r="F174" s="17" t="n">
        <v>3930</v>
      </c>
      <c r="G174" s="6" t="n">
        <v>0.69</v>
      </c>
    </row>
    <row r="175" customFormat="false" ht="15" hidden="false" customHeight="false" outlineLevel="0" collapsed="false">
      <c r="A175" s="19" t="n">
        <v>46113</v>
      </c>
      <c r="B175" s="8" t="s">
        <v>27</v>
      </c>
      <c r="C175" s="8" t="s">
        <v>28</v>
      </c>
      <c r="D175" s="8" t="s">
        <v>40</v>
      </c>
      <c r="E175" s="16" t="n">
        <v>6180</v>
      </c>
      <c r="F175" s="16" t="n">
        <v>4020</v>
      </c>
      <c r="G175" s="11" t="n">
        <v>0.65</v>
      </c>
    </row>
    <row r="176" customFormat="false" ht="15" hidden="false" customHeight="false" outlineLevel="0" collapsed="false">
      <c r="A176" s="18" t="n">
        <v>46113</v>
      </c>
      <c r="B176" s="3" t="s">
        <v>41</v>
      </c>
      <c r="C176" s="3" t="s">
        <v>28</v>
      </c>
      <c r="D176" s="3" t="s">
        <v>20</v>
      </c>
      <c r="E176" s="17" t="n">
        <v>6960</v>
      </c>
      <c r="F176" s="17" t="n">
        <v>4040</v>
      </c>
      <c r="G176" s="6" t="n">
        <v>0.58</v>
      </c>
    </row>
    <row r="177" customFormat="false" ht="15" hidden="false" customHeight="false" outlineLevel="0" collapsed="false">
      <c r="A177" s="19" t="n">
        <v>46113</v>
      </c>
      <c r="B177" s="8" t="s">
        <v>41</v>
      </c>
      <c r="C177" s="8" t="s">
        <v>28</v>
      </c>
      <c r="D177" s="8" t="s">
        <v>26</v>
      </c>
      <c r="E177" s="16" t="n">
        <v>4970</v>
      </c>
      <c r="F177" s="16" t="n">
        <v>2980</v>
      </c>
      <c r="G177" s="11" t="n">
        <v>0.6</v>
      </c>
    </row>
    <row r="178" customFormat="false" ht="15" hidden="false" customHeight="false" outlineLevel="0" collapsed="false">
      <c r="A178" s="18" t="n">
        <v>46113</v>
      </c>
      <c r="B178" s="3" t="s">
        <v>41</v>
      </c>
      <c r="C178" s="3" t="s">
        <v>28</v>
      </c>
      <c r="D178" s="3" t="s">
        <v>50</v>
      </c>
      <c r="E178" s="17" t="n">
        <v>3730</v>
      </c>
      <c r="F178" s="17" t="n">
        <v>2420</v>
      </c>
      <c r="G178" s="6" t="n">
        <v>0.65</v>
      </c>
    </row>
    <row r="179" customFormat="false" ht="15" hidden="false" customHeight="false" outlineLevel="0" collapsed="false">
      <c r="A179" s="19" t="n">
        <v>46113</v>
      </c>
      <c r="B179" s="8" t="s">
        <v>41</v>
      </c>
      <c r="C179" s="8" t="s">
        <v>28</v>
      </c>
      <c r="D179" s="8" t="s">
        <v>57</v>
      </c>
      <c r="E179" s="16" t="n">
        <v>2980</v>
      </c>
      <c r="F179" s="16" t="n">
        <v>1910</v>
      </c>
      <c r="G179" s="11" t="n">
        <v>0.64</v>
      </c>
    </row>
    <row r="180" customFormat="false" ht="15" hidden="false" customHeight="false" outlineLevel="0" collapsed="false">
      <c r="A180" s="18" t="n">
        <v>46113</v>
      </c>
      <c r="B180" s="3" t="s">
        <v>41</v>
      </c>
      <c r="C180" s="3" t="s">
        <v>28</v>
      </c>
      <c r="D180" s="3" t="s">
        <v>34</v>
      </c>
      <c r="E180" s="17" t="n">
        <v>2980</v>
      </c>
      <c r="F180" s="17" t="n">
        <v>2060</v>
      </c>
      <c r="G180" s="6" t="n">
        <v>0.69</v>
      </c>
    </row>
    <row r="181" customFormat="false" ht="15" hidden="false" customHeight="false" outlineLevel="0" collapsed="false">
      <c r="A181" s="19" t="n">
        <v>46113</v>
      </c>
      <c r="B181" s="8" t="s">
        <v>41</v>
      </c>
      <c r="C181" s="8" t="s">
        <v>28</v>
      </c>
      <c r="D181" s="8" t="s">
        <v>40</v>
      </c>
      <c r="E181" s="16" t="n">
        <v>3230</v>
      </c>
      <c r="F181" s="16" t="n">
        <v>2100</v>
      </c>
      <c r="G181" s="11" t="n">
        <v>0.65</v>
      </c>
    </row>
    <row r="182" customFormat="false" ht="15" hidden="false" customHeight="false" outlineLevel="0" collapsed="false">
      <c r="A182" s="18" t="n">
        <v>46113</v>
      </c>
      <c r="B182" s="3" t="s">
        <v>64</v>
      </c>
      <c r="C182" s="3" t="s">
        <v>65</v>
      </c>
      <c r="D182" s="3" t="s">
        <v>20</v>
      </c>
      <c r="E182" s="17" t="n">
        <v>9370</v>
      </c>
      <c r="F182" s="17" t="n">
        <v>5430</v>
      </c>
      <c r="G182" s="6" t="n">
        <v>0.58</v>
      </c>
    </row>
    <row r="183" customFormat="false" ht="15" hidden="false" customHeight="false" outlineLevel="0" collapsed="false">
      <c r="A183" s="19" t="n">
        <v>46113</v>
      </c>
      <c r="B183" s="8" t="s">
        <v>64</v>
      </c>
      <c r="C183" s="8" t="s">
        <v>65</v>
      </c>
      <c r="D183" s="8" t="s">
        <v>26</v>
      </c>
      <c r="E183" s="16" t="n">
        <v>6700</v>
      </c>
      <c r="F183" s="16" t="n">
        <v>4020</v>
      </c>
      <c r="G183" s="11" t="n">
        <v>0.6</v>
      </c>
    </row>
    <row r="184" customFormat="false" ht="15" hidden="false" customHeight="false" outlineLevel="0" collapsed="false">
      <c r="A184" s="18" t="n">
        <v>46113</v>
      </c>
      <c r="B184" s="3" t="s">
        <v>64</v>
      </c>
      <c r="C184" s="3" t="s">
        <v>65</v>
      </c>
      <c r="D184" s="3" t="s">
        <v>50</v>
      </c>
      <c r="E184" s="17" t="n">
        <v>5020</v>
      </c>
      <c r="F184" s="17" t="n">
        <v>3260</v>
      </c>
      <c r="G184" s="6" t="n">
        <v>0.65</v>
      </c>
    </row>
    <row r="185" customFormat="false" ht="15" hidden="false" customHeight="false" outlineLevel="0" collapsed="false">
      <c r="A185" s="19" t="n">
        <v>46113</v>
      </c>
      <c r="B185" s="8" t="s">
        <v>64</v>
      </c>
      <c r="C185" s="8" t="s">
        <v>65</v>
      </c>
      <c r="D185" s="8" t="s">
        <v>57</v>
      </c>
      <c r="E185" s="16" t="n">
        <v>4020</v>
      </c>
      <c r="F185" s="16" t="n">
        <v>2570</v>
      </c>
      <c r="G185" s="11" t="n">
        <v>0.64</v>
      </c>
    </row>
    <row r="186" customFormat="false" ht="15" hidden="false" customHeight="false" outlineLevel="0" collapsed="false">
      <c r="A186" s="18" t="n">
        <v>46113</v>
      </c>
      <c r="B186" s="3" t="s">
        <v>64</v>
      </c>
      <c r="C186" s="3" t="s">
        <v>65</v>
      </c>
      <c r="D186" s="3" t="s">
        <v>34</v>
      </c>
      <c r="E186" s="17" t="n">
        <v>4020</v>
      </c>
      <c r="F186" s="17" t="n">
        <v>2770</v>
      </c>
      <c r="G186" s="6" t="n">
        <v>0.69</v>
      </c>
    </row>
    <row r="187" customFormat="false" ht="15" hidden="false" customHeight="false" outlineLevel="0" collapsed="false">
      <c r="A187" s="19" t="n">
        <v>46113</v>
      </c>
      <c r="B187" s="8" t="s">
        <v>64</v>
      </c>
      <c r="C187" s="8" t="s">
        <v>65</v>
      </c>
      <c r="D187" s="8" t="s">
        <v>40</v>
      </c>
      <c r="E187" s="16" t="n">
        <v>4350</v>
      </c>
      <c r="F187" s="16" t="n">
        <v>2830</v>
      </c>
      <c r="G187" s="11" t="n">
        <v>0.65</v>
      </c>
    </row>
    <row r="188" customFormat="false" ht="15" hidden="false" customHeight="false" outlineLevel="0" collapsed="false">
      <c r="A188" s="18" t="n">
        <v>46113</v>
      </c>
      <c r="B188" s="3" t="s">
        <v>58</v>
      </c>
      <c r="C188" s="3" t="s">
        <v>58</v>
      </c>
      <c r="D188" s="3" t="s">
        <v>20</v>
      </c>
      <c r="E188" s="17" t="n">
        <v>17240</v>
      </c>
      <c r="F188" s="17" t="n">
        <v>10000</v>
      </c>
      <c r="G188" s="6" t="n">
        <v>0.58</v>
      </c>
    </row>
    <row r="189" customFormat="false" ht="15" hidden="false" customHeight="false" outlineLevel="0" collapsed="false">
      <c r="A189" s="19" t="n">
        <v>46113</v>
      </c>
      <c r="B189" s="8" t="s">
        <v>58</v>
      </c>
      <c r="C189" s="8" t="s">
        <v>58</v>
      </c>
      <c r="D189" s="8" t="s">
        <v>26</v>
      </c>
      <c r="E189" s="16" t="n">
        <v>12310</v>
      </c>
      <c r="F189" s="16" t="n">
        <v>7390</v>
      </c>
      <c r="G189" s="11" t="n">
        <v>0.6</v>
      </c>
    </row>
    <row r="190" customFormat="false" ht="15" hidden="false" customHeight="false" outlineLevel="0" collapsed="false">
      <c r="A190" s="18" t="n">
        <v>46113</v>
      </c>
      <c r="B190" s="3" t="s">
        <v>58</v>
      </c>
      <c r="C190" s="3" t="s">
        <v>58</v>
      </c>
      <c r="D190" s="3" t="s">
        <v>50</v>
      </c>
      <c r="E190" s="17" t="n">
        <v>9230</v>
      </c>
      <c r="F190" s="17" t="n">
        <v>6000</v>
      </c>
      <c r="G190" s="6" t="n">
        <v>0.65</v>
      </c>
    </row>
    <row r="191" customFormat="false" ht="15" hidden="false" customHeight="false" outlineLevel="0" collapsed="false">
      <c r="A191" s="19" t="n">
        <v>46113</v>
      </c>
      <c r="B191" s="8" t="s">
        <v>58</v>
      </c>
      <c r="C191" s="8" t="s">
        <v>58</v>
      </c>
      <c r="D191" s="8" t="s">
        <v>57</v>
      </c>
      <c r="E191" s="16" t="n">
        <v>7390</v>
      </c>
      <c r="F191" s="16" t="n">
        <v>4730</v>
      </c>
      <c r="G191" s="11" t="n">
        <v>0.64</v>
      </c>
    </row>
    <row r="192" customFormat="false" ht="15" hidden="false" customHeight="false" outlineLevel="0" collapsed="false">
      <c r="A192" s="18" t="n">
        <v>46113</v>
      </c>
      <c r="B192" s="3" t="s">
        <v>58</v>
      </c>
      <c r="C192" s="3" t="s">
        <v>58</v>
      </c>
      <c r="D192" s="3" t="s">
        <v>34</v>
      </c>
      <c r="E192" s="17" t="n">
        <v>7390</v>
      </c>
      <c r="F192" s="17" t="n">
        <v>5100</v>
      </c>
      <c r="G192" s="6" t="n">
        <v>0.69</v>
      </c>
    </row>
    <row r="193" customFormat="false" ht="15" hidden="false" customHeight="false" outlineLevel="0" collapsed="false">
      <c r="A193" s="19" t="n">
        <v>46113</v>
      </c>
      <c r="B193" s="8" t="s">
        <v>58</v>
      </c>
      <c r="C193" s="8" t="s">
        <v>58</v>
      </c>
      <c r="D193" s="8" t="s">
        <v>40</v>
      </c>
      <c r="E193" s="16" t="n">
        <v>8000</v>
      </c>
      <c r="F193" s="16" t="n">
        <v>5200</v>
      </c>
      <c r="G193" s="11" t="n">
        <v>0.65</v>
      </c>
    </row>
  </sheetData>
  <autoFilter ref="A1:G1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18"/>
  </cols>
  <sheetData>
    <row r="1" customFormat="false" ht="23.8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</row>
    <row r="2" customFormat="false" ht="15" hidden="false" customHeight="false" outlineLevel="0" collapsed="false">
      <c r="A2" s="8" t="s">
        <v>18</v>
      </c>
      <c r="B2" s="8" t="s">
        <v>19</v>
      </c>
      <c r="C2" s="8" t="s">
        <v>20</v>
      </c>
      <c r="D2" s="9" t="n">
        <v>24.99</v>
      </c>
      <c r="E2" s="9" t="n">
        <v>26.99</v>
      </c>
      <c r="F2" s="20" t="n">
        <v>2</v>
      </c>
      <c r="G2" s="11" t="n">
        <v>0.08</v>
      </c>
      <c r="H2" s="7" t="n">
        <v>46063</v>
      </c>
      <c r="I2" s="8" t="s">
        <v>127</v>
      </c>
      <c r="J2" s="8" t="s">
        <v>128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  <c r="D3" s="4" t="n">
        <v>59.99</v>
      </c>
      <c r="E3" s="4" t="n">
        <v>54.99</v>
      </c>
      <c r="F3" s="21" t="n">
        <v>-5</v>
      </c>
      <c r="G3" s="6" t="n">
        <v>-0.0833</v>
      </c>
      <c r="H3" s="2" t="n">
        <v>46042</v>
      </c>
      <c r="I3" s="3" t="s">
        <v>129</v>
      </c>
      <c r="J3" s="3" t="s">
        <v>130</v>
      </c>
    </row>
    <row r="4" customFormat="false" ht="15" hidden="false" customHeight="false" outlineLevel="0" collapsed="false">
      <c r="A4" s="8" t="s">
        <v>29</v>
      </c>
      <c r="B4" s="8" t="s">
        <v>30</v>
      </c>
      <c r="C4" s="8" t="s">
        <v>20</v>
      </c>
      <c r="D4" s="9" t="n">
        <v>89.99</v>
      </c>
      <c r="E4" s="9" t="n">
        <v>79.99</v>
      </c>
      <c r="F4" s="22" t="n">
        <v>-10</v>
      </c>
      <c r="G4" s="11" t="n">
        <v>-0.1111</v>
      </c>
      <c r="H4" s="7" t="n">
        <v>46082</v>
      </c>
      <c r="I4" s="8" t="s">
        <v>131</v>
      </c>
      <c r="J4" s="8" t="s">
        <v>132</v>
      </c>
    </row>
    <row r="5" customFormat="false" ht="15" hidden="false" customHeight="false" outlineLevel="0" collapsed="false">
      <c r="A5" s="3" t="s">
        <v>76</v>
      </c>
      <c r="B5" s="3" t="s">
        <v>77</v>
      </c>
      <c r="C5" s="3" t="s">
        <v>34</v>
      </c>
      <c r="D5" s="4" t="n">
        <v>44.99</v>
      </c>
      <c r="E5" s="4" t="n">
        <v>49.99</v>
      </c>
      <c r="F5" s="23" t="n">
        <v>5</v>
      </c>
      <c r="G5" s="6" t="n">
        <v>0.1111</v>
      </c>
      <c r="H5" s="2" t="n">
        <v>46081</v>
      </c>
      <c r="I5" s="3" t="s">
        <v>133</v>
      </c>
      <c r="J5" s="3" t="s">
        <v>128</v>
      </c>
    </row>
    <row r="6" customFormat="false" ht="15" hidden="false" customHeight="false" outlineLevel="0" collapsed="false">
      <c r="A6" s="8" t="s">
        <v>48</v>
      </c>
      <c r="B6" s="8" t="s">
        <v>49</v>
      </c>
      <c r="C6" s="8" t="s">
        <v>50</v>
      </c>
      <c r="D6" s="9" t="n">
        <v>54.99</v>
      </c>
      <c r="E6" s="9" t="n">
        <v>59.99</v>
      </c>
      <c r="F6" s="20" t="n">
        <v>5</v>
      </c>
      <c r="G6" s="11" t="n">
        <v>0.0909</v>
      </c>
      <c r="H6" s="7" t="n">
        <v>46096</v>
      </c>
      <c r="I6" s="8" t="s">
        <v>127</v>
      </c>
      <c r="J6" s="8" t="s">
        <v>128</v>
      </c>
    </row>
    <row r="7" customFormat="false" ht="15" hidden="false" customHeight="false" outlineLevel="0" collapsed="false">
      <c r="A7" s="3" t="s">
        <v>74</v>
      </c>
      <c r="B7" s="3" t="s">
        <v>75</v>
      </c>
      <c r="C7" s="3" t="s">
        <v>40</v>
      </c>
      <c r="D7" s="4" t="n">
        <v>34.99</v>
      </c>
      <c r="E7" s="4" t="n">
        <v>29.99</v>
      </c>
      <c r="F7" s="21" t="n">
        <v>-5</v>
      </c>
      <c r="G7" s="6" t="n">
        <v>-0.1429</v>
      </c>
      <c r="H7" s="2" t="n">
        <v>46027</v>
      </c>
      <c r="I7" s="3" t="s">
        <v>134</v>
      </c>
      <c r="J7" s="3" t="s">
        <v>130</v>
      </c>
    </row>
    <row r="8" customFormat="false" ht="15" hidden="false" customHeight="false" outlineLevel="0" collapsed="false">
      <c r="A8" s="8" t="s">
        <v>88</v>
      </c>
      <c r="B8" s="8" t="s">
        <v>89</v>
      </c>
      <c r="C8" s="8" t="s">
        <v>57</v>
      </c>
      <c r="D8" s="9" t="n">
        <v>12.99</v>
      </c>
      <c r="E8" s="9" t="n">
        <v>14.99</v>
      </c>
      <c r="F8" s="20" t="n">
        <v>2</v>
      </c>
      <c r="G8" s="11" t="n">
        <v>0.154</v>
      </c>
      <c r="H8" s="7" t="n">
        <v>46113</v>
      </c>
      <c r="I8" s="8" t="s">
        <v>135</v>
      </c>
      <c r="J8" s="8" t="s">
        <v>128</v>
      </c>
    </row>
    <row r="9" customFormat="false" ht="15" hidden="false" customHeight="false" outlineLevel="0" collapsed="false">
      <c r="A9" s="3" t="s">
        <v>90</v>
      </c>
      <c r="B9" s="3" t="s">
        <v>91</v>
      </c>
      <c r="C9" s="3" t="s">
        <v>26</v>
      </c>
      <c r="D9" s="4" t="n">
        <v>29.99</v>
      </c>
      <c r="E9" s="4" t="n">
        <v>24.99</v>
      </c>
      <c r="F9" s="21" t="n">
        <v>-5</v>
      </c>
      <c r="G9" s="6" t="n">
        <v>-0.1667</v>
      </c>
      <c r="H9" s="2" t="n">
        <v>46101</v>
      </c>
      <c r="I9" s="3" t="s">
        <v>136</v>
      </c>
      <c r="J9" s="3" t="s">
        <v>132</v>
      </c>
    </row>
    <row r="10" customFormat="false" ht="15" hidden="false" customHeight="false" outlineLevel="0" collapsed="false">
      <c r="A10" s="8" t="s">
        <v>78</v>
      </c>
      <c r="B10" s="8" t="s">
        <v>79</v>
      </c>
      <c r="C10" s="8" t="s">
        <v>20</v>
      </c>
      <c r="D10" s="9" t="n">
        <v>39.99</v>
      </c>
      <c r="E10" s="9" t="n">
        <v>42.99</v>
      </c>
      <c r="F10" s="20" t="n">
        <v>3</v>
      </c>
      <c r="G10" s="11" t="n">
        <v>0.075</v>
      </c>
      <c r="H10" s="7" t="n">
        <v>46117</v>
      </c>
      <c r="I10" s="8" t="s">
        <v>137</v>
      </c>
      <c r="J10" s="8" t="s">
        <v>128</v>
      </c>
    </row>
    <row r="11" customFormat="false" ht="15" hidden="false" customHeight="false" outlineLevel="0" collapsed="false">
      <c r="A11" s="3" t="s">
        <v>61</v>
      </c>
      <c r="B11" s="3" t="s">
        <v>62</v>
      </c>
      <c r="C11" s="3" t="s">
        <v>34</v>
      </c>
      <c r="D11" s="4" t="n">
        <v>14.99</v>
      </c>
      <c r="E11" s="4" t="n">
        <v>12.99</v>
      </c>
      <c r="F11" s="21" t="n">
        <v>-2</v>
      </c>
      <c r="G11" s="6" t="n">
        <v>-0.1334</v>
      </c>
      <c r="H11" s="2" t="n">
        <v>46067</v>
      </c>
      <c r="I11" s="3" t="s">
        <v>138</v>
      </c>
      <c r="J11" s="3" t="s">
        <v>130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2026-04-21T00:31:16Z</dcterms:created>
  <dc:creator>openpyxl</dc:creator>
  <dc:description/>
  <dc:language>en-US</dc:language>
  <cp:lastModifiedBy/>
  <dcterms:modified xsi:type="dcterms:W3CDTF">2026-04-21T00:31:21Z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